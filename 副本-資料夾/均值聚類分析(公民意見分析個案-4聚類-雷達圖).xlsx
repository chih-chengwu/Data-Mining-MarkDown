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12-3 資料探勘(2014 Excel版)\12 DM Excel 程式\CH05  聚類(一)均值聚類分析\第5章 聚類(一)均值聚類分析 (模板+data)\"/>
    </mc:Choice>
  </mc:AlternateContent>
  <bookViews>
    <workbookView xWindow="0" yWindow="0" windowWidth="23280" windowHeight="12600" activeTab="3"/>
  </bookViews>
  <sheets>
    <sheet name="變數說明" sheetId="2" r:id="rId1"/>
    <sheet name="data(min) (優化前)" sheetId="8" r:id="rId2"/>
    <sheet name="data(min) (優化後)" sheetId="3" r:id="rId3"/>
    <sheet name="說明" sheetId="7" r:id="rId4"/>
  </sheets>
  <externalReferences>
    <externalReference r:id="rId5"/>
  </externalReferences>
  <definedNames>
    <definedName name="BuildDate" hidden="1">3330</definedName>
    <definedName name="BuildNo" hidden="1">54</definedName>
    <definedName name="solver_adj" localSheetId="1" hidden="1">'data(min) (優化前)'!$AE$2:$AH$21</definedName>
    <definedName name="solver_adj" localSheetId="2" hidden="1">'data(min) (優化後)'!$AE$2:$AH$21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100</definedName>
    <definedName name="solver_itr" localSheetId="2" hidden="1">100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'data(min) (優化前)'!$AB$2</definedName>
    <definedName name="solver_opt" localSheetId="2" hidden="1">'data(min) (優化後)'!$AB$2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100</definedName>
    <definedName name="solver_tim" localSheetId="2" hidden="1">100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  <definedName name="SortKeyRange1" localSheetId="1">#REF!,#REF!,#REF!,#REF!,#REF!,#REF!,#REF!,#REF!</definedName>
    <definedName name="SortKeyRange1" localSheetId="3">#REF!,#REF!,#REF!,#REF!,#REF!,#REF!,#REF!,#REF!</definedName>
    <definedName name="SortKeyRange1">#REF!,#REF!,#REF!,#REF!,#REF!,#REF!,#REF!,#REF!</definedName>
    <definedName name="SortKeyRange2" localSheetId="1">#REF!,#REF!,#REF!,#REF!,#REF!,#REF!,#REF!,#REF!</definedName>
    <definedName name="SortKeyRange2" localSheetId="3">#REF!,#REF!,#REF!,#REF!,#REF!,#REF!,#REF!,#REF!</definedName>
    <definedName name="SortKeyRange2">#REF!,#REF!,#REF!,#REF!,#REF!,#REF!,#REF!,#REF!</definedName>
    <definedName name="SortKeyRange3" localSheetId="1">#REF!,#REF!,#REF!,#REF!,#REF!,#REF!,#REF!,#REF!</definedName>
    <definedName name="SortKeyRange3" localSheetId="3">#REF!,#REF!,#REF!,#REF!,#REF!,#REF!,#REF!,#REF!</definedName>
    <definedName name="SortKeyRange3">#REF!,#REF!,#REF!,#REF!,#REF!,#REF!,#REF!,#REF!</definedName>
    <definedName name="SortKeyRange4" localSheetId="1">#REF!,#REF!,#REF!,#REF!,#REF!,#REF!,#REF!,#REF!</definedName>
    <definedName name="SortKeyRange4" localSheetId="3">#REF!,#REF!,#REF!,#REF!,#REF!,#REF!,#REF!,#REF!</definedName>
    <definedName name="SortKeyRange4">#REF!,#REF!,#REF!,#REF!,#REF!,#REF!,#REF!,#REF!</definedName>
    <definedName name="SortRange1" localSheetId="1">#REF!</definedName>
    <definedName name="SortRange1" localSheetId="3">#REF!</definedName>
    <definedName name="SortRange1">#REF!</definedName>
    <definedName name="SortRange2" localSheetId="1">#REF!</definedName>
    <definedName name="SortRange2" localSheetId="3">#REF!</definedName>
    <definedName name="SortRange2">#REF!</definedName>
    <definedName name="SortRange3" localSheetId="1">#REF!</definedName>
    <definedName name="SortRange3" localSheetId="3">#REF!</definedName>
    <definedName name="SortRange3">#REF!</definedName>
    <definedName name="SortRange4" localSheetId="1">#REF!</definedName>
    <definedName name="SortRange4" localSheetId="3">#REF!</definedName>
    <definedName name="SortRange4">#REF!</definedName>
    <definedName name="Vers" hidden="1">" 3.2.4.S"</definedName>
    <definedName name="VersionMajor" hidden="1">3</definedName>
    <definedName name="VersionMinor" hidden="1">2</definedName>
    <definedName name="VersionPatch" hidden="1">4</definedName>
    <definedName name="xlm_OP_DA" localSheetId="1">[1]Templates!#REF!</definedName>
    <definedName name="xlm_OP_DA" localSheetId="3">[1]Templates!#REF!</definedName>
    <definedName name="xlm_OP_DA" localSheetId="0">[1]Templates!#REF!</definedName>
    <definedName name="xlm_OP_DA">[1]Templates!#REF!</definedName>
    <definedName name="xlm_OP_HC" localSheetId="1">[1]Templates!#REF!</definedName>
    <definedName name="xlm_OP_HC" localSheetId="3">[1]Templates!#REF!</definedName>
    <definedName name="xlm_OP_HC" localSheetId="0">[1]Templates!#REF!</definedName>
    <definedName name="xlm_OP_HC">[1]Templates!#REF!</definedName>
    <definedName name="xlm_OP_KNNC" localSheetId="1">[1]Templates!#REF!</definedName>
    <definedName name="xlm_OP_KNNC" localSheetId="3">[1]Templates!#REF!</definedName>
    <definedName name="xlm_OP_KNNC" localSheetId="0">[1]Templates!#REF!</definedName>
    <definedName name="xlm_OP_KNNC">[1]Templates!#REF!</definedName>
    <definedName name="xlm_OP_KNNP" localSheetId="1">[1]Templates!#REF!</definedName>
    <definedName name="xlm_OP_KNNP" localSheetId="3">[1]Templates!#REF!</definedName>
    <definedName name="xlm_OP_KNNP" localSheetId="0">[1]Templates!#REF!</definedName>
    <definedName name="xlm_OP_KNNP">[1]Templates!#REF!</definedName>
    <definedName name="xlm_OP_LR" localSheetId="1">[1]Templates!#REF!</definedName>
    <definedName name="xlm_OP_LR" localSheetId="3">[1]Templates!#REF!</definedName>
    <definedName name="xlm_OP_LR" localSheetId="0">[1]Templates!#REF!</definedName>
    <definedName name="xlm_OP_LR">[1]Templates!#REF!</definedName>
    <definedName name="xlm_OP_MLR" localSheetId="1">[1]Templates!#REF!</definedName>
    <definedName name="xlm_OP_MLR" localSheetId="3">[1]Templates!#REF!</definedName>
    <definedName name="xlm_OP_MLR" localSheetId="0">[1]Templates!#REF!</definedName>
    <definedName name="xlm_OP_MLR">[1]Templates!#REF!</definedName>
    <definedName name="xlm_OP_NB" localSheetId="1">[1]Templates!#REF!</definedName>
    <definedName name="xlm_OP_NB" localSheetId="3">[1]Templates!#REF!</definedName>
    <definedName name="xlm_OP_NB" localSheetId="0">[1]Templates!#REF!</definedName>
    <definedName name="xlm_OP_NB">[1]Templates!#REF!</definedName>
    <definedName name="xlm_OP_NNC" localSheetId="1">[1]Templates!#REF!</definedName>
    <definedName name="xlm_OP_NNC" localSheetId="3">[1]Templates!#REF!</definedName>
    <definedName name="xlm_OP_NNC" localSheetId="0">[1]Templates!#REF!</definedName>
    <definedName name="xlm_OP_NNC">[1]Templates!#REF!</definedName>
    <definedName name="xlm_OP_NNP" localSheetId="1">[1]Templates!#REF!</definedName>
    <definedName name="xlm_OP_NNP" localSheetId="3">[1]Templates!#REF!</definedName>
    <definedName name="xlm_OP_NNP" localSheetId="0">[1]Templates!#REF!</definedName>
    <definedName name="xlm_OP_NNP">[1]Templates!#REF!</definedName>
    <definedName name="xlm_OP_PCA" localSheetId="1">[1]Templates!#REF!</definedName>
    <definedName name="xlm_OP_PCA" localSheetId="3">[1]Templates!#REF!</definedName>
    <definedName name="xlm_OP_PCA" localSheetId="0">[1]Templates!#REF!</definedName>
    <definedName name="xlm_OP_PCA">[1]Templates!#REF!</definedName>
    <definedName name="xlm_PartitionHeaders1" localSheetId="1" hidden="1">#REF!</definedName>
    <definedName name="xlm_PartitionHeaders1" localSheetId="3" hidden="1">#REF!</definedName>
    <definedName name="xlm_PartitionHeaders1" hidden="1">#REF!</definedName>
    <definedName name="xlm_PartitionTraining1" localSheetId="1" hidden="1">#REF!</definedName>
    <definedName name="xlm_PartitionTraining1" localSheetId="3" hidden="1">#REF!</definedName>
    <definedName name="xlm_PartitionTraining1" hidden="1">#REF!</definedName>
    <definedName name="xlm_PartitionValidation1" localSheetId="1" hidden="1">#REF!</definedName>
    <definedName name="xlm_PartitionValidation1" localSheetId="3" hidden="1">#REF!</definedName>
    <definedName name="xlm_PartitionValidation1" hidden="1">#REF!</definedName>
    <definedName name="xlm_PT_BT" localSheetId="1">[1]Templates!#REF!</definedName>
    <definedName name="xlm_PT_BT" localSheetId="3">[1]Templates!#REF!</definedName>
    <definedName name="xlm_PT_BT" localSheetId="0">[1]Templates!#REF!</definedName>
    <definedName name="xlm_PT_BT">[1]Templates!#REF!</definedName>
    <definedName name="xlm_PT_CHC" localSheetId="1">[1]Templates!#REF!</definedName>
    <definedName name="xlm_PT_CHC" localSheetId="3">[1]Templates!#REF!</definedName>
    <definedName name="xlm_PT_CHC" localSheetId="0">[1]Templates!#REF!</definedName>
    <definedName name="xlm_PT_CHC">[1]Templates!#REF!</definedName>
    <definedName name="xlm_PT_CHL" localSheetId="1">[1]Templates!#REF!</definedName>
    <definedName name="xlm_PT_CHL" localSheetId="3">[1]Templates!#REF!</definedName>
    <definedName name="xlm_PT_CHL" localSheetId="0">[1]Templates!#REF!</definedName>
    <definedName name="xlm_PT_CHL">[1]Templates!#REF!</definedName>
    <definedName name="xlm_PT_CHR" localSheetId="1">[1]Templates!#REF!</definedName>
    <definedName name="xlm_PT_CHR" localSheetId="3">[1]Templates!#REF!</definedName>
    <definedName name="xlm_PT_CHR" localSheetId="0">[1]Templates!#REF!</definedName>
    <definedName name="xlm_PT_CHR">[1]Templates!#REF!</definedName>
    <definedName name="xlm_PT_CHRT" localSheetId="1">[1]Templates!#REF!</definedName>
    <definedName name="xlm_PT_CHRT" localSheetId="3">[1]Templates!#REF!</definedName>
    <definedName name="xlm_PT_CHRT" localSheetId="0">[1]Templates!#REF!</definedName>
    <definedName name="xlm_PT_CHRT">[1]Templates!#REF!</definedName>
    <definedName name="xlm_PT_MT" localSheetId="1">[1]Templates!#REF!</definedName>
    <definedName name="xlm_PT_MT" localSheetId="3">[1]Templates!#REF!</definedName>
    <definedName name="xlm_PT_MT" localSheetId="0">[1]Templates!#REF!</definedName>
    <definedName name="xlm_PT_MT">[1]Templates!#REF!</definedName>
    <definedName name="xlm_PT_RHC" localSheetId="1">[1]Templates!#REF!</definedName>
    <definedName name="xlm_PT_RHC" localSheetId="3">[1]Templates!#REF!</definedName>
    <definedName name="xlm_PT_RHC" localSheetId="0">[1]Templates!#REF!</definedName>
    <definedName name="xlm_PT_RHC">[1]Templates!#REF!</definedName>
    <definedName name="xlm_PT_RHL" localSheetId="1">[1]Templates!#REF!</definedName>
    <definedName name="xlm_PT_RHL" localSheetId="3">[1]Templates!#REF!</definedName>
    <definedName name="xlm_PT_RHL" localSheetId="0">[1]Templates!#REF!</definedName>
    <definedName name="xlm_PT_RHL">[1]Templates!#REF!</definedName>
    <definedName name="xlm_PT_RHR" localSheetId="1">[1]Templates!#REF!</definedName>
    <definedName name="xlm_PT_RHR" localSheetId="3">[1]Templates!#REF!</definedName>
    <definedName name="xlm_PT_RHR" localSheetId="0">[1]Templates!#REF!</definedName>
    <definedName name="xlm_PT_RHR">[1]Templates!#REF!</definedName>
    <definedName name="xlm_PT_TVL" localSheetId="1">[1]Templates!#REF!</definedName>
    <definedName name="xlm_PT_TVL" localSheetId="3">[1]Templates!#REF!</definedName>
    <definedName name="xlm_PT_TVL" localSheetId="0">[1]Templates!#REF!</definedName>
    <definedName name="xlm_PT_TVL">[1]Templates!#REF!</definedName>
    <definedName name="xlm_PT_TVR" localSheetId="1">[1]Templates!#REF!</definedName>
    <definedName name="xlm_PT_TVR" localSheetId="3">[1]Templates!#REF!</definedName>
    <definedName name="xlm_PT_TVR" localSheetId="0">[1]Templates!#REF!</definedName>
    <definedName name="xlm_PT_TVR">[1]Templates!#REF!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4" i="8" l="1"/>
  <c r="B345" i="8"/>
  <c r="AF2" i="8" l="1"/>
  <c r="AG2" i="8"/>
  <c r="AH2" i="8"/>
  <c r="AF3" i="8"/>
  <c r="AG3" i="8"/>
  <c r="AH3" i="8"/>
  <c r="AF4" i="8"/>
  <c r="AG4" i="8"/>
  <c r="AH4" i="8"/>
  <c r="AF5" i="8"/>
  <c r="AG5" i="8"/>
  <c r="AH5" i="8"/>
  <c r="AF6" i="8"/>
  <c r="AG6" i="8"/>
  <c r="AH6" i="8"/>
  <c r="AF7" i="8"/>
  <c r="AG7" i="8"/>
  <c r="AH7" i="8"/>
  <c r="AF8" i="8"/>
  <c r="AG8" i="8"/>
  <c r="AH8" i="8"/>
  <c r="AF9" i="8"/>
  <c r="AG9" i="8"/>
  <c r="AH9" i="8"/>
  <c r="AF10" i="8"/>
  <c r="AG10" i="8"/>
  <c r="AH10" i="8"/>
  <c r="AF11" i="8"/>
  <c r="AG11" i="8"/>
  <c r="AH11" i="8"/>
  <c r="AF12" i="8"/>
  <c r="AG12" i="8"/>
  <c r="AH12" i="8"/>
  <c r="AF13" i="8"/>
  <c r="AG13" i="8"/>
  <c r="AH13" i="8"/>
  <c r="AF14" i="8"/>
  <c r="AG14" i="8"/>
  <c r="AH14" i="8"/>
  <c r="AF15" i="8"/>
  <c r="AG15" i="8"/>
  <c r="AH15" i="8"/>
  <c r="AF16" i="8"/>
  <c r="AG16" i="8"/>
  <c r="AH16" i="8"/>
  <c r="AF17" i="8"/>
  <c r="AG17" i="8"/>
  <c r="AH17" i="8"/>
  <c r="AF18" i="8"/>
  <c r="AG18" i="8"/>
  <c r="AH18" i="8"/>
  <c r="AF19" i="8"/>
  <c r="AG19" i="8"/>
  <c r="AH19" i="8"/>
  <c r="AF20" i="8"/>
  <c r="AG20" i="8"/>
  <c r="AH20" i="8"/>
  <c r="AF21" i="8"/>
  <c r="AG21" i="8"/>
  <c r="AH21" i="8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" i="8"/>
  <c r="U345" i="8"/>
  <c r="T345" i="8"/>
  <c r="S345" i="8"/>
  <c r="R345" i="8"/>
  <c r="Q345" i="8"/>
  <c r="P345" i="8"/>
  <c r="O345" i="8"/>
  <c r="N345" i="8"/>
  <c r="M345" i="8"/>
  <c r="L345" i="8"/>
  <c r="K345" i="8"/>
  <c r="J345" i="8"/>
  <c r="I345" i="8"/>
  <c r="H345" i="8"/>
  <c r="G345" i="8"/>
  <c r="F345" i="8"/>
  <c r="E345" i="8"/>
  <c r="D345" i="8"/>
  <c r="C345" i="8"/>
  <c r="U344" i="8"/>
  <c r="T344" i="8"/>
  <c r="S344" i="8"/>
  <c r="R344" i="8"/>
  <c r="Q344" i="8"/>
  <c r="P344" i="8"/>
  <c r="O344" i="8"/>
  <c r="N344" i="8"/>
  <c r="M344" i="8"/>
  <c r="L344" i="8"/>
  <c r="K344" i="8"/>
  <c r="J344" i="8"/>
  <c r="I344" i="8"/>
  <c r="H344" i="8"/>
  <c r="G344" i="8"/>
  <c r="F344" i="8"/>
  <c r="E344" i="8"/>
  <c r="D344" i="8"/>
  <c r="C344" i="8"/>
  <c r="W149" i="8" l="1"/>
  <c r="X149" i="8"/>
  <c r="V15" i="8"/>
  <c r="X80" i="8"/>
  <c r="Y4" i="8"/>
  <c r="Y11" i="8"/>
  <c r="Y8" i="8"/>
  <c r="V73" i="8"/>
  <c r="Y120" i="8"/>
  <c r="Y5" i="8"/>
  <c r="Y9" i="8"/>
  <c r="V29" i="8"/>
  <c r="Y136" i="8"/>
  <c r="Y2" i="8"/>
  <c r="Y6" i="8"/>
  <c r="Y10" i="8"/>
  <c r="V45" i="8"/>
  <c r="Y3" i="8"/>
  <c r="Y7" i="8"/>
  <c r="V61" i="8"/>
  <c r="X181" i="8"/>
  <c r="W11" i="8"/>
  <c r="V17" i="8"/>
  <c r="V33" i="8"/>
  <c r="V49" i="8"/>
  <c r="V65" i="8"/>
  <c r="Y88" i="8"/>
  <c r="Y164" i="8"/>
  <c r="V21" i="8"/>
  <c r="V37" i="8"/>
  <c r="V53" i="8"/>
  <c r="V69" i="8"/>
  <c r="Y104" i="8"/>
  <c r="V13" i="8"/>
  <c r="V25" i="8"/>
  <c r="V41" i="8"/>
  <c r="V57" i="8"/>
  <c r="V183" i="8"/>
  <c r="V143" i="8"/>
  <c r="V142" i="8"/>
  <c r="V141" i="8"/>
  <c r="V140" i="8"/>
  <c r="V139" i="8"/>
  <c r="V138" i="8"/>
  <c r="V137" i="8"/>
  <c r="V136" i="8"/>
  <c r="V135" i="8"/>
  <c r="V134" i="8"/>
  <c r="V133" i="8"/>
  <c r="V132" i="8"/>
  <c r="V131" i="8"/>
  <c r="V130" i="8"/>
  <c r="V129" i="8"/>
  <c r="V128" i="8"/>
  <c r="V127" i="8"/>
  <c r="V126" i="8"/>
  <c r="V125" i="8"/>
  <c r="V124" i="8"/>
  <c r="V123" i="8"/>
  <c r="V122" i="8"/>
  <c r="V121" i="8"/>
  <c r="V120" i="8"/>
  <c r="V119" i="8"/>
  <c r="V118" i="8"/>
  <c r="V117" i="8"/>
  <c r="V116" i="8"/>
  <c r="V115" i="8"/>
  <c r="V114" i="8"/>
  <c r="V113" i="8"/>
  <c r="V112" i="8"/>
  <c r="V111" i="8"/>
  <c r="V110" i="8"/>
  <c r="V109" i="8"/>
  <c r="V108" i="8"/>
  <c r="V107" i="8"/>
  <c r="V106" i="8"/>
  <c r="V105" i="8"/>
  <c r="V104" i="8"/>
  <c r="V103" i="8"/>
  <c r="V102" i="8"/>
  <c r="V101" i="8"/>
  <c r="V100" i="8"/>
  <c r="V99" i="8"/>
  <c r="V98" i="8"/>
  <c r="V97" i="8"/>
  <c r="V96" i="8"/>
  <c r="V95" i="8"/>
  <c r="V94" i="8"/>
  <c r="V93" i="8"/>
  <c r="V92" i="8"/>
  <c r="V91" i="8"/>
  <c r="V90" i="8"/>
  <c r="V89" i="8"/>
  <c r="V88" i="8"/>
  <c r="V87" i="8"/>
  <c r="V86" i="8"/>
  <c r="V85" i="8"/>
  <c r="V84" i="8"/>
  <c r="V83" i="8"/>
  <c r="V82" i="8"/>
  <c r="V81" i="8"/>
  <c r="V80" i="8"/>
  <c r="V79" i="8"/>
  <c r="V78" i="8"/>
  <c r="V77" i="8"/>
  <c r="V76" i="8"/>
  <c r="V75" i="8"/>
  <c r="V74" i="8"/>
  <c r="X150" i="8"/>
  <c r="Y179" i="8"/>
  <c r="Y175" i="8"/>
  <c r="Y171" i="8"/>
  <c r="Y167" i="8"/>
  <c r="Y163" i="8"/>
  <c r="Y159" i="8"/>
  <c r="Y155" i="8"/>
  <c r="Y151" i="8"/>
  <c r="Y178" i="8"/>
  <c r="Y174" i="8"/>
  <c r="Y170" i="8"/>
  <c r="Y166" i="8"/>
  <c r="Y162" i="8"/>
  <c r="Y158" i="8"/>
  <c r="Y154" i="8"/>
  <c r="Y150" i="8"/>
  <c r="Y177" i="8"/>
  <c r="Y173" i="8"/>
  <c r="Y169" i="8"/>
  <c r="Y165" i="8"/>
  <c r="Y161" i="8"/>
  <c r="Y157" i="8"/>
  <c r="Y153" i="8"/>
  <c r="Y149" i="8"/>
  <c r="Y176" i="8"/>
  <c r="Y160" i="8"/>
  <c r="Y147" i="8"/>
  <c r="Y143" i="8"/>
  <c r="Y139" i="8"/>
  <c r="Y135" i="8"/>
  <c r="Y131" i="8"/>
  <c r="Y127" i="8"/>
  <c r="Y123" i="8"/>
  <c r="Y119" i="8"/>
  <c r="Y115" i="8"/>
  <c r="Y111" i="8"/>
  <c r="Y107" i="8"/>
  <c r="Y103" i="8"/>
  <c r="Y99" i="8"/>
  <c r="Y95" i="8"/>
  <c r="Y91" i="8"/>
  <c r="Y87" i="8"/>
  <c r="Y85" i="8"/>
  <c r="Y83" i="8"/>
  <c r="Y81" i="8"/>
  <c r="Y79" i="8"/>
  <c r="Y77" i="8"/>
  <c r="Y75" i="8"/>
  <c r="Y73" i="8"/>
  <c r="Y72" i="8"/>
  <c r="Y71" i="8"/>
  <c r="Y70" i="8"/>
  <c r="Y69" i="8"/>
  <c r="Y68" i="8"/>
  <c r="Y67" i="8"/>
  <c r="Y66" i="8"/>
  <c r="Y65" i="8"/>
  <c r="Y64" i="8"/>
  <c r="Y63" i="8"/>
  <c r="Y62" i="8"/>
  <c r="Y61" i="8"/>
  <c r="Y60" i="8"/>
  <c r="Y59" i="8"/>
  <c r="Y58" i="8"/>
  <c r="Y57" i="8"/>
  <c r="Y56" i="8"/>
  <c r="Y55" i="8"/>
  <c r="Y54" i="8"/>
  <c r="Y53" i="8"/>
  <c r="Y52" i="8"/>
  <c r="Y51" i="8"/>
  <c r="Y50" i="8"/>
  <c r="Y49" i="8"/>
  <c r="Y48" i="8"/>
  <c r="Y47" i="8"/>
  <c r="Y46" i="8"/>
  <c r="Y45" i="8"/>
  <c r="Y44" i="8"/>
  <c r="Y43" i="8"/>
  <c r="Y42" i="8"/>
  <c r="Y41" i="8"/>
  <c r="Y40" i="8"/>
  <c r="Y39" i="8"/>
  <c r="Y38" i="8"/>
  <c r="Y37" i="8"/>
  <c r="Y36" i="8"/>
  <c r="Y35" i="8"/>
  <c r="Y34" i="8"/>
  <c r="Y33" i="8"/>
  <c r="Y32" i="8"/>
  <c r="Y31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72" i="8"/>
  <c r="Y156" i="8"/>
  <c r="Y146" i="8"/>
  <c r="Y142" i="8"/>
  <c r="Y138" i="8"/>
  <c r="Y134" i="8"/>
  <c r="Y130" i="8"/>
  <c r="Y126" i="8"/>
  <c r="Y122" i="8"/>
  <c r="Y118" i="8"/>
  <c r="Y114" i="8"/>
  <c r="Y110" i="8"/>
  <c r="Y106" i="8"/>
  <c r="Y102" i="8"/>
  <c r="Y98" i="8"/>
  <c r="Y94" i="8"/>
  <c r="Y90" i="8"/>
  <c r="Y168" i="8"/>
  <c r="Y152" i="8"/>
  <c r="Y145" i="8"/>
  <c r="Y141" i="8"/>
  <c r="Y137" i="8"/>
  <c r="Y133" i="8"/>
  <c r="Y129" i="8"/>
  <c r="Y125" i="8"/>
  <c r="Y121" i="8"/>
  <c r="Y117" i="8"/>
  <c r="Y113" i="8"/>
  <c r="Y109" i="8"/>
  <c r="Y105" i="8"/>
  <c r="Y101" i="8"/>
  <c r="Y97" i="8"/>
  <c r="Y93" i="8"/>
  <c r="Y89" i="8"/>
  <c r="Y86" i="8"/>
  <c r="Y84" i="8"/>
  <c r="Y82" i="8"/>
  <c r="Y80" i="8"/>
  <c r="Y78" i="8"/>
  <c r="Y76" i="8"/>
  <c r="Y74" i="8"/>
  <c r="V2" i="8"/>
  <c r="V3" i="8"/>
  <c r="V4" i="8"/>
  <c r="V5" i="8"/>
  <c r="V6" i="8"/>
  <c r="V7" i="8"/>
  <c r="V8" i="8"/>
  <c r="V9" i="8"/>
  <c r="V10" i="8"/>
  <c r="V11" i="8"/>
  <c r="V12" i="8"/>
  <c r="Y13" i="8"/>
  <c r="Y15" i="8"/>
  <c r="V18" i="8"/>
  <c r="V22" i="8"/>
  <c r="V26" i="8"/>
  <c r="V30" i="8"/>
  <c r="V34" i="8"/>
  <c r="V38" i="8"/>
  <c r="V42" i="8"/>
  <c r="V46" i="8"/>
  <c r="V50" i="8"/>
  <c r="V54" i="8"/>
  <c r="V58" i="8"/>
  <c r="V62" i="8"/>
  <c r="V66" i="8"/>
  <c r="V70" i="8"/>
  <c r="X74" i="8"/>
  <c r="X82" i="8"/>
  <c r="Y92" i="8"/>
  <c r="Y108" i="8"/>
  <c r="Y124" i="8"/>
  <c r="Y140" i="8"/>
  <c r="W150" i="8"/>
  <c r="X204" i="8"/>
  <c r="X191" i="8"/>
  <c r="X148" i="8"/>
  <c r="X147" i="8"/>
  <c r="X146" i="8"/>
  <c r="X145" i="8"/>
  <c r="X144" i="8"/>
  <c r="X143" i="8"/>
  <c r="X14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X112" i="8"/>
  <c r="X111" i="8"/>
  <c r="X110" i="8"/>
  <c r="X109" i="8"/>
  <c r="X108" i="8"/>
  <c r="X107" i="8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5" i="8"/>
  <c r="X83" i="8"/>
  <c r="X81" i="8"/>
  <c r="X79" i="8"/>
  <c r="X77" i="8"/>
  <c r="X75" i="8"/>
  <c r="X73" i="8"/>
  <c r="X7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42" i="8"/>
  <c r="X41" i="8"/>
  <c r="X40" i="8"/>
  <c r="X39" i="8"/>
  <c r="X38" i="8"/>
  <c r="X3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95" i="8"/>
  <c r="W2" i="8"/>
  <c r="W3" i="8"/>
  <c r="W4" i="8"/>
  <c r="W5" i="8"/>
  <c r="W6" i="8"/>
  <c r="W7" i="8"/>
  <c r="W8" i="8"/>
  <c r="W9" i="8"/>
  <c r="W10" i="8"/>
  <c r="X12" i="8"/>
  <c r="V14" i="8"/>
  <c r="V16" i="8"/>
  <c r="V19" i="8"/>
  <c r="V23" i="8"/>
  <c r="V27" i="8"/>
  <c r="V31" i="8"/>
  <c r="V35" i="8"/>
  <c r="V39" i="8"/>
  <c r="V43" i="8"/>
  <c r="V47" i="8"/>
  <c r="V51" i="8"/>
  <c r="V55" i="8"/>
  <c r="V59" i="8"/>
  <c r="V63" i="8"/>
  <c r="V67" i="8"/>
  <c r="V71" i="8"/>
  <c r="X76" i="8"/>
  <c r="X84" i="8"/>
  <c r="Y96" i="8"/>
  <c r="Y112" i="8"/>
  <c r="Y128" i="8"/>
  <c r="Y144" i="8"/>
  <c r="W179" i="8"/>
  <c r="W146" i="8"/>
  <c r="W145" i="8"/>
  <c r="W144" i="8"/>
  <c r="W143" i="8"/>
  <c r="W142" i="8"/>
  <c r="W141" i="8"/>
  <c r="W140" i="8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W126" i="8"/>
  <c r="W125" i="8"/>
  <c r="W124" i="8"/>
  <c r="W123" i="8"/>
  <c r="W122" i="8"/>
  <c r="W121" i="8"/>
  <c r="W120" i="8"/>
  <c r="W119" i="8"/>
  <c r="W118" i="8"/>
  <c r="W117" i="8"/>
  <c r="W116" i="8"/>
  <c r="W115" i="8"/>
  <c r="W114" i="8"/>
  <c r="W113" i="8"/>
  <c r="W112" i="8"/>
  <c r="W111" i="8"/>
  <c r="W110" i="8"/>
  <c r="W109" i="8"/>
  <c r="W108" i="8"/>
  <c r="W107" i="8"/>
  <c r="W106" i="8"/>
  <c r="W105" i="8"/>
  <c r="W104" i="8"/>
  <c r="W103" i="8"/>
  <c r="W102" i="8"/>
  <c r="W101" i="8"/>
  <c r="W100" i="8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W86" i="8"/>
  <c r="W85" i="8"/>
  <c r="W84" i="8"/>
  <c r="W83" i="8"/>
  <c r="W82" i="8"/>
  <c r="W81" i="8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W66" i="8"/>
  <c r="W65" i="8"/>
  <c r="W64" i="8"/>
  <c r="W63" i="8"/>
  <c r="W62" i="8"/>
  <c r="W61" i="8"/>
  <c r="W60" i="8"/>
  <c r="W59" i="8"/>
  <c r="W58" i="8"/>
  <c r="W57" i="8"/>
  <c r="W56" i="8"/>
  <c r="W55" i="8"/>
  <c r="W54" i="8"/>
  <c r="W53" i="8"/>
  <c r="W52" i="8"/>
  <c r="W51" i="8"/>
  <c r="W50" i="8"/>
  <c r="W49" i="8"/>
  <c r="W48" i="8"/>
  <c r="W47" i="8"/>
  <c r="W46" i="8"/>
  <c r="W45" i="8"/>
  <c r="W44" i="8"/>
  <c r="W43" i="8"/>
  <c r="W42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X2" i="8"/>
  <c r="X3" i="8"/>
  <c r="X4" i="8"/>
  <c r="X5" i="8"/>
  <c r="X6" i="8"/>
  <c r="X7" i="8"/>
  <c r="X8" i="8"/>
  <c r="X9" i="8"/>
  <c r="X10" i="8"/>
  <c r="X11" i="8"/>
  <c r="Y12" i="8"/>
  <c r="Y14" i="8"/>
  <c r="Y16" i="8"/>
  <c r="V20" i="8"/>
  <c r="V24" i="8"/>
  <c r="V28" i="8"/>
  <c r="V32" i="8"/>
  <c r="V36" i="8"/>
  <c r="V40" i="8"/>
  <c r="V44" i="8"/>
  <c r="V48" i="8"/>
  <c r="V52" i="8"/>
  <c r="V56" i="8"/>
  <c r="V60" i="8"/>
  <c r="V64" i="8"/>
  <c r="V68" i="8"/>
  <c r="V72" i="8"/>
  <c r="X78" i="8"/>
  <c r="X86" i="8"/>
  <c r="Y100" i="8"/>
  <c r="Y116" i="8"/>
  <c r="Y132" i="8"/>
  <c r="Y148" i="8"/>
  <c r="V148" i="8"/>
  <c r="X187" i="8"/>
  <c r="W148" i="8"/>
  <c r="V144" i="8"/>
  <c r="V145" i="8"/>
  <c r="V146" i="8"/>
  <c r="V147" i="8"/>
  <c r="X183" i="8"/>
  <c r="X208" i="8"/>
  <c r="W147" i="8"/>
  <c r="X200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2" i="8"/>
  <c r="X184" i="8"/>
  <c r="X188" i="8"/>
  <c r="X192" i="8"/>
  <c r="X196" i="8"/>
  <c r="X219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X180" i="8"/>
  <c r="X182" i="8"/>
  <c r="X185" i="8"/>
  <c r="X189" i="8"/>
  <c r="X193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V181" i="8"/>
  <c r="X186" i="8"/>
  <c r="X190" i="8"/>
  <c r="X194" i="8"/>
  <c r="V329" i="8"/>
  <c r="X210" i="8"/>
  <c r="X199" i="8"/>
  <c r="X207" i="8"/>
  <c r="X215" i="8"/>
  <c r="X197" i="8"/>
  <c r="X201" i="8"/>
  <c r="X205" i="8"/>
  <c r="X209" i="8"/>
  <c r="X223" i="8"/>
  <c r="X198" i="8"/>
  <c r="X202" i="8"/>
  <c r="X206" i="8"/>
  <c r="X211" i="8"/>
  <c r="X228" i="8"/>
  <c r="X203" i="8"/>
  <c r="X218" i="8"/>
  <c r="X222" i="8"/>
  <c r="X226" i="8"/>
  <c r="X212" i="8"/>
  <c r="X216" i="8"/>
  <c r="X220" i="8"/>
  <c r="X224" i="8"/>
  <c r="X232" i="8"/>
  <c r="X213" i="8"/>
  <c r="X217" i="8"/>
  <c r="X221" i="8"/>
  <c r="X225" i="8"/>
  <c r="X236" i="8"/>
  <c r="X214" i="8"/>
  <c r="X227" i="8"/>
  <c r="X234" i="8"/>
  <c r="X235" i="8"/>
  <c r="X229" i="8"/>
  <c r="X233" i="8"/>
  <c r="X237" i="8"/>
  <c r="X230" i="8"/>
  <c r="V272" i="8"/>
  <c r="X231" i="8"/>
  <c r="V240" i="8"/>
  <c r="V280" i="8"/>
  <c r="V248" i="8"/>
  <c r="V304" i="8"/>
  <c r="V252" i="8"/>
  <c r="V312" i="8"/>
  <c r="V256" i="8"/>
  <c r="V288" i="8"/>
  <c r="V320" i="8"/>
  <c r="V244" i="8"/>
  <c r="V264" i="8"/>
  <c r="V296" i="8"/>
  <c r="V260" i="8"/>
  <c r="V316" i="8"/>
  <c r="X335" i="8"/>
  <c r="V268" i="8"/>
  <c r="V284" i="8"/>
  <c r="V300" i="8"/>
  <c r="V330" i="8"/>
  <c r="V333" i="8"/>
  <c r="V328" i="8"/>
  <c r="V323" i="8"/>
  <c r="V319" i="8"/>
  <c r="V315" i="8"/>
  <c r="V311" i="8"/>
  <c r="V307" i="8"/>
  <c r="V303" i="8"/>
  <c r="V299" i="8"/>
  <c r="V295" i="8"/>
  <c r="V291" i="8"/>
  <c r="V287" i="8"/>
  <c r="V283" i="8"/>
  <c r="V279" i="8"/>
  <c r="V275" i="8"/>
  <c r="V271" i="8"/>
  <c r="V267" i="8"/>
  <c r="V263" i="8"/>
  <c r="V259" i="8"/>
  <c r="V255" i="8"/>
  <c r="V251" i="8"/>
  <c r="V247" i="8"/>
  <c r="V243" i="8"/>
  <c r="V239" i="8"/>
  <c r="V332" i="8"/>
  <c r="V327" i="8"/>
  <c r="V322" i="8"/>
  <c r="V318" i="8"/>
  <c r="V314" i="8"/>
  <c r="V310" i="8"/>
  <c r="V306" i="8"/>
  <c r="V302" i="8"/>
  <c r="V298" i="8"/>
  <c r="V294" i="8"/>
  <c r="V290" i="8"/>
  <c r="V286" i="8"/>
  <c r="V282" i="8"/>
  <c r="V278" i="8"/>
  <c r="V274" i="8"/>
  <c r="V270" i="8"/>
  <c r="V266" i="8"/>
  <c r="V262" i="8"/>
  <c r="V258" i="8"/>
  <c r="V254" i="8"/>
  <c r="V250" i="8"/>
  <c r="V246" i="8"/>
  <c r="V242" i="8"/>
  <c r="V238" i="8"/>
  <c r="V237" i="8"/>
  <c r="V236" i="8"/>
  <c r="V235" i="8"/>
  <c r="V234" i="8"/>
  <c r="V233" i="8"/>
  <c r="V232" i="8"/>
  <c r="V231" i="8"/>
  <c r="V230" i="8"/>
  <c r="V229" i="8"/>
  <c r="V228" i="8"/>
  <c r="V227" i="8"/>
  <c r="V226" i="8"/>
  <c r="V225" i="8"/>
  <c r="V224" i="8"/>
  <c r="V223" i="8"/>
  <c r="V222" i="8"/>
  <c r="V221" i="8"/>
  <c r="V220" i="8"/>
  <c r="V219" i="8"/>
  <c r="V218" i="8"/>
  <c r="V217" i="8"/>
  <c r="V216" i="8"/>
  <c r="V215" i="8"/>
  <c r="V214" i="8"/>
  <c r="V213" i="8"/>
  <c r="V212" i="8"/>
  <c r="V211" i="8"/>
  <c r="V210" i="8"/>
  <c r="V209" i="8"/>
  <c r="V208" i="8"/>
  <c r="V207" i="8"/>
  <c r="V206" i="8"/>
  <c r="V205" i="8"/>
  <c r="V204" i="8"/>
  <c r="V203" i="8"/>
  <c r="V202" i="8"/>
  <c r="V201" i="8"/>
  <c r="V200" i="8"/>
  <c r="V199" i="8"/>
  <c r="V198" i="8"/>
  <c r="V197" i="8"/>
  <c r="V196" i="8"/>
  <c r="V195" i="8"/>
  <c r="V194" i="8"/>
  <c r="V193" i="8"/>
  <c r="V192" i="8"/>
  <c r="V191" i="8"/>
  <c r="V190" i="8"/>
  <c r="V189" i="8"/>
  <c r="V188" i="8"/>
  <c r="V187" i="8"/>
  <c r="V186" i="8"/>
  <c r="V185" i="8"/>
  <c r="V184" i="8"/>
  <c r="V331" i="8"/>
  <c r="V325" i="8"/>
  <c r="V321" i="8"/>
  <c r="V317" i="8"/>
  <c r="V313" i="8"/>
  <c r="V309" i="8"/>
  <c r="V305" i="8"/>
  <c r="V301" i="8"/>
  <c r="V297" i="8"/>
  <c r="V293" i="8"/>
  <c r="V289" i="8"/>
  <c r="V285" i="8"/>
  <c r="V281" i="8"/>
  <c r="V277" i="8"/>
  <c r="V273" i="8"/>
  <c r="V269" i="8"/>
  <c r="V265" i="8"/>
  <c r="V261" i="8"/>
  <c r="V257" i="8"/>
  <c r="V253" i="8"/>
  <c r="V249" i="8"/>
  <c r="V245" i="8"/>
  <c r="V241" i="8"/>
  <c r="Y340" i="8"/>
  <c r="Y336" i="8"/>
  <c r="Y237" i="8"/>
  <c r="Y236" i="8"/>
  <c r="Y235" i="8"/>
  <c r="Y234" i="8"/>
  <c r="Y233" i="8"/>
  <c r="Y232" i="8"/>
  <c r="Y231" i="8"/>
  <c r="Y230" i="8"/>
  <c r="Y229" i="8"/>
  <c r="Y228" i="8"/>
  <c r="Y227" i="8"/>
  <c r="Y226" i="8"/>
  <c r="Y225" i="8"/>
  <c r="Y224" i="8"/>
  <c r="Y223" i="8"/>
  <c r="Y222" i="8"/>
  <c r="Y221" i="8"/>
  <c r="Y220" i="8"/>
  <c r="Y219" i="8"/>
  <c r="Y218" i="8"/>
  <c r="Y217" i="8"/>
  <c r="Y216" i="8"/>
  <c r="Y215" i="8"/>
  <c r="Y214" i="8"/>
  <c r="Y213" i="8"/>
  <c r="Y212" i="8"/>
  <c r="Y211" i="8"/>
  <c r="Y210" i="8"/>
  <c r="Y209" i="8"/>
  <c r="Y208" i="8"/>
  <c r="Y207" i="8"/>
  <c r="Y206" i="8"/>
  <c r="Y205" i="8"/>
  <c r="Y204" i="8"/>
  <c r="Y203" i="8"/>
  <c r="Y202" i="8"/>
  <c r="Y201" i="8"/>
  <c r="Y200" i="8"/>
  <c r="Y199" i="8"/>
  <c r="Y198" i="8"/>
  <c r="Y197" i="8"/>
  <c r="Y196" i="8"/>
  <c r="Y195" i="8"/>
  <c r="Y194" i="8"/>
  <c r="Y193" i="8"/>
  <c r="Y192" i="8"/>
  <c r="Y191" i="8"/>
  <c r="Y190" i="8"/>
  <c r="Y189" i="8"/>
  <c r="Y188" i="8"/>
  <c r="Y187" i="8"/>
  <c r="Y186" i="8"/>
  <c r="Y185" i="8"/>
  <c r="Y184" i="8"/>
  <c r="Y183" i="8"/>
  <c r="Y182" i="8"/>
  <c r="Y181" i="8"/>
  <c r="Y180" i="8"/>
  <c r="W237" i="8"/>
  <c r="W236" i="8"/>
  <c r="W235" i="8"/>
  <c r="W234" i="8"/>
  <c r="W233" i="8"/>
  <c r="W232" i="8"/>
  <c r="W231" i="8"/>
  <c r="W230" i="8"/>
  <c r="W229" i="8"/>
  <c r="W228" i="8"/>
  <c r="W227" i="8"/>
  <c r="W226" i="8"/>
  <c r="W225" i="8"/>
  <c r="W224" i="8"/>
  <c r="W223" i="8"/>
  <c r="W222" i="8"/>
  <c r="W221" i="8"/>
  <c r="W220" i="8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W206" i="8"/>
  <c r="W205" i="8"/>
  <c r="W204" i="8"/>
  <c r="W203" i="8"/>
  <c r="W202" i="8"/>
  <c r="W201" i="8"/>
  <c r="W200" i="8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W186" i="8"/>
  <c r="W185" i="8"/>
  <c r="W184" i="8"/>
  <c r="W183" i="8"/>
  <c r="W182" i="8"/>
  <c r="W181" i="8"/>
  <c r="W180" i="8"/>
  <c r="W338" i="8"/>
  <c r="V276" i="8"/>
  <c r="V292" i="8"/>
  <c r="V308" i="8"/>
  <c r="V324" i="8"/>
  <c r="Y341" i="8"/>
  <c r="Y337" i="8"/>
  <c r="Y333" i="8"/>
  <c r="Y332" i="8"/>
  <c r="Y331" i="8"/>
  <c r="Y330" i="8"/>
  <c r="Y329" i="8"/>
  <c r="Y328" i="8"/>
  <c r="Y327" i="8"/>
  <c r="Y326" i="8"/>
  <c r="Y325" i="8"/>
  <c r="Y324" i="8"/>
  <c r="Y323" i="8"/>
  <c r="Y322" i="8"/>
  <c r="Y321" i="8"/>
  <c r="Y320" i="8"/>
  <c r="Y319" i="8"/>
  <c r="Y318" i="8"/>
  <c r="Y317" i="8"/>
  <c r="Y316" i="8"/>
  <c r="Y315" i="8"/>
  <c r="Y314" i="8"/>
  <c r="Y313" i="8"/>
  <c r="Y312" i="8"/>
  <c r="Y311" i="8"/>
  <c r="Y310" i="8"/>
  <c r="Y309" i="8"/>
  <c r="Y308" i="8"/>
  <c r="Y307" i="8"/>
  <c r="Y306" i="8"/>
  <c r="Y305" i="8"/>
  <c r="Y304" i="8"/>
  <c r="Y303" i="8"/>
  <c r="Y302" i="8"/>
  <c r="Y301" i="8"/>
  <c r="Y300" i="8"/>
  <c r="Y299" i="8"/>
  <c r="Y298" i="8"/>
  <c r="Y297" i="8"/>
  <c r="Y296" i="8"/>
  <c r="Y295" i="8"/>
  <c r="Y294" i="8"/>
  <c r="Y293" i="8"/>
  <c r="Y292" i="8"/>
  <c r="Y291" i="8"/>
  <c r="Y290" i="8"/>
  <c r="Y289" i="8"/>
  <c r="Y288" i="8"/>
  <c r="Y287" i="8"/>
  <c r="Y286" i="8"/>
  <c r="Y285" i="8"/>
  <c r="Y284" i="8"/>
  <c r="Y283" i="8"/>
  <c r="Y282" i="8"/>
  <c r="Y281" i="8"/>
  <c r="Y280" i="8"/>
  <c r="Y279" i="8"/>
  <c r="Y278" i="8"/>
  <c r="Y277" i="8"/>
  <c r="Y276" i="8"/>
  <c r="Y275" i="8"/>
  <c r="Y274" i="8"/>
  <c r="Y273" i="8"/>
  <c r="Y272" i="8"/>
  <c r="Y271" i="8"/>
  <c r="Y270" i="8"/>
  <c r="Y269" i="8"/>
  <c r="Y268" i="8"/>
  <c r="Y267" i="8"/>
  <c r="Y266" i="8"/>
  <c r="Y265" i="8"/>
  <c r="Y264" i="8"/>
  <c r="Y263" i="8"/>
  <c r="Y262" i="8"/>
  <c r="Y261" i="8"/>
  <c r="Y260" i="8"/>
  <c r="Y259" i="8"/>
  <c r="Y258" i="8"/>
  <c r="Y257" i="8"/>
  <c r="Y256" i="8"/>
  <c r="Y255" i="8"/>
  <c r="Y254" i="8"/>
  <c r="Y253" i="8"/>
  <c r="Y252" i="8"/>
  <c r="Y251" i="8"/>
  <c r="Y250" i="8"/>
  <c r="Y249" i="8"/>
  <c r="Y248" i="8"/>
  <c r="Y247" i="8"/>
  <c r="Y246" i="8"/>
  <c r="Y245" i="8"/>
  <c r="Y244" i="8"/>
  <c r="Y243" i="8"/>
  <c r="Y242" i="8"/>
  <c r="Y241" i="8"/>
  <c r="Y240" i="8"/>
  <c r="Y239" i="8"/>
  <c r="Y238" i="8"/>
  <c r="Y338" i="8"/>
  <c r="Y334" i="8"/>
  <c r="Y339" i="8"/>
  <c r="Y335" i="8"/>
  <c r="X340" i="8"/>
  <c r="X336" i="8"/>
  <c r="X341" i="8"/>
  <c r="X337" i="8"/>
  <c r="X333" i="8"/>
  <c r="X332" i="8"/>
  <c r="X331" i="8"/>
  <c r="X330" i="8"/>
  <c r="X329" i="8"/>
  <c r="X328" i="8"/>
  <c r="X327" i="8"/>
  <c r="X326" i="8"/>
  <c r="X325" i="8"/>
  <c r="X324" i="8"/>
  <c r="X323" i="8"/>
  <c r="X322" i="8"/>
  <c r="X321" i="8"/>
  <c r="X320" i="8"/>
  <c r="X319" i="8"/>
  <c r="X318" i="8"/>
  <c r="X317" i="8"/>
  <c r="X316" i="8"/>
  <c r="X315" i="8"/>
  <c r="X314" i="8"/>
  <c r="X313" i="8"/>
  <c r="X312" i="8"/>
  <c r="X311" i="8"/>
  <c r="X310" i="8"/>
  <c r="X309" i="8"/>
  <c r="X308" i="8"/>
  <c r="X307" i="8"/>
  <c r="X306" i="8"/>
  <c r="X305" i="8"/>
  <c r="X304" i="8"/>
  <c r="X303" i="8"/>
  <c r="X302" i="8"/>
  <c r="X301" i="8"/>
  <c r="X300" i="8"/>
  <c r="X299" i="8"/>
  <c r="X298" i="8"/>
  <c r="X297" i="8"/>
  <c r="X296" i="8"/>
  <c r="X295" i="8"/>
  <c r="X294" i="8"/>
  <c r="X293" i="8"/>
  <c r="X292" i="8"/>
  <c r="X291" i="8"/>
  <c r="X290" i="8"/>
  <c r="X289" i="8"/>
  <c r="X288" i="8"/>
  <c r="X287" i="8"/>
  <c r="X286" i="8"/>
  <c r="X285" i="8"/>
  <c r="X284" i="8"/>
  <c r="X283" i="8"/>
  <c r="X282" i="8"/>
  <c r="X281" i="8"/>
  <c r="X280" i="8"/>
  <c r="X279" i="8"/>
  <c r="X278" i="8"/>
  <c r="X277" i="8"/>
  <c r="X276" i="8"/>
  <c r="X275" i="8"/>
  <c r="X274" i="8"/>
  <c r="X273" i="8"/>
  <c r="X272" i="8"/>
  <c r="X271" i="8"/>
  <c r="X270" i="8"/>
  <c r="X269" i="8"/>
  <c r="X268" i="8"/>
  <c r="X267" i="8"/>
  <c r="X266" i="8"/>
  <c r="X265" i="8"/>
  <c r="X264" i="8"/>
  <c r="X263" i="8"/>
  <c r="X262" i="8"/>
  <c r="X261" i="8"/>
  <c r="X260" i="8"/>
  <c r="X259" i="8"/>
  <c r="X258" i="8"/>
  <c r="X257" i="8"/>
  <c r="X256" i="8"/>
  <c r="X255" i="8"/>
  <c r="X254" i="8"/>
  <c r="X253" i="8"/>
  <c r="X252" i="8"/>
  <c r="X251" i="8"/>
  <c r="X250" i="8"/>
  <c r="X249" i="8"/>
  <c r="X248" i="8"/>
  <c r="X247" i="8"/>
  <c r="X246" i="8"/>
  <c r="X245" i="8"/>
  <c r="X244" i="8"/>
  <c r="X243" i="8"/>
  <c r="X242" i="8"/>
  <c r="X241" i="8"/>
  <c r="X240" i="8"/>
  <c r="X239" i="8"/>
  <c r="X238" i="8"/>
  <c r="X338" i="8"/>
  <c r="X334" i="8"/>
  <c r="W339" i="8"/>
  <c r="W335" i="8"/>
  <c r="W340" i="8"/>
  <c r="W336" i="8"/>
  <c r="W341" i="8"/>
  <c r="W337" i="8"/>
  <c r="W333" i="8"/>
  <c r="W332" i="8"/>
  <c r="W331" i="8"/>
  <c r="W330" i="8"/>
  <c r="W329" i="8"/>
  <c r="W328" i="8"/>
  <c r="W327" i="8"/>
  <c r="W326" i="8"/>
  <c r="W325" i="8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W310" i="8"/>
  <c r="W309" i="8"/>
  <c r="W308" i="8"/>
  <c r="W307" i="8"/>
  <c r="W306" i="8"/>
  <c r="W305" i="8"/>
  <c r="W304" i="8"/>
  <c r="W303" i="8"/>
  <c r="W302" i="8"/>
  <c r="W301" i="8"/>
  <c r="W300" i="8"/>
  <c r="W299" i="8"/>
  <c r="W298" i="8"/>
  <c r="W297" i="8"/>
  <c r="W296" i="8"/>
  <c r="W295" i="8"/>
  <c r="W294" i="8"/>
  <c r="W293" i="8"/>
  <c r="W292" i="8"/>
  <c r="W291" i="8"/>
  <c r="W290" i="8"/>
  <c r="W289" i="8"/>
  <c r="W288" i="8"/>
  <c r="W287" i="8"/>
  <c r="W286" i="8"/>
  <c r="W285" i="8"/>
  <c r="W284" i="8"/>
  <c r="W283" i="8"/>
  <c r="W282" i="8"/>
  <c r="W281" i="8"/>
  <c r="W280" i="8"/>
  <c r="W279" i="8"/>
  <c r="W278" i="8"/>
  <c r="W277" i="8"/>
  <c r="W276" i="8"/>
  <c r="W275" i="8"/>
  <c r="W274" i="8"/>
  <c r="W273" i="8"/>
  <c r="W272" i="8"/>
  <c r="W271" i="8"/>
  <c r="W270" i="8"/>
  <c r="W269" i="8"/>
  <c r="W268" i="8"/>
  <c r="W267" i="8"/>
  <c r="W266" i="8"/>
  <c r="W265" i="8"/>
  <c r="W264" i="8"/>
  <c r="W263" i="8"/>
  <c r="W262" i="8"/>
  <c r="W261" i="8"/>
  <c r="W260" i="8"/>
  <c r="W259" i="8"/>
  <c r="W258" i="8"/>
  <c r="W257" i="8"/>
  <c r="W256" i="8"/>
  <c r="W255" i="8"/>
  <c r="W254" i="8"/>
  <c r="W253" i="8"/>
  <c r="W252" i="8"/>
  <c r="W251" i="8"/>
  <c r="W250" i="8"/>
  <c r="W249" i="8"/>
  <c r="W248" i="8"/>
  <c r="W247" i="8"/>
  <c r="W246" i="8"/>
  <c r="W245" i="8"/>
  <c r="W244" i="8"/>
  <c r="W243" i="8"/>
  <c r="W242" i="8"/>
  <c r="W241" i="8"/>
  <c r="W240" i="8"/>
  <c r="W239" i="8"/>
  <c r="W238" i="8"/>
  <c r="V326" i="8"/>
  <c r="W334" i="8"/>
  <c r="X339" i="8"/>
  <c r="V341" i="8"/>
  <c r="V334" i="8"/>
  <c r="V335" i="8"/>
  <c r="V336" i="8"/>
  <c r="V337" i="8"/>
  <c r="V338" i="8"/>
  <c r="V339" i="8"/>
  <c r="V340" i="8"/>
  <c r="Z276" i="8" l="1"/>
  <c r="AA276" i="8" s="1"/>
  <c r="Z327" i="8"/>
  <c r="AA327" i="8" s="1"/>
  <c r="Z268" i="8"/>
  <c r="AA268" i="8" s="1"/>
  <c r="Z295" i="8"/>
  <c r="AA295" i="8" s="1"/>
  <c r="Z311" i="8"/>
  <c r="AA311" i="8" s="1"/>
  <c r="Z261" i="8"/>
  <c r="AA261" i="8" s="1"/>
  <c r="Z293" i="8"/>
  <c r="AA293" i="8" s="1"/>
  <c r="Z279" i="8"/>
  <c r="AA279" i="8" s="1"/>
  <c r="Z322" i="8"/>
  <c r="AA322" i="8" s="1"/>
  <c r="Z332" i="8"/>
  <c r="AA332" i="8" s="1"/>
  <c r="Z306" i="8"/>
  <c r="AA306" i="8" s="1"/>
  <c r="Z247" i="8"/>
  <c r="AA247" i="8" s="1"/>
  <c r="Z263" i="8"/>
  <c r="AA263" i="8" s="1"/>
  <c r="Z17" i="8"/>
  <c r="AA17" i="8" s="1"/>
  <c r="Z21" i="8"/>
  <c r="AA21" i="8" s="1"/>
  <c r="Z25" i="8"/>
  <c r="AA25" i="8" s="1"/>
  <c r="Z37" i="8"/>
  <c r="AA37" i="8" s="1"/>
  <c r="Z45" i="8"/>
  <c r="AA45" i="8" s="1"/>
  <c r="Z49" i="8"/>
  <c r="AA49" i="8" s="1"/>
  <c r="Z53" i="8"/>
  <c r="AA53" i="8" s="1"/>
  <c r="Z57" i="8"/>
  <c r="AA57" i="8" s="1"/>
  <c r="Z65" i="8"/>
  <c r="AA65" i="8" s="1"/>
  <c r="Z260" i="8"/>
  <c r="AA260" i="8" s="1"/>
  <c r="Z172" i="8"/>
  <c r="AA172" i="8" s="1"/>
  <c r="Z60" i="8"/>
  <c r="AA60" i="8" s="1"/>
  <c r="Z44" i="8"/>
  <c r="AA44" i="8" s="1"/>
  <c r="Z13" i="8"/>
  <c r="AA13" i="8" s="1"/>
  <c r="Z28" i="8"/>
  <c r="AA28" i="8" s="1"/>
  <c r="Z5" i="8"/>
  <c r="AA5" i="8" s="1"/>
  <c r="Z331" i="8"/>
  <c r="AA331" i="8" s="1"/>
  <c r="Z150" i="8"/>
  <c r="AA150" i="8" s="1"/>
  <c r="Z42" i="8"/>
  <c r="AA42" i="8" s="1"/>
  <c r="Z149" i="8"/>
  <c r="AA149" i="8" s="1"/>
  <c r="Z54" i="8"/>
  <c r="AA54" i="8" s="1"/>
  <c r="Z107" i="8"/>
  <c r="AA107" i="8" s="1"/>
  <c r="Z321" i="8"/>
  <c r="AA321" i="8" s="1"/>
  <c r="Z329" i="8"/>
  <c r="AA329" i="8" s="1"/>
  <c r="Z248" i="8"/>
  <c r="AA248" i="8" s="1"/>
  <c r="Z256" i="8"/>
  <c r="AA256" i="8" s="1"/>
  <c r="Z264" i="8"/>
  <c r="AA264" i="8" s="1"/>
  <c r="Z272" i="8"/>
  <c r="AA272" i="8" s="1"/>
  <c r="Z284" i="8"/>
  <c r="AA284" i="8" s="1"/>
  <c r="Z316" i="8"/>
  <c r="AA316" i="8" s="1"/>
  <c r="Z328" i="8"/>
  <c r="AA328" i="8" s="1"/>
  <c r="Z253" i="8"/>
  <c r="AA253" i="8" s="1"/>
  <c r="Z269" i="8"/>
  <c r="AA269" i="8" s="1"/>
  <c r="Z285" i="8"/>
  <c r="AA285" i="8" s="1"/>
  <c r="Z301" i="8"/>
  <c r="AA301" i="8" s="1"/>
  <c r="Z317" i="8"/>
  <c r="AA317" i="8" s="1"/>
  <c r="Z246" i="8"/>
  <c r="AA246" i="8" s="1"/>
  <c r="Z262" i="8"/>
  <c r="AA262" i="8" s="1"/>
  <c r="Z278" i="8"/>
  <c r="AA278" i="8" s="1"/>
  <c r="Z294" i="8"/>
  <c r="AA294" i="8" s="1"/>
  <c r="Z310" i="8"/>
  <c r="AA310" i="8" s="1"/>
  <c r="Z94" i="8"/>
  <c r="AA94" i="8" s="1"/>
  <c r="Z69" i="8"/>
  <c r="AA69" i="8" s="1"/>
  <c r="Z325" i="8"/>
  <c r="AA325" i="8" s="1"/>
  <c r="Z320" i="8"/>
  <c r="AA320" i="8" s="1"/>
  <c r="Z340" i="8"/>
  <c r="AA340" i="8" s="1"/>
  <c r="Z240" i="8"/>
  <c r="AA240" i="8" s="1"/>
  <c r="Z252" i="8"/>
  <c r="AA252" i="8" s="1"/>
  <c r="Z173" i="8"/>
  <c r="AA173" i="8" s="1"/>
  <c r="Z217" i="8"/>
  <c r="AA217" i="8" s="1"/>
  <c r="Z257" i="8"/>
  <c r="AA257" i="8" s="1"/>
  <c r="Z267" i="8"/>
  <c r="AA267" i="8" s="1"/>
  <c r="Z299" i="8"/>
  <c r="AA299" i="8" s="1"/>
  <c r="Z334" i="8"/>
  <c r="AA334" i="8" s="1"/>
  <c r="Z97" i="8"/>
  <c r="AA97" i="8" s="1"/>
  <c r="Z113" i="8"/>
  <c r="AA113" i="8" s="1"/>
  <c r="Z125" i="8"/>
  <c r="AA125" i="8" s="1"/>
  <c r="Z133" i="8"/>
  <c r="AA133" i="8" s="1"/>
  <c r="Z141" i="8"/>
  <c r="AA141" i="8" s="1"/>
  <c r="Z83" i="8"/>
  <c r="AA83" i="8" s="1"/>
  <c r="Z164" i="8"/>
  <c r="AA164" i="8" s="1"/>
  <c r="Z169" i="8"/>
  <c r="AA169" i="8" s="1"/>
  <c r="Z126" i="8"/>
  <c r="AA126" i="8" s="1"/>
  <c r="Z177" i="8"/>
  <c r="AA177" i="8" s="1"/>
  <c r="Z161" i="8"/>
  <c r="AA161" i="8" s="1"/>
  <c r="Z326" i="8"/>
  <c r="AA326" i="8" s="1"/>
  <c r="Z122" i="8"/>
  <c r="AA122" i="8" s="1"/>
  <c r="Z241" i="8"/>
  <c r="AA241" i="8" s="1"/>
  <c r="Z273" i="8"/>
  <c r="AA273" i="8" s="1"/>
  <c r="Z289" i="8"/>
  <c r="AA289" i="8" s="1"/>
  <c r="Z305" i="8"/>
  <c r="AA305" i="8" s="1"/>
  <c r="Z333" i="8"/>
  <c r="AA333" i="8" s="1"/>
  <c r="Z250" i="8"/>
  <c r="AA250" i="8" s="1"/>
  <c r="Z266" i="8"/>
  <c r="AA266" i="8" s="1"/>
  <c r="Z282" i="8"/>
  <c r="AA282" i="8" s="1"/>
  <c r="Z298" i="8"/>
  <c r="AA298" i="8" s="1"/>
  <c r="Z314" i="8"/>
  <c r="AA314" i="8" s="1"/>
  <c r="Z153" i="8"/>
  <c r="AA153" i="8" s="1"/>
  <c r="Z251" i="8"/>
  <c r="AA251" i="8" s="1"/>
  <c r="Z283" i="8"/>
  <c r="AA283" i="8" s="1"/>
  <c r="Z315" i="8"/>
  <c r="AA315" i="8" s="1"/>
  <c r="Z203" i="8"/>
  <c r="AA203" i="8" s="1"/>
  <c r="Z223" i="8"/>
  <c r="AA223" i="8" s="1"/>
  <c r="Z235" i="8"/>
  <c r="AA235" i="8" s="1"/>
  <c r="Z145" i="8"/>
  <c r="AA145" i="8" s="1"/>
  <c r="Z8" i="8"/>
  <c r="AA8" i="8" s="1"/>
  <c r="Z4" i="8"/>
  <c r="AA4" i="8" s="1"/>
  <c r="Z104" i="8"/>
  <c r="AA104" i="8" s="1"/>
  <c r="Z120" i="8"/>
  <c r="AA120" i="8" s="1"/>
  <c r="Z124" i="8"/>
  <c r="AA124" i="8" s="1"/>
  <c r="Z140" i="8"/>
  <c r="AA140" i="8" s="1"/>
  <c r="Z156" i="8"/>
  <c r="AA156" i="8" s="1"/>
  <c r="Z71" i="8"/>
  <c r="AA71" i="8" s="1"/>
  <c r="Z82" i="8"/>
  <c r="AA82" i="8" s="1"/>
  <c r="Z90" i="8"/>
  <c r="AA90" i="8" s="1"/>
  <c r="Z102" i="8"/>
  <c r="AA102" i="8" s="1"/>
  <c r="Z106" i="8"/>
  <c r="AA106" i="8" s="1"/>
  <c r="Z110" i="8"/>
  <c r="AA110" i="8" s="1"/>
  <c r="Z118" i="8"/>
  <c r="AA118" i="8" s="1"/>
  <c r="Z134" i="8"/>
  <c r="AA134" i="8" s="1"/>
  <c r="Z138" i="8"/>
  <c r="AA138" i="8" s="1"/>
  <c r="Z142" i="8"/>
  <c r="AA142" i="8" s="1"/>
  <c r="Z41" i="8"/>
  <c r="AA41" i="8" s="1"/>
  <c r="Z33" i="8"/>
  <c r="AA33" i="8" s="1"/>
  <c r="Z61" i="8"/>
  <c r="AA61" i="8" s="1"/>
  <c r="Z29" i="8"/>
  <c r="AA29" i="8" s="1"/>
  <c r="Z73" i="8"/>
  <c r="AA73" i="8" s="1"/>
  <c r="Z233" i="8"/>
  <c r="AA233" i="8" s="1"/>
  <c r="Z324" i="8"/>
  <c r="AA324" i="8" s="1"/>
  <c r="Z185" i="8"/>
  <c r="AA185" i="8" s="1"/>
  <c r="Z209" i="8"/>
  <c r="AA209" i="8" s="1"/>
  <c r="Z225" i="8"/>
  <c r="AA225" i="8" s="1"/>
  <c r="Z229" i="8"/>
  <c r="AA229" i="8" s="1"/>
  <c r="Z234" i="8"/>
  <c r="AA234" i="8" s="1"/>
  <c r="Z303" i="8"/>
  <c r="AA303" i="8" s="1"/>
  <c r="Z318" i="8"/>
  <c r="AA318" i="8" s="1"/>
  <c r="Z330" i="8"/>
  <c r="AA330" i="8" s="1"/>
  <c r="Z74" i="8"/>
  <c r="AA74" i="8" s="1"/>
  <c r="Z338" i="8"/>
  <c r="AA338" i="8" s="1"/>
  <c r="Z239" i="8"/>
  <c r="AA239" i="8" s="1"/>
  <c r="Z255" i="8"/>
  <c r="AA255" i="8" s="1"/>
  <c r="Z271" i="8"/>
  <c r="AA271" i="8" s="1"/>
  <c r="Z287" i="8"/>
  <c r="AA287" i="8" s="1"/>
  <c r="Z319" i="8"/>
  <c r="AA319" i="8" s="1"/>
  <c r="Z10" i="8"/>
  <c r="AA10" i="8" s="1"/>
  <c r="Z6" i="8"/>
  <c r="AA6" i="8" s="1"/>
  <c r="Z2" i="8"/>
  <c r="AA2" i="8" s="1"/>
  <c r="Z15" i="8"/>
  <c r="AA15" i="8" s="1"/>
  <c r="Z19" i="8"/>
  <c r="AA19" i="8" s="1"/>
  <c r="Z23" i="8"/>
  <c r="AA23" i="8" s="1"/>
  <c r="Z27" i="8"/>
  <c r="AA27" i="8" s="1"/>
  <c r="Z35" i="8"/>
  <c r="AA35" i="8" s="1"/>
  <c r="Z39" i="8"/>
  <c r="AA39" i="8" s="1"/>
  <c r="Z43" i="8"/>
  <c r="AA43" i="8" s="1"/>
  <c r="Z51" i="8"/>
  <c r="AA51" i="8" s="1"/>
  <c r="Z59" i="8"/>
  <c r="AA59" i="8" s="1"/>
  <c r="Z67" i="8"/>
  <c r="AA67" i="8" s="1"/>
  <c r="Z288" i="8"/>
  <c r="AA288" i="8" s="1"/>
  <c r="Z296" i="8"/>
  <c r="AA296" i="8" s="1"/>
  <c r="Z304" i="8"/>
  <c r="AA304" i="8" s="1"/>
  <c r="Z80" i="8"/>
  <c r="AA80" i="8" s="1"/>
  <c r="Z88" i="8"/>
  <c r="AA88" i="8" s="1"/>
  <c r="Z92" i="8"/>
  <c r="AA92" i="8" s="1"/>
  <c r="Z128" i="8"/>
  <c r="AA128" i="8" s="1"/>
  <c r="Z136" i="8"/>
  <c r="AA136" i="8" s="1"/>
  <c r="Z76" i="8"/>
  <c r="AA76" i="8" s="1"/>
  <c r="Z84" i="8"/>
  <c r="AA84" i="8" s="1"/>
  <c r="Z96" i="8"/>
  <c r="AA96" i="8" s="1"/>
  <c r="Z108" i="8"/>
  <c r="AA108" i="8" s="1"/>
  <c r="Z337" i="8"/>
  <c r="AA337" i="8" s="1"/>
  <c r="Z176" i="8"/>
  <c r="AA176" i="8" s="1"/>
  <c r="Z168" i="8"/>
  <c r="AA168" i="8" s="1"/>
  <c r="Z160" i="8"/>
  <c r="AA160" i="8" s="1"/>
  <c r="Z180" i="8"/>
  <c r="AA180" i="8" s="1"/>
  <c r="Z175" i="8"/>
  <c r="AA175" i="8" s="1"/>
  <c r="Z147" i="8"/>
  <c r="AA147" i="8" s="1"/>
  <c r="Z16" i="8"/>
  <c r="AA16" i="8" s="1"/>
  <c r="Z55" i="8"/>
  <c r="AA55" i="8" s="1"/>
  <c r="Z207" i="8"/>
  <c r="AA207" i="8" s="1"/>
  <c r="Z87" i="8"/>
  <c r="AA87" i="8" s="1"/>
  <c r="Z91" i="8"/>
  <c r="AA91" i="8" s="1"/>
  <c r="Z66" i="8"/>
  <c r="AA66" i="8" s="1"/>
  <c r="Z181" i="8"/>
  <c r="AA181" i="8" s="1"/>
  <c r="Z34" i="8"/>
  <c r="AA34" i="8" s="1"/>
  <c r="Z38" i="8"/>
  <c r="AA38" i="8" s="1"/>
  <c r="Z46" i="8"/>
  <c r="AA46" i="8" s="1"/>
  <c r="Z50" i="8"/>
  <c r="AA50" i="8" s="1"/>
  <c r="Z58" i="8"/>
  <c r="AA58" i="8" s="1"/>
  <c r="Z62" i="8"/>
  <c r="AA62" i="8" s="1"/>
  <c r="Z70" i="8"/>
  <c r="AA70" i="8" s="1"/>
  <c r="Z165" i="8"/>
  <c r="AA165" i="8" s="1"/>
  <c r="Z157" i="8"/>
  <c r="AA157" i="8" s="1"/>
  <c r="Z183" i="8"/>
  <c r="AA183" i="8" s="1"/>
  <c r="Z148" i="8"/>
  <c r="AA148" i="8" s="1"/>
  <c r="Z78" i="8"/>
  <c r="AA78" i="8" s="1"/>
  <c r="Z14" i="8"/>
  <c r="AA14" i="8" s="1"/>
  <c r="Z12" i="8"/>
  <c r="AA12" i="8" s="1"/>
  <c r="Z20" i="8"/>
  <c r="AA20" i="8" s="1"/>
  <c r="Z24" i="8"/>
  <c r="AA24" i="8" s="1"/>
  <c r="Z32" i="8"/>
  <c r="AA32" i="8" s="1"/>
  <c r="Z36" i="8"/>
  <c r="AA36" i="8" s="1"/>
  <c r="Z40" i="8"/>
  <c r="AA40" i="8" s="1"/>
  <c r="Z48" i="8"/>
  <c r="AA48" i="8" s="1"/>
  <c r="Z112" i="8"/>
  <c r="AA112" i="8" s="1"/>
  <c r="Z212" i="8"/>
  <c r="AA212" i="8" s="1"/>
  <c r="Z220" i="8"/>
  <c r="AA220" i="8" s="1"/>
  <c r="Z228" i="8"/>
  <c r="AA228" i="8" s="1"/>
  <c r="Z232" i="8"/>
  <c r="AA232" i="8" s="1"/>
  <c r="Z236" i="8"/>
  <c r="AA236" i="8" s="1"/>
  <c r="Z178" i="8"/>
  <c r="AA178" i="8" s="1"/>
  <c r="Z174" i="8"/>
  <c r="AA174" i="8" s="1"/>
  <c r="Z170" i="8"/>
  <c r="AA170" i="8" s="1"/>
  <c r="Z166" i="8"/>
  <c r="AA166" i="8" s="1"/>
  <c r="Z162" i="8"/>
  <c r="AA162" i="8" s="1"/>
  <c r="Z158" i="8"/>
  <c r="AA158" i="8" s="1"/>
  <c r="Z154" i="8"/>
  <c r="AA154" i="8" s="1"/>
  <c r="Z249" i="8"/>
  <c r="AA249" i="8" s="1"/>
  <c r="Z265" i="8"/>
  <c r="AA265" i="8" s="1"/>
  <c r="Z281" i="8"/>
  <c r="AA281" i="8" s="1"/>
  <c r="Z297" i="8"/>
  <c r="AA297" i="8" s="1"/>
  <c r="Z313" i="8"/>
  <c r="AA313" i="8" s="1"/>
  <c r="Z187" i="8"/>
  <c r="AA187" i="8" s="1"/>
  <c r="Z195" i="8"/>
  <c r="AA195" i="8" s="1"/>
  <c r="Z211" i="8"/>
  <c r="AA211" i="8" s="1"/>
  <c r="Z219" i="8"/>
  <c r="AA219" i="8" s="1"/>
  <c r="Z227" i="8"/>
  <c r="AA227" i="8" s="1"/>
  <c r="Z274" i="8"/>
  <c r="AA274" i="8" s="1"/>
  <c r="Z290" i="8"/>
  <c r="AA290" i="8" s="1"/>
  <c r="Z243" i="8"/>
  <c r="AA243" i="8" s="1"/>
  <c r="Z259" i="8"/>
  <c r="AA259" i="8" s="1"/>
  <c r="Z275" i="8"/>
  <c r="AA275" i="8" s="1"/>
  <c r="Z291" i="8"/>
  <c r="AA291" i="8" s="1"/>
  <c r="Z307" i="8"/>
  <c r="AA307" i="8" s="1"/>
  <c r="Z323" i="8"/>
  <c r="AA323" i="8" s="1"/>
  <c r="Z213" i="8"/>
  <c r="AA213" i="8" s="1"/>
  <c r="Z201" i="8"/>
  <c r="AA201" i="8" s="1"/>
  <c r="Z193" i="8"/>
  <c r="AA193" i="8" s="1"/>
  <c r="Z179" i="8"/>
  <c r="AA179" i="8" s="1"/>
  <c r="Z171" i="8"/>
  <c r="AA171" i="8" s="1"/>
  <c r="Z167" i="8"/>
  <c r="AA167" i="8" s="1"/>
  <c r="Z163" i="8"/>
  <c r="AA163" i="8" s="1"/>
  <c r="Z159" i="8"/>
  <c r="AA159" i="8" s="1"/>
  <c r="Z155" i="8"/>
  <c r="AA155" i="8" s="1"/>
  <c r="Z151" i="8"/>
  <c r="AA151" i="8" s="1"/>
  <c r="Z341" i="8"/>
  <c r="AA341" i="8" s="1"/>
  <c r="Z52" i="8"/>
  <c r="AA52" i="8" s="1"/>
  <c r="Z56" i="8"/>
  <c r="AA56" i="8" s="1"/>
  <c r="Z64" i="8"/>
  <c r="AA64" i="8" s="1"/>
  <c r="Z68" i="8"/>
  <c r="AA68" i="8" s="1"/>
  <c r="Z72" i="8"/>
  <c r="AA72" i="8" s="1"/>
  <c r="Z100" i="8"/>
  <c r="AA100" i="8" s="1"/>
  <c r="Z116" i="8"/>
  <c r="AA116" i="8" s="1"/>
  <c r="Z132" i="8"/>
  <c r="AA132" i="8" s="1"/>
  <c r="Z144" i="8"/>
  <c r="AA144" i="8" s="1"/>
  <c r="Z63" i="8"/>
  <c r="AA63" i="8" s="1"/>
  <c r="Z47" i="8"/>
  <c r="AA47" i="8" s="1"/>
  <c r="Z31" i="8"/>
  <c r="AA31" i="8" s="1"/>
  <c r="Z9" i="8"/>
  <c r="AA9" i="8" s="1"/>
  <c r="Z79" i="8"/>
  <c r="AA79" i="8" s="1"/>
  <c r="Z95" i="8"/>
  <c r="AA95" i="8" s="1"/>
  <c r="Z99" i="8"/>
  <c r="AA99" i="8" s="1"/>
  <c r="Z103" i="8"/>
  <c r="AA103" i="8" s="1"/>
  <c r="Z111" i="8"/>
  <c r="AA111" i="8" s="1"/>
  <c r="Z115" i="8"/>
  <c r="AA115" i="8" s="1"/>
  <c r="Z119" i="8"/>
  <c r="AA119" i="8" s="1"/>
  <c r="Z123" i="8"/>
  <c r="AA123" i="8" s="1"/>
  <c r="Z127" i="8"/>
  <c r="AA127" i="8" s="1"/>
  <c r="Z131" i="8"/>
  <c r="AA131" i="8" s="1"/>
  <c r="Z135" i="8"/>
  <c r="AA135" i="8" s="1"/>
  <c r="Z139" i="8"/>
  <c r="AA139" i="8" s="1"/>
  <c r="Z143" i="8"/>
  <c r="AA143" i="8" s="1"/>
  <c r="Z18" i="8"/>
  <c r="AA18" i="8" s="1"/>
  <c r="Z11" i="8"/>
  <c r="AA11" i="8" s="1"/>
  <c r="Z7" i="8"/>
  <c r="AA7" i="8" s="1"/>
  <c r="Z3" i="8"/>
  <c r="AA3" i="8" s="1"/>
  <c r="Z86" i="8"/>
  <c r="AA86" i="8" s="1"/>
  <c r="Z152" i="8"/>
  <c r="AA152" i="8" s="1"/>
  <c r="Z98" i="8"/>
  <c r="AA98" i="8" s="1"/>
  <c r="Z114" i="8"/>
  <c r="AA114" i="8" s="1"/>
  <c r="Z130" i="8"/>
  <c r="AA130" i="8" s="1"/>
  <c r="Z146" i="8"/>
  <c r="AA146" i="8" s="1"/>
  <c r="Z22" i="8"/>
  <c r="AA22" i="8" s="1"/>
  <c r="Z26" i="8"/>
  <c r="AA26" i="8" s="1"/>
  <c r="Z75" i="8"/>
  <c r="AA75" i="8" s="1"/>
  <c r="Z77" i="8"/>
  <c r="AA77" i="8" s="1"/>
  <c r="Z81" i="8"/>
  <c r="AA81" i="8" s="1"/>
  <c r="Z85" i="8"/>
  <c r="AA85" i="8" s="1"/>
  <c r="Z89" i="8"/>
  <c r="AA89" i="8" s="1"/>
  <c r="Z93" i="8"/>
  <c r="AA93" i="8" s="1"/>
  <c r="Z101" i="8"/>
  <c r="AA101" i="8" s="1"/>
  <c r="Z105" i="8"/>
  <c r="AA105" i="8" s="1"/>
  <c r="Z109" i="8"/>
  <c r="AA109" i="8" s="1"/>
  <c r="Z117" i="8"/>
  <c r="AA117" i="8" s="1"/>
  <c r="Z121" i="8"/>
  <c r="AA121" i="8" s="1"/>
  <c r="Z129" i="8"/>
  <c r="AA129" i="8" s="1"/>
  <c r="Z137" i="8"/>
  <c r="AA137" i="8" s="1"/>
  <c r="Z336" i="8"/>
  <c r="AA336" i="8" s="1"/>
  <c r="Z244" i="8"/>
  <c r="AA244" i="8" s="1"/>
  <c r="Z280" i="8"/>
  <c r="AA280" i="8" s="1"/>
  <c r="Z292" i="8"/>
  <c r="AA292" i="8" s="1"/>
  <c r="Z312" i="8"/>
  <c r="AA312" i="8" s="1"/>
  <c r="Z30" i="8"/>
  <c r="AA30" i="8" s="1"/>
  <c r="Z339" i="8"/>
  <c r="AA339" i="8" s="1"/>
  <c r="Z335" i="8"/>
  <c r="AA335" i="8" s="1"/>
  <c r="Z182" i="8"/>
  <c r="AA182" i="8" s="1"/>
  <c r="Z214" i="8"/>
  <c r="AA214" i="8" s="1"/>
  <c r="Z218" i="8"/>
  <c r="AA218" i="8" s="1"/>
  <c r="Z230" i="8"/>
  <c r="AA230" i="8" s="1"/>
  <c r="Z242" i="8"/>
  <c r="AA242" i="8" s="1"/>
  <c r="Z258" i="8"/>
  <c r="AA258" i="8" s="1"/>
  <c r="Z215" i="8"/>
  <c r="AA215" i="8" s="1"/>
  <c r="Z231" i="8"/>
  <c r="AA231" i="8" s="1"/>
  <c r="Z208" i="8"/>
  <c r="AA208" i="8" s="1"/>
  <c r="Z216" i="8"/>
  <c r="AA216" i="8" s="1"/>
  <c r="Z224" i="8"/>
  <c r="AA224" i="8" s="1"/>
  <c r="Z221" i="8"/>
  <c r="AA221" i="8" s="1"/>
  <c r="Z237" i="8"/>
  <c r="AA237" i="8" s="1"/>
  <c r="Z245" i="8"/>
  <c r="AA245" i="8" s="1"/>
  <c r="Z277" i="8"/>
  <c r="AA277" i="8" s="1"/>
  <c r="Z309" i="8"/>
  <c r="AA309" i="8" s="1"/>
  <c r="Z186" i="8"/>
  <c r="AA186" i="8" s="1"/>
  <c r="Z190" i="8"/>
  <c r="AA190" i="8" s="1"/>
  <c r="Z194" i="8"/>
  <c r="AA194" i="8" s="1"/>
  <c r="Z198" i="8"/>
  <c r="AA198" i="8" s="1"/>
  <c r="Z202" i="8"/>
  <c r="AA202" i="8" s="1"/>
  <c r="Z206" i="8"/>
  <c r="AA206" i="8" s="1"/>
  <c r="Z210" i="8"/>
  <c r="AA210" i="8" s="1"/>
  <c r="Z222" i="8"/>
  <c r="AA222" i="8" s="1"/>
  <c r="Z226" i="8"/>
  <c r="AA226" i="8" s="1"/>
  <c r="Z238" i="8"/>
  <c r="AA238" i="8" s="1"/>
  <c r="Z254" i="8"/>
  <c r="AA254" i="8" s="1"/>
  <c r="Z270" i="8"/>
  <c r="AA270" i="8" s="1"/>
  <c r="Z286" i="8"/>
  <c r="AA286" i="8" s="1"/>
  <c r="Z302" i="8"/>
  <c r="AA302" i="8" s="1"/>
  <c r="Z191" i="8"/>
  <c r="AA191" i="8" s="1"/>
  <c r="Z199" i="8"/>
  <c r="AA199" i="8" s="1"/>
  <c r="Z300" i="8"/>
  <c r="AA300" i="8" s="1"/>
  <c r="Z308" i="8"/>
  <c r="AA308" i="8" s="1"/>
  <c r="Z184" i="8"/>
  <c r="AA184" i="8" s="1"/>
  <c r="Z188" i="8"/>
  <c r="AA188" i="8" s="1"/>
  <c r="Z192" i="8"/>
  <c r="AA192" i="8" s="1"/>
  <c r="Z196" i="8"/>
  <c r="AA196" i="8" s="1"/>
  <c r="Z200" i="8"/>
  <c r="AA200" i="8" s="1"/>
  <c r="Z204" i="8"/>
  <c r="AA204" i="8" s="1"/>
  <c r="Z189" i="8"/>
  <c r="AA189" i="8" s="1"/>
  <c r="Z197" i="8"/>
  <c r="AA197" i="8" s="1"/>
  <c r="Z205" i="8"/>
  <c r="AA205" i="8" s="1"/>
  <c r="AF22" i="8" l="1"/>
  <c r="AE22" i="8"/>
  <c r="AG22" i="8"/>
  <c r="AB2" i="8"/>
  <c r="AH22" i="8"/>
  <c r="C344" i="3" l="1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B345" i="3"/>
  <c r="B344" i="3"/>
  <c r="X340" i="3" l="1"/>
  <c r="Y144" i="3"/>
  <c r="X314" i="3"/>
  <c r="V341" i="3"/>
  <c r="X341" i="3"/>
  <c r="X313" i="3"/>
  <c r="Y284" i="3"/>
  <c r="W2" i="3"/>
  <c r="W3" i="3"/>
  <c r="W5" i="3"/>
  <c r="W7" i="3"/>
  <c r="W9" i="3"/>
  <c r="W11" i="3"/>
  <c r="W13" i="3"/>
  <c r="W15" i="3"/>
  <c r="W17" i="3"/>
  <c r="W19" i="3"/>
  <c r="W21" i="3"/>
  <c r="W23" i="3"/>
  <c r="W25" i="3"/>
  <c r="W27" i="3"/>
  <c r="W29" i="3"/>
  <c r="W31" i="3"/>
  <c r="W33" i="3"/>
  <c r="W35" i="3"/>
  <c r="W37" i="3"/>
  <c r="W39" i="3"/>
  <c r="W41" i="3"/>
  <c r="W43" i="3"/>
  <c r="W45" i="3"/>
  <c r="W47" i="3"/>
  <c r="W49" i="3"/>
  <c r="W51" i="3"/>
  <c r="W53" i="3"/>
  <c r="W55" i="3"/>
  <c r="W57" i="3"/>
  <c r="W59" i="3"/>
  <c r="W6" i="3"/>
  <c r="W14" i="3"/>
  <c r="W22" i="3"/>
  <c r="W30" i="3"/>
  <c r="W34" i="3"/>
  <c r="W42" i="3"/>
  <c r="W50" i="3"/>
  <c r="W58" i="3"/>
  <c r="W61" i="3"/>
  <c r="W63" i="3"/>
  <c r="W65" i="3"/>
  <c r="W67" i="3"/>
  <c r="W69" i="3"/>
  <c r="W71" i="3"/>
  <c r="W73" i="3"/>
  <c r="W75" i="3"/>
  <c r="W77" i="3"/>
  <c r="W79" i="3"/>
  <c r="W81" i="3"/>
  <c r="W83" i="3"/>
  <c r="W85" i="3"/>
  <c r="W87" i="3"/>
  <c r="W4" i="3"/>
  <c r="W12" i="3"/>
  <c r="W20" i="3"/>
  <c r="W28" i="3"/>
  <c r="W36" i="3"/>
  <c r="W44" i="3"/>
  <c r="W52" i="3"/>
  <c r="W10" i="3"/>
  <c r="W18" i="3"/>
  <c r="W26" i="3"/>
  <c r="W38" i="3"/>
  <c r="W46" i="3"/>
  <c r="W54" i="3"/>
  <c r="W60" i="3"/>
  <c r="W62" i="3"/>
  <c r="W64" i="3"/>
  <c r="W66" i="3"/>
  <c r="W68" i="3"/>
  <c r="W70" i="3"/>
  <c r="W72" i="3"/>
  <c r="W74" i="3"/>
  <c r="W76" i="3"/>
  <c r="W78" i="3"/>
  <c r="W80" i="3"/>
  <c r="W82" i="3"/>
  <c r="W84" i="3"/>
  <c r="W86" i="3"/>
  <c r="W16" i="3"/>
  <c r="W40" i="3"/>
  <c r="W88" i="3"/>
  <c r="W90" i="3"/>
  <c r="W92" i="3"/>
  <c r="W94" i="3"/>
  <c r="W96" i="3"/>
  <c r="W98" i="3"/>
  <c r="W100" i="3"/>
  <c r="W102" i="3"/>
  <c r="W104" i="3"/>
  <c r="W106" i="3"/>
  <c r="W108" i="3"/>
  <c r="W110" i="3"/>
  <c r="W112" i="3"/>
  <c r="W114" i="3"/>
  <c r="W116" i="3"/>
  <c r="W118" i="3"/>
  <c r="W120" i="3"/>
  <c r="W122" i="3"/>
  <c r="W124" i="3"/>
  <c r="W126" i="3"/>
  <c r="W128" i="3"/>
  <c r="W8" i="3"/>
  <c r="W48" i="3"/>
  <c r="W56" i="3"/>
  <c r="W89" i="3"/>
  <c r="W91" i="3"/>
  <c r="W93" i="3"/>
  <c r="W95" i="3"/>
  <c r="W97" i="3"/>
  <c r="W99" i="3"/>
  <c r="W101" i="3"/>
  <c r="W103" i="3"/>
  <c r="W105" i="3"/>
  <c r="W107" i="3"/>
  <c r="W109" i="3"/>
  <c r="W111" i="3"/>
  <c r="W113" i="3"/>
  <c r="W115" i="3"/>
  <c r="W117" i="3"/>
  <c r="W119" i="3"/>
  <c r="W121" i="3"/>
  <c r="W123" i="3"/>
  <c r="W125" i="3"/>
  <c r="W127" i="3"/>
  <c r="W129" i="3"/>
  <c r="W24" i="3"/>
  <c r="W130" i="3"/>
  <c r="W132" i="3"/>
  <c r="W134" i="3"/>
  <c r="W136" i="3"/>
  <c r="W138" i="3"/>
  <c r="W140" i="3"/>
  <c r="W142" i="3"/>
  <c r="W144" i="3"/>
  <c r="W146" i="3"/>
  <c r="W148" i="3"/>
  <c r="W150" i="3"/>
  <c r="W152" i="3"/>
  <c r="W154" i="3"/>
  <c r="W156" i="3"/>
  <c r="W158" i="3"/>
  <c r="W160" i="3"/>
  <c r="W162" i="3"/>
  <c r="W164" i="3"/>
  <c r="W166" i="3"/>
  <c r="W168" i="3"/>
  <c r="W170" i="3"/>
  <c r="W172" i="3"/>
  <c r="W174" i="3"/>
  <c r="W176" i="3"/>
  <c r="W178" i="3"/>
  <c r="W180" i="3"/>
  <c r="W182" i="3"/>
  <c r="W184" i="3"/>
  <c r="W186" i="3"/>
  <c r="W188" i="3"/>
  <c r="W190" i="3"/>
  <c r="W192" i="3"/>
  <c r="W194" i="3"/>
  <c r="W196" i="3"/>
  <c r="W198" i="3"/>
  <c r="W200" i="3"/>
  <c r="W202" i="3"/>
  <c r="W204" i="3"/>
  <c r="W206" i="3"/>
  <c r="W208" i="3"/>
  <c r="W210" i="3"/>
  <c r="W212" i="3"/>
  <c r="W214" i="3"/>
  <c r="W216" i="3"/>
  <c r="W218" i="3"/>
  <c r="W220" i="3"/>
  <c r="W222" i="3"/>
  <c r="W224" i="3"/>
  <c r="W32" i="3"/>
  <c r="W137" i="3"/>
  <c r="W145" i="3"/>
  <c r="W153" i="3"/>
  <c r="W161" i="3"/>
  <c r="W169" i="3"/>
  <c r="W177" i="3"/>
  <c r="W185" i="3"/>
  <c r="W193" i="3"/>
  <c r="W201" i="3"/>
  <c r="W209" i="3"/>
  <c r="W217" i="3"/>
  <c r="W226" i="3"/>
  <c r="W135" i="3"/>
  <c r="W143" i="3"/>
  <c r="W151" i="3"/>
  <c r="W159" i="3"/>
  <c r="W167" i="3"/>
  <c r="W175" i="3"/>
  <c r="W183" i="3"/>
  <c r="W191" i="3"/>
  <c r="W199" i="3"/>
  <c r="W207" i="3"/>
  <c r="W215" i="3"/>
  <c r="W223" i="3"/>
  <c r="W225" i="3"/>
  <c r="W230" i="3"/>
  <c r="W232" i="3"/>
  <c r="W234" i="3"/>
  <c r="W236" i="3"/>
  <c r="W238" i="3"/>
  <c r="W240" i="3"/>
  <c r="W242" i="3"/>
  <c r="W244" i="3"/>
  <c r="W246" i="3"/>
  <c r="W248" i="3"/>
  <c r="W250" i="3"/>
  <c r="W252" i="3"/>
  <c r="W254" i="3"/>
  <c r="W256" i="3"/>
  <c r="W258" i="3"/>
  <c r="W260" i="3"/>
  <c r="W262" i="3"/>
  <c r="W264" i="3"/>
  <c r="W266" i="3"/>
  <c r="W268" i="3"/>
  <c r="W270" i="3"/>
  <c r="W272" i="3"/>
  <c r="W274" i="3"/>
  <c r="W276" i="3"/>
  <c r="W278" i="3"/>
  <c r="W280" i="3"/>
  <c r="W282" i="3"/>
  <c r="W284" i="3"/>
  <c r="W286" i="3"/>
  <c r="W288" i="3"/>
  <c r="W290" i="3"/>
  <c r="W292" i="3"/>
  <c r="W294" i="3"/>
  <c r="W296" i="3"/>
  <c r="W298" i="3"/>
  <c r="W300" i="3"/>
  <c r="W302" i="3"/>
  <c r="W133" i="3"/>
  <c r="W141" i="3"/>
  <c r="W149" i="3"/>
  <c r="W157" i="3"/>
  <c r="W165" i="3"/>
  <c r="W173" i="3"/>
  <c r="W181" i="3"/>
  <c r="W189" i="3"/>
  <c r="W197" i="3"/>
  <c r="W205" i="3"/>
  <c r="W213" i="3"/>
  <c r="W221" i="3"/>
  <c r="W228" i="3"/>
  <c r="V340" i="3"/>
  <c r="V338" i="3"/>
  <c r="V336" i="3"/>
  <c r="V334" i="3"/>
  <c r="V332" i="3"/>
  <c r="V330" i="3"/>
  <c r="V328" i="3"/>
  <c r="V326" i="3"/>
  <c r="V324" i="3"/>
  <c r="V322" i="3"/>
  <c r="V320" i="3"/>
  <c r="V318" i="3"/>
  <c r="V316" i="3"/>
  <c r="V314" i="3"/>
  <c r="W311" i="3"/>
  <c r="W307" i="3"/>
  <c r="W303" i="3"/>
  <c r="W295" i="3"/>
  <c r="W287" i="3"/>
  <c r="Y276" i="3"/>
  <c r="Y268" i="3"/>
  <c r="Y260" i="3"/>
  <c r="W255" i="3"/>
  <c r="W247" i="3"/>
  <c r="W239" i="3"/>
  <c r="W231" i="3"/>
  <c r="W211" i="3"/>
  <c r="Y200" i="3"/>
  <c r="Y168" i="3"/>
  <c r="W147" i="3"/>
  <c r="Y136" i="3"/>
  <c r="X115" i="3"/>
  <c r="V3" i="3"/>
  <c r="V5" i="3"/>
  <c r="V7" i="3"/>
  <c r="V9" i="3"/>
  <c r="V11" i="3"/>
  <c r="V13" i="3"/>
  <c r="V15" i="3"/>
  <c r="V17" i="3"/>
  <c r="V19" i="3"/>
  <c r="V21" i="3"/>
  <c r="V23" i="3"/>
  <c r="V25" i="3"/>
  <c r="V27" i="3"/>
  <c r="V29" i="3"/>
  <c r="V4" i="3"/>
  <c r="V6" i="3"/>
  <c r="V8" i="3"/>
  <c r="V10" i="3"/>
  <c r="V12" i="3"/>
  <c r="V14" i="3"/>
  <c r="V16" i="3"/>
  <c r="V18" i="3"/>
  <c r="V20" i="3"/>
  <c r="V22" i="3"/>
  <c r="V24" i="3"/>
  <c r="V26" i="3"/>
  <c r="V28" i="3"/>
  <c r="V30" i="3"/>
  <c r="V35" i="3"/>
  <c r="V36" i="3"/>
  <c r="V43" i="3"/>
  <c r="V44" i="3"/>
  <c r="V51" i="3"/>
  <c r="V52" i="3"/>
  <c r="V59" i="3"/>
  <c r="V37" i="3"/>
  <c r="V38" i="3"/>
  <c r="V45" i="3"/>
  <c r="V46" i="3"/>
  <c r="V53" i="3"/>
  <c r="V54" i="3"/>
  <c r="V60" i="3"/>
  <c r="V62" i="3"/>
  <c r="V64" i="3"/>
  <c r="V66" i="3"/>
  <c r="V68" i="3"/>
  <c r="V70" i="3"/>
  <c r="V72" i="3"/>
  <c r="V74" i="3"/>
  <c r="V76" i="3"/>
  <c r="V78" i="3"/>
  <c r="V80" i="3"/>
  <c r="V82" i="3"/>
  <c r="V84" i="3"/>
  <c r="V31" i="3"/>
  <c r="V32" i="3"/>
  <c r="V39" i="3"/>
  <c r="V40" i="3"/>
  <c r="V47" i="3"/>
  <c r="V48" i="3"/>
  <c r="V55" i="3"/>
  <c r="V56" i="3"/>
  <c r="V33" i="3"/>
  <c r="V58" i="3"/>
  <c r="V61" i="3"/>
  <c r="V69" i="3"/>
  <c r="V77" i="3"/>
  <c r="V86" i="3"/>
  <c r="V34" i="3"/>
  <c r="V41" i="3"/>
  <c r="V67" i="3"/>
  <c r="V75" i="3"/>
  <c r="V83" i="3"/>
  <c r="V85" i="3"/>
  <c r="V89" i="3"/>
  <c r="V91" i="3"/>
  <c r="V93" i="3"/>
  <c r="V95" i="3"/>
  <c r="V97" i="3"/>
  <c r="V99" i="3"/>
  <c r="V101" i="3"/>
  <c r="V103" i="3"/>
  <c r="V105" i="3"/>
  <c r="V107" i="3"/>
  <c r="V109" i="3"/>
  <c r="V111" i="3"/>
  <c r="V113" i="3"/>
  <c r="V115" i="3"/>
  <c r="V117" i="3"/>
  <c r="V119" i="3"/>
  <c r="V121" i="3"/>
  <c r="V123" i="3"/>
  <c r="V125" i="3"/>
  <c r="V127" i="3"/>
  <c r="V42" i="3"/>
  <c r="V49" i="3"/>
  <c r="V65" i="3"/>
  <c r="V73" i="3"/>
  <c r="V81" i="3"/>
  <c r="V92" i="3"/>
  <c r="V100" i="3"/>
  <c r="V108" i="3"/>
  <c r="V116" i="3"/>
  <c r="V124" i="3"/>
  <c r="V129" i="3"/>
  <c r="V130" i="3"/>
  <c r="V132" i="3"/>
  <c r="V134" i="3"/>
  <c r="V136" i="3"/>
  <c r="V138" i="3"/>
  <c r="V140" i="3"/>
  <c r="V142" i="3"/>
  <c r="V144" i="3"/>
  <c r="V146" i="3"/>
  <c r="V148" i="3"/>
  <c r="V150" i="3"/>
  <c r="V152" i="3"/>
  <c r="V154" i="3"/>
  <c r="V156" i="3"/>
  <c r="V158" i="3"/>
  <c r="V160" i="3"/>
  <c r="V162" i="3"/>
  <c r="V164" i="3"/>
  <c r="V166" i="3"/>
  <c r="V168" i="3"/>
  <c r="V170" i="3"/>
  <c r="V172" i="3"/>
  <c r="V174" i="3"/>
  <c r="V176" i="3"/>
  <c r="V178" i="3"/>
  <c r="V180" i="3"/>
  <c r="V182" i="3"/>
  <c r="V184" i="3"/>
  <c r="V186" i="3"/>
  <c r="V188" i="3"/>
  <c r="V190" i="3"/>
  <c r="V192" i="3"/>
  <c r="V194" i="3"/>
  <c r="V196" i="3"/>
  <c r="V198" i="3"/>
  <c r="V200" i="3"/>
  <c r="V202" i="3"/>
  <c r="V204" i="3"/>
  <c r="V206" i="3"/>
  <c r="V208" i="3"/>
  <c r="V210" i="3"/>
  <c r="V212" i="3"/>
  <c r="V214" i="3"/>
  <c r="V216" i="3"/>
  <c r="V218" i="3"/>
  <c r="V220" i="3"/>
  <c r="V222" i="3"/>
  <c r="V224" i="3"/>
  <c r="V226" i="3"/>
  <c r="V228" i="3"/>
  <c r="V57" i="3"/>
  <c r="V79" i="3"/>
  <c r="V87" i="3"/>
  <c r="V90" i="3"/>
  <c r="V98" i="3"/>
  <c r="V106" i="3"/>
  <c r="V114" i="3"/>
  <c r="V122" i="3"/>
  <c r="V71" i="3"/>
  <c r="V88" i="3"/>
  <c r="V96" i="3"/>
  <c r="V104" i="3"/>
  <c r="V112" i="3"/>
  <c r="V120" i="3"/>
  <c r="V128" i="3"/>
  <c r="V131" i="3"/>
  <c r="V133" i="3"/>
  <c r="V135" i="3"/>
  <c r="V137" i="3"/>
  <c r="V139" i="3"/>
  <c r="V141" i="3"/>
  <c r="V143" i="3"/>
  <c r="V145" i="3"/>
  <c r="V147" i="3"/>
  <c r="V149" i="3"/>
  <c r="V151" i="3"/>
  <c r="V153" i="3"/>
  <c r="V155" i="3"/>
  <c r="V157" i="3"/>
  <c r="V159" i="3"/>
  <c r="V161" i="3"/>
  <c r="V163" i="3"/>
  <c r="V165" i="3"/>
  <c r="V167" i="3"/>
  <c r="V169" i="3"/>
  <c r="V171" i="3"/>
  <c r="V173" i="3"/>
  <c r="V175" i="3"/>
  <c r="V177" i="3"/>
  <c r="V179" i="3"/>
  <c r="V181" i="3"/>
  <c r="V183" i="3"/>
  <c r="V185" i="3"/>
  <c r="V187" i="3"/>
  <c r="V189" i="3"/>
  <c r="V191" i="3"/>
  <c r="V193" i="3"/>
  <c r="V195" i="3"/>
  <c r="V197" i="3"/>
  <c r="V199" i="3"/>
  <c r="V201" i="3"/>
  <c r="V203" i="3"/>
  <c r="V205" i="3"/>
  <c r="V207" i="3"/>
  <c r="V209" i="3"/>
  <c r="V211" i="3"/>
  <c r="V213" i="3"/>
  <c r="V215" i="3"/>
  <c r="V217" i="3"/>
  <c r="V219" i="3"/>
  <c r="V221" i="3"/>
  <c r="V223" i="3"/>
  <c r="V225" i="3"/>
  <c r="V227" i="3"/>
  <c r="V118" i="3"/>
  <c r="V230" i="3"/>
  <c r="V232" i="3"/>
  <c r="V234" i="3"/>
  <c r="V236" i="3"/>
  <c r="V238" i="3"/>
  <c r="V240" i="3"/>
  <c r="V242" i="3"/>
  <c r="V244" i="3"/>
  <c r="V246" i="3"/>
  <c r="V248" i="3"/>
  <c r="V250" i="3"/>
  <c r="V252" i="3"/>
  <c r="V254" i="3"/>
  <c r="V256" i="3"/>
  <c r="V258" i="3"/>
  <c r="V260" i="3"/>
  <c r="V262" i="3"/>
  <c r="V264" i="3"/>
  <c r="V266" i="3"/>
  <c r="V268" i="3"/>
  <c r="V270" i="3"/>
  <c r="V272" i="3"/>
  <c r="V274" i="3"/>
  <c r="V276" i="3"/>
  <c r="V278" i="3"/>
  <c r="V280" i="3"/>
  <c r="V282" i="3"/>
  <c r="V284" i="3"/>
  <c r="V286" i="3"/>
  <c r="V288" i="3"/>
  <c r="V290" i="3"/>
  <c r="V292" i="3"/>
  <c r="V294" i="3"/>
  <c r="V296" i="3"/>
  <c r="V298" i="3"/>
  <c r="V300" i="3"/>
  <c r="V302" i="3"/>
  <c r="V304" i="3"/>
  <c r="V306" i="3"/>
  <c r="V308" i="3"/>
  <c r="V310" i="3"/>
  <c r="V312" i="3"/>
  <c r="V50" i="3"/>
  <c r="V110" i="3"/>
  <c r="V63" i="3"/>
  <c r="V102" i="3"/>
  <c r="V229" i="3"/>
  <c r="V231" i="3"/>
  <c r="V233" i="3"/>
  <c r="V235" i="3"/>
  <c r="V237" i="3"/>
  <c r="V239" i="3"/>
  <c r="V241" i="3"/>
  <c r="V243" i="3"/>
  <c r="V245" i="3"/>
  <c r="V247" i="3"/>
  <c r="V249" i="3"/>
  <c r="V251" i="3"/>
  <c r="V253" i="3"/>
  <c r="V255" i="3"/>
  <c r="V257" i="3"/>
  <c r="V259" i="3"/>
  <c r="V261" i="3"/>
  <c r="V263" i="3"/>
  <c r="V265" i="3"/>
  <c r="V267" i="3"/>
  <c r="V269" i="3"/>
  <c r="V271" i="3"/>
  <c r="V273" i="3"/>
  <c r="V275" i="3"/>
  <c r="V277" i="3"/>
  <c r="V279" i="3"/>
  <c r="V281" i="3"/>
  <c r="V283" i="3"/>
  <c r="V285" i="3"/>
  <c r="V287" i="3"/>
  <c r="V289" i="3"/>
  <c r="V291" i="3"/>
  <c r="V293" i="3"/>
  <c r="V295" i="3"/>
  <c r="V297" i="3"/>
  <c r="V299" i="3"/>
  <c r="V301" i="3"/>
  <c r="V303" i="3"/>
  <c r="V305" i="3"/>
  <c r="V307" i="3"/>
  <c r="V309" i="3"/>
  <c r="V311" i="3"/>
  <c r="W341" i="3"/>
  <c r="Y340" i="3"/>
  <c r="W339" i="3"/>
  <c r="Y338" i="3"/>
  <c r="W337" i="3"/>
  <c r="Y336" i="3"/>
  <c r="W335" i="3"/>
  <c r="Y334" i="3"/>
  <c r="W333" i="3"/>
  <c r="Y332" i="3"/>
  <c r="W331" i="3"/>
  <c r="Y330" i="3"/>
  <c r="W329" i="3"/>
  <c r="Y328" i="3"/>
  <c r="W327" i="3"/>
  <c r="Y326" i="3"/>
  <c r="W325" i="3"/>
  <c r="Y324" i="3"/>
  <c r="W323" i="3"/>
  <c r="Y322" i="3"/>
  <c r="W321" i="3"/>
  <c r="Y320" i="3"/>
  <c r="W319" i="3"/>
  <c r="Y318" i="3"/>
  <c r="W317" i="3"/>
  <c r="Y316" i="3"/>
  <c r="W315" i="3"/>
  <c r="Y314" i="3"/>
  <c r="W313" i="3"/>
  <c r="W312" i="3"/>
  <c r="Y309" i="3"/>
  <c r="W308" i="3"/>
  <c r="Y305" i="3"/>
  <c r="W304" i="3"/>
  <c r="Y302" i="3"/>
  <c r="W297" i="3"/>
  <c r="Y294" i="3"/>
  <c r="W289" i="3"/>
  <c r="Y286" i="3"/>
  <c r="W281" i="3"/>
  <c r="Y278" i="3"/>
  <c r="W273" i="3"/>
  <c r="Y270" i="3"/>
  <c r="W265" i="3"/>
  <c r="Y262" i="3"/>
  <c r="W257" i="3"/>
  <c r="Y254" i="3"/>
  <c r="W249" i="3"/>
  <c r="Y246" i="3"/>
  <c r="W241" i="3"/>
  <c r="Y238" i="3"/>
  <c r="W233" i="3"/>
  <c r="Y230" i="3"/>
  <c r="W227" i="3"/>
  <c r="W219" i="3"/>
  <c r="Y208" i="3"/>
  <c r="W187" i="3"/>
  <c r="Y176" i="3"/>
  <c r="W155" i="3"/>
  <c r="Y312" i="3"/>
  <c r="Y308" i="3"/>
  <c r="Y304" i="3"/>
  <c r="W263" i="3"/>
  <c r="Y252" i="3"/>
  <c r="Y244" i="3"/>
  <c r="Y236" i="3"/>
  <c r="Y228" i="3"/>
  <c r="Y2" i="3"/>
  <c r="Y4" i="3"/>
  <c r="Y6" i="3"/>
  <c r="Y8" i="3"/>
  <c r="Y10" i="3"/>
  <c r="Y12" i="3"/>
  <c r="Y14" i="3"/>
  <c r="Y16" i="3"/>
  <c r="Y18" i="3"/>
  <c r="Y20" i="3"/>
  <c r="Y22" i="3"/>
  <c r="Y24" i="3"/>
  <c r="Y26" i="3"/>
  <c r="Y28" i="3"/>
  <c r="Y30" i="3"/>
  <c r="Y32" i="3"/>
  <c r="Y34" i="3"/>
  <c r="Y36" i="3"/>
  <c r="Y38" i="3"/>
  <c r="Y40" i="3"/>
  <c r="Y42" i="3"/>
  <c r="Y44" i="3"/>
  <c r="Y46" i="3"/>
  <c r="Y48" i="3"/>
  <c r="Y50" i="3"/>
  <c r="Y52" i="3"/>
  <c r="Y54" i="3"/>
  <c r="Y56" i="3"/>
  <c r="Y58" i="3"/>
  <c r="Y3" i="3"/>
  <c r="Y11" i="3"/>
  <c r="Y19" i="3"/>
  <c r="Y27" i="3"/>
  <c r="Y31" i="3"/>
  <c r="Y39" i="3"/>
  <c r="Y47" i="3"/>
  <c r="Y55" i="3"/>
  <c r="Y60" i="3"/>
  <c r="Y62" i="3"/>
  <c r="Y64" i="3"/>
  <c r="Y66" i="3"/>
  <c r="Y68" i="3"/>
  <c r="Y70" i="3"/>
  <c r="Y72" i="3"/>
  <c r="Y74" i="3"/>
  <c r="Y76" i="3"/>
  <c r="Y78" i="3"/>
  <c r="Y80" i="3"/>
  <c r="Y82" i="3"/>
  <c r="Y84" i="3"/>
  <c r="Y86" i="3"/>
  <c r="Y9" i="3"/>
  <c r="Y17" i="3"/>
  <c r="Y25" i="3"/>
  <c r="Y33" i="3"/>
  <c r="Y41" i="3"/>
  <c r="Y49" i="3"/>
  <c r="Y57" i="3"/>
  <c r="Y7" i="3"/>
  <c r="Y15" i="3"/>
  <c r="Y23" i="3"/>
  <c r="Y35" i="3"/>
  <c r="Y43" i="3"/>
  <c r="Y51" i="3"/>
  <c r="Y59" i="3"/>
  <c r="Y61" i="3"/>
  <c r="Y63" i="3"/>
  <c r="Y65" i="3"/>
  <c r="Y67" i="3"/>
  <c r="Y69" i="3"/>
  <c r="Y71" i="3"/>
  <c r="Y73" i="3"/>
  <c r="Y75" i="3"/>
  <c r="Y77" i="3"/>
  <c r="Y79" i="3"/>
  <c r="Y81" i="3"/>
  <c r="Y83" i="3"/>
  <c r="Y85" i="3"/>
  <c r="Y87" i="3"/>
  <c r="Y5" i="3"/>
  <c r="Y89" i="3"/>
  <c r="Y91" i="3"/>
  <c r="Y93" i="3"/>
  <c r="Y95" i="3"/>
  <c r="Y97" i="3"/>
  <c r="Y99" i="3"/>
  <c r="Y101" i="3"/>
  <c r="Y103" i="3"/>
  <c r="Y105" i="3"/>
  <c r="Y107" i="3"/>
  <c r="Y109" i="3"/>
  <c r="Y111" i="3"/>
  <c r="Y113" i="3"/>
  <c r="Y115" i="3"/>
  <c r="Y117" i="3"/>
  <c r="Y119" i="3"/>
  <c r="Y121" i="3"/>
  <c r="Y123" i="3"/>
  <c r="Y125" i="3"/>
  <c r="Y127" i="3"/>
  <c r="Y129" i="3"/>
  <c r="Y29" i="3"/>
  <c r="Y37" i="3"/>
  <c r="Y21" i="3"/>
  <c r="Y45" i="3"/>
  <c r="Y88" i="3"/>
  <c r="Y90" i="3"/>
  <c r="Y92" i="3"/>
  <c r="Y94" i="3"/>
  <c r="Y96" i="3"/>
  <c r="Y98" i="3"/>
  <c r="Y100" i="3"/>
  <c r="Y102" i="3"/>
  <c r="Y104" i="3"/>
  <c r="Y106" i="3"/>
  <c r="Y108" i="3"/>
  <c r="Y110" i="3"/>
  <c r="Y112" i="3"/>
  <c r="Y114" i="3"/>
  <c r="Y116" i="3"/>
  <c r="Y118" i="3"/>
  <c r="Y120" i="3"/>
  <c r="Y122" i="3"/>
  <c r="Y124" i="3"/>
  <c r="Y126" i="3"/>
  <c r="Y128" i="3"/>
  <c r="Y13" i="3"/>
  <c r="Y53" i="3"/>
  <c r="Y131" i="3"/>
  <c r="Y133" i="3"/>
  <c r="Y135" i="3"/>
  <c r="Y137" i="3"/>
  <c r="Y139" i="3"/>
  <c r="Y141" i="3"/>
  <c r="Y143" i="3"/>
  <c r="Y145" i="3"/>
  <c r="Y147" i="3"/>
  <c r="Y149" i="3"/>
  <c r="Y151" i="3"/>
  <c r="Y153" i="3"/>
  <c r="Y155" i="3"/>
  <c r="Y157" i="3"/>
  <c r="Y159" i="3"/>
  <c r="Y161" i="3"/>
  <c r="Y163" i="3"/>
  <c r="Y165" i="3"/>
  <c r="Y167" i="3"/>
  <c r="Y169" i="3"/>
  <c r="Y171" i="3"/>
  <c r="Y173" i="3"/>
  <c r="Y175" i="3"/>
  <c r="Y177" i="3"/>
  <c r="Y179" i="3"/>
  <c r="Y181" i="3"/>
  <c r="Y183" i="3"/>
  <c r="Y185" i="3"/>
  <c r="Y187" i="3"/>
  <c r="Y189" i="3"/>
  <c r="Y191" i="3"/>
  <c r="Y193" i="3"/>
  <c r="Y195" i="3"/>
  <c r="Y197" i="3"/>
  <c r="Y199" i="3"/>
  <c r="Y201" i="3"/>
  <c r="Y203" i="3"/>
  <c r="Y205" i="3"/>
  <c r="Y207" i="3"/>
  <c r="Y209" i="3"/>
  <c r="Y211" i="3"/>
  <c r="Y213" i="3"/>
  <c r="Y215" i="3"/>
  <c r="Y217" i="3"/>
  <c r="Y219" i="3"/>
  <c r="Y221" i="3"/>
  <c r="Y223" i="3"/>
  <c r="Y134" i="3"/>
  <c r="Y142" i="3"/>
  <c r="Y150" i="3"/>
  <c r="Y158" i="3"/>
  <c r="Y166" i="3"/>
  <c r="Y174" i="3"/>
  <c r="Y182" i="3"/>
  <c r="Y190" i="3"/>
  <c r="Y198" i="3"/>
  <c r="Y206" i="3"/>
  <c r="Y214" i="3"/>
  <c r="Y222" i="3"/>
  <c r="Y227" i="3"/>
  <c r="Y132" i="3"/>
  <c r="Y140" i="3"/>
  <c r="Y148" i="3"/>
  <c r="Y156" i="3"/>
  <c r="Y164" i="3"/>
  <c r="Y172" i="3"/>
  <c r="Y180" i="3"/>
  <c r="Y188" i="3"/>
  <c r="Y196" i="3"/>
  <c r="Y204" i="3"/>
  <c r="Y212" i="3"/>
  <c r="Y220" i="3"/>
  <c r="Y226" i="3"/>
  <c r="Y229" i="3"/>
  <c r="Y231" i="3"/>
  <c r="Y233" i="3"/>
  <c r="Y235" i="3"/>
  <c r="Y237" i="3"/>
  <c r="Y239" i="3"/>
  <c r="Y241" i="3"/>
  <c r="Y243" i="3"/>
  <c r="Y245" i="3"/>
  <c r="Y247" i="3"/>
  <c r="Y249" i="3"/>
  <c r="Y251" i="3"/>
  <c r="Y253" i="3"/>
  <c r="Y255" i="3"/>
  <c r="Y257" i="3"/>
  <c r="Y259" i="3"/>
  <c r="Y261" i="3"/>
  <c r="Y263" i="3"/>
  <c r="Y265" i="3"/>
  <c r="Y267" i="3"/>
  <c r="Y269" i="3"/>
  <c r="Y271" i="3"/>
  <c r="Y273" i="3"/>
  <c r="Y275" i="3"/>
  <c r="Y277" i="3"/>
  <c r="Y279" i="3"/>
  <c r="Y281" i="3"/>
  <c r="Y283" i="3"/>
  <c r="Y285" i="3"/>
  <c r="Y287" i="3"/>
  <c r="Y289" i="3"/>
  <c r="Y291" i="3"/>
  <c r="Y293" i="3"/>
  <c r="Y295" i="3"/>
  <c r="Y297" i="3"/>
  <c r="Y299" i="3"/>
  <c r="Y301" i="3"/>
  <c r="Y130" i="3"/>
  <c r="Y138" i="3"/>
  <c r="Y146" i="3"/>
  <c r="Y154" i="3"/>
  <c r="Y162" i="3"/>
  <c r="Y170" i="3"/>
  <c r="Y178" i="3"/>
  <c r="Y186" i="3"/>
  <c r="Y194" i="3"/>
  <c r="Y202" i="3"/>
  <c r="Y210" i="3"/>
  <c r="Y218" i="3"/>
  <c r="Y225" i="3"/>
  <c r="V339" i="3"/>
  <c r="X338" i="3"/>
  <c r="V337" i="3"/>
  <c r="X336" i="3"/>
  <c r="V335" i="3"/>
  <c r="X334" i="3"/>
  <c r="V333" i="3"/>
  <c r="X332" i="3"/>
  <c r="V331" i="3"/>
  <c r="X330" i="3"/>
  <c r="V329" i="3"/>
  <c r="X328" i="3"/>
  <c r="V327" i="3"/>
  <c r="X326" i="3"/>
  <c r="V325" i="3"/>
  <c r="X324" i="3"/>
  <c r="V323" i="3"/>
  <c r="X322" i="3"/>
  <c r="V321" i="3"/>
  <c r="X320" i="3"/>
  <c r="V319" i="3"/>
  <c r="X318" i="3"/>
  <c r="V317" i="3"/>
  <c r="X316" i="3"/>
  <c r="V315" i="3"/>
  <c r="V313" i="3"/>
  <c r="Y310" i="3"/>
  <c r="W309" i="3"/>
  <c r="Y306" i="3"/>
  <c r="W305" i="3"/>
  <c r="W299" i="3"/>
  <c r="Y296" i="3"/>
  <c r="W291" i="3"/>
  <c r="Y288" i="3"/>
  <c r="W283" i="3"/>
  <c r="Y280" i="3"/>
  <c r="W275" i="3"/>
  <c r="Y272" i="3"/>
  <c r="W267" i="3"/>
  <c r="Y264" i="3"/>
  <c r="W259" i="3"/>
  <c r="Y256" i="3"/>
  <c r="W251" i="3"/>
  <c r="Y248" i="3"/>
  <c r="W243" i="3"/>
  <c r="Y240" i="3"/>
  <c r="W235" i="3"/>
  <c r="Y232" i="3"/>
  <c r="Y216" i="3"/>
  <c r="W195" i="3"/>
  <c r="Y184" i="3"/>
  <c r="W163" i="3"/>
  <c r="Y152" i="3"/>
  <c r="W131" i="3"/>
  <c r="V94" i="3"/>
  <c r="X339" i="3"/>
  <c r="X337" i="3"/>
  <c r="X335" i="3"/>
  <c r="X333" i="3"/>
  <c r="X331" i="3"/>
  <c r="X329" i="3"/>
  <c r="X327" i="3"/>
  <c r="X325" i="3"/>
  <c r="X323" i="3"/>
  <c r="X321" i="3"/>
  <c r="X319" i="3"/>
  <c r="X317" i="3"/>
  <c r="X315" i="3"/>
  <c r="Y300" i="3"/>
  <c r="Y292" i="3"/>
  <c r="W279" i="3"/>
  <c r="W271" i="3"/>
  <c r="W179" i="3"/>
  <c r="X2" i="3"/>
  <c r="X4" i="3"/>
  <c r="X6" i="3"/>
  <c r="X8" i="3"/>
  <c r="X10" i="3"/>
  <c r="X12" i="3"/>
  <c r="X14" i="3"/>
  <c r="X16" i="3"/>
  <c r="X18" i="3"/>
  <c r="X20" i="3"/>
  <c r="X22" i="3"/>
  <c r="X24" i="3"/>
  <c r="X26" i="3"/>
  <c r="X28" i="3"/>
  <c r="X30" i="3"/>
  <c r="X3" i="3"/>
  <c r="X5" i="3"/>
  <c r="X7" i="3"/>
  <c r="X9" i="3"/>
  <c r="X11" i="3"/>
  <c r="X13" i="3"/>
  <c r="X15" i="3"/>
  <c r="X17" i="3"/>
  <c r="X19" i="3"/>
  <c r="X21" i="3"/>
  <c r="X23" i="3"/>
  <c r="X25" i="3"/>
  <c r="X27" i="3"/>
  <c r="X29" i="3"/>
  <c r="X32" i="3"/>
  <c r="X33" i="3"/>
  <c r="X40" i="3"/>
  <c r="X41" i="3"/>
  <c r="X48" i="3"/>
  <c r="X49" i="3"/>
  <c r="X56" i="3"/>
  <c r="X57" i="3"/>
  <c r="X34" i="3"/>
  <c r="X35" i="3"/>
  <c r="X42" i="3"/>
  <c r="X43" i="3"/>
  <c r="X50" i="3"/>
  <c r="X51" i="3"/>
  <c r="X58" i="3"/>
  <c r="X59" i="3"/>
  <c r="X61" i="3"/>
  <c r="X63" i="3"/>
  <c r="X65" i="3"/>
  <c r="X67" i="3"/>
  <c r="X69" i="3"/>
  <c r="X71" i="3"/>
  <c r="X73" i="3"/>
  <c r="X75" i="3"/>
  <c r="X77" i="3"/>
  <c r="X79" i="3"/>
  <c r="X81" i="3"/>
  <c r="X83" i="3"/>
  <c r="X36" i="3"/>
  <c r="X37" i="3"/>
  <c r="X44" i="3"/>
  <c r="X45" i="3"/>
  <c r="X52" i="3"/>
  <c r="X53" i="3"/>
  <c r="X47" i="3"/>
  <c r="X54" i="3"/>
  <c r="X66" i="3"/>
  <c r="X74" i="3"/>
  <c r="X82" i="3"/>
  <c r="X87" i="3"/>
  <c r="X55" i="3"/>
  <c r="X64" i="3"/>
  <c r="X72" i="3"/>
  <c r="X80" i="3"/>
  <c r="X86" i="3"/>
  <c r="X88" i="3"/>
  <c r="X90" i="3"/>
  <c r="X92" i="3"/>
  <c r="X94" i="3"/>
  <c r="X96" i="3"/>
  <c r="X98" i="3"/>
  <c r="X100" i="3"/>
  <c r="X102" i="3"/>
  <c r="X104" i="3"/>
  <c r="X106" i="3"/>
  <c r="X108" i="3"/>
  <c r="X110" i="3"/>
  <c r="X112" i="3"/>
  <c r="X114" i="3"/>
  <c r="X116" i="3"/>
  <c r="X118" i="3"/>
  <c r="X120" i="3"/>
  <c r="X122" i="3"/>
  <c r="X124" i="3"/>
  <c r="X126" i="3"/>
  <c r="X128" i="3"/>
  <c r="X31" i="3"/>
  <c r="X38" i="3"/>
  <c r="X62" i="3"/>
  <c r="X70" i="3"/>
  <c r="X78" i="3"/>
  <c r="X85" i="3"/>
  <c r="X39" i="3"/>
  <c r="X76" i="3"/>
  <c r="X89" i="3"/>
  <c r="X97" i="3"/>
  <c r="X105" i="3"/>
  <c r="X113" i="3"/>
  <c r="X121" i="3"/>
  <c r="X131" i="3"/>
  <c r="X133" i="3"/>
  <c r="X135" i="3"/>
  <c r="X137" i="3"/>
  <c r="X139" i="3"/>
  <c r="X141" i="3"/>
  <c r="X143" i="3"/>
  <c r="X145" i="3"/>
  <c r="X147" i="3"/>
  <c r="X149" i="3"/>
  <c r="X151" i="3"/>
  <c r="X153" i="3"/>
  <c r="X155" i="3"/>
  <c r="X157" i="3"/>
  <c r="X159" i="3"/>
  <c r="X161" i="3"/>
  <c r="X163" i="3"/>
  <c r="X165" i="3"/>
  <c r="X167" i="3"/>
  <c r="X169" i="3"/>
  <c r="X171" i="3"/>
  <c r="X173" i="3"/>
  <c r="X175" i="3"/>
  <c r="X177" i="3"/>
  <c r="X179" i="3"/>
  <c r="X181" i="3"/>
  <c r="X183" i="3"/>
  <c r="X185" i="3"/>
  <c r="X187" i="3"/>
  <c r="X189" i="3"/>
  <c r="X191" i="3"/>
  <c r="X193" i="3"/>
  <c r="X195" i="3"/>
  <c r="X197" i="3"/>
  <c r="X199" i="3"/>
  <c r="X201" i="3"/>
  <c r="X203" i="3"/>
  <c r="X205" i="3"/>
  <c r="X207" i="3"/>
  <c r="X209" i="3"/>
  <c r="X211" i="3"/>
  <c r="X213" i="3"/>
  <c r="X215" i="3"/>
  <c r="X217" i="3"/>
  <c r="X219" i="3"/>
  <c r="X221" i="3"/>
  <c r="X223" i="3"/>
  <c r="X225" i="3"/>
  <c r="X227" i="3"/>
  <c r="X68" i="3"/>
  <c r="X95" i="3"/>
  <c r="X103" i="3"/>
  <c r="X111" i="3"/>
  <c r="X119" i="3"/>
  <c r="X127" i="3"/>
  <c r="X129" i="3"/>
  <c r="X46" i="3"/>
  <c r="X60" i="3"/>
  <c r="X93" i="3"/>
  <c r="X101" i="3"/>
  <c r="X109" i="3"/>
  <c r="X117" i="3"/>
  <c r="X125" i="3"/>
  <c r="X130" i="3"/>
  <c r="X132" i="3"/>
  <c r="X134" i="3"/>
  <c r="X136" i="3"/>
  <c r="X138" i="3"/>
  <c r="X140" i="3"/>
  <c r="X142" i="3"/>
  <c r="X144" i="3"/>
  <c r="X146" i="3"/>
  <c r="X148" i="3"/>
  <c r="X150" i="3"/>
  <c r="X152" i="3"/>
  <c r="X154" i="3"/>
  <c r="X156" i="3"/>
  <c r="X158" i="3"/>
  <c r="X160" i="3"/>
  <c r="X162" i="3"/>
  <c r="X164" i="3"/>
  <c r="X166" i="3"/>
  <c r="X168" i="3"/>
  <c r="X170" i="3"/>
  <c r="X172" i="3"/>
  <c r="X174" i="3"/>
  <c r="X176" i="3"/>
  <c r="X178" i="3"/>
  <c r="X180" i="3"/>
  <c r="X182" i="3"/>
  <c r="X184" i="3"/>
  <c r="X186" i="3"/>
  <c r="X188" i="3"/>
  <c r="X190" i="3"/>
  <c r="X192" i="3"/>
  <c r="X194" i="3"/>
  <c r="X196" i="3"/>
  <c r="X198" i="3"/>
  <c r="X200" i="3"/>
  <c r="X202" i="3"/>
  <c r="X204" i="3"/>
  <c r="X206" i="3"/>
  <c r="X208" i="3"/>
  <c r="X210" i="3"/>
  <c r="X212" i="3"/>
  <c r="X214" i="3"/>
  <c r="X216" i="3"/>
  <c r="X218" i="3"/>
  <c r="X220" i="3"/>
  <c r="X222" i="3"/>
  <c r="X224" i="3"/>
  <c r="X226" i="3"/>
  <c r="X228" i="3"/>
  <c r="X84" i="3"/>
  <c r="X107" i="3"/>
  <c r="X229" i="3"/>
  <c r="X231" i="3"/>
  <c r="X233" i="3"/>
  <c r="X235" i="3"/>
  <c r="X237" i="3"/>
  <c r="X239" i="3"/>
  <c r="X241" i="3"/>
  <c r="X243" i="3"/>
  <c r="X245" i="3"/>
  <c r="X247" i="3"/>
  <c r="X249" i="3"/>
  <c r="X251" i="3"/>
  <c r="X253" i="3"/>
  <c r="X255" i="3"/>
  <c r="X257" i="3"/>
  <c r="X259" i="3"/>
  <c r="X261" i="3"/>
  <c r="X263" i="3"/>
  <c r="X265" i="3"/>
  <c r="X267" i="3"/>
  <c r="X269" i="3"/>
  <c r="X271" i="3"/>
  <c r="X273" i="3"/>
  <c r="X275" i="3"/>
  <c r="X277" i="3"/>
  <c r="X279" i="3"/>
  <c r="X281" i="3"/>
  <c r="X283" i="3"/>
  <c r="X285" i="3"/>
  <c r="X287" i="3"/>
  <c r="X289" i="3"/>
  <c r="X291" i="3"/>
  <c r="X293" i="3"/>
  <c r="X295" i="3"/>
  <c r="X297" i="3"/>
  <c r="X299" i="3"/>
  <c r="X301" i="3"/>
  <c r="X303" i="3"/>
  <c r="X305" i="3"/>
  <c r="X307" i="3"/>
  <c r="X309" i="3"/>
  <c r="X311" i="3"/>
  <c r="X99" i="3"/>
  <c r="X91" i="3"/>
  <c r="X123" i="3"/>
  <c r="X230" i="3"/>
  <c r="X232" i="3"/>
  <c r="X234" i="3"/>
  <c r="X236" i="3"/>
  <c r="X238" i="3"/>
  <c r="X240" i="3"/>
  <c r="X242" i="3"/>
  <c r="X244" i="3"/>
  <c r="X246" i="3"/>
  <c r="X248" i="3"/>
  <c r="X250" i="3"/>
  <c r="X252" i="3"/>
  <c r="X254" i="3"/>
  <c r="X256" i="3"/>
  <c r="X258" i="3"/>
  <c r="X260" i="3"/>
  <c r="X262" i="3"/>
  <c r="X264" i="3"/>
  <c r="X266" i="3"/>
  <c r="X268" i="3"/>
  <c r="X270" i="3"/>
  <c r="X272" i="3"/>
  <c r="X274" i="3"/>
  <c r="X276" i="3"/>
  <c r="X278" i="3"/>
  <c r="X280" i="3"/>
  <c r="X282" i="3"/>
  <c r="X284" i="3"/>
  <c r="X286" i="3"/>
  <c r="X288" i="3"/>
  <c r="X290" i="3"/>
  <c r="X292" i="3"/>
  <c r="X294" i="3"/>
  <c r="X296" i="3"/>
  <c r="X298" i="3"/>
  <c r="X300" i="3"/>
  <c r="X302" i="3"/>
  <c r="X304" i="3"/>
  <c r="X306" i="3"/>
  <c r="X308" i="3"/>
  <c r="X310" i="3"/>
  <c r="X312" i="3"/>
  <c r="Y341" i="3"/>
  <c r="W340" i="3"/>
  <c r="Y339" i="3"/>
  <c r="W338" i="3"/>
  <c r="Y337" i="3"/>
  <c r="W336" i="3"/>
  <c r="Y335" i="3"/>
  <c r="W334" i="3"/>
  <c r="Y333" i="3"/>
  <c r="W332" i="3"/>
  <c r="Y331" i="3"/>
  <c r="W330" i="3"/>
  <c r="Y329" i="3"/>
  <c r="W328" i="3"/>
  <c r="Y327" i="3"/>
  <c r="W326" i="3"/>
  <c r="Y325" i="3"/>
  <c r="W324" i="3"/>
  <c r="Y323" i="3"/>
  <c r="W322" i="3"/>
  <c r="Y321" i="3"/>
  <c r="W320" i="3"/>
  <c r="Y319" i="3"/>
  <c r="W318" i="3"/>
  <c r="Y317" i="3"/>
  <c r="W316" i="3"/>
  <c r="Y315" i="3"/>
  <c r="W314" i="3"/>
  <c r="Y313" i="3"/>
  <c r="Y311" i="3"/>
  <c r="W310" i="3"/>
  <c r="Y307" i="3"/>
  <c r="W306" i="3"/>
  <c r="Y303" i="3"/>
  <c r="W301" i="3"/>
  <c r="Y298" i="3"/>
  <c r="W293" i="3"/>
  <c r="Y290" i="3"/>
  <c r="W285" i="3"/>
  <c r="Y282" i="3"/>
  <c r="W277" i="3"/>
  <c r="Y274" i="3"/>
  <c r="W269" i="3"/>
  <c r="Y266" i="3"/>
  <c r="W261" i="3"/>
  <c r="Y258" i="3"/>
  <c r="W253" i="3"/>
  <c r="Y250" i="3"/>
  <c r="W245" i="3"/>
  <c r="Y242" i="3"/>
  <c r="W237" i="3"/>
  <c r="Y234" i="3"/>
  <c r="W229" i="3"/>
  <c r="Y224" i="3"/>
  <c r="W203" i="3"/>
  <c r="Y192" i="3"/>
  <c r="W171" i="3"/>
  <c r="Y160" i="3"/>
  <c r="W139" i="3"/>
  <c r="V126" i="3"/>
  <c r="V2" i="3"/>
  <c r="Z2" i="3" l="1"/>
  <c r="AA2" i="3" s="1"/>
  <c r="Z126" i="3"/>
  <c r="AA126" i="3" s="1"/>
  <c r="Z110" i="3"/>
  <c r="AA110" i="3" s="1"/>
  <c r="Z300" i="3"/>
  <c r="AA300" i="3" s="1"/>
  <c r="Z292" i="3"/>
  <c r="AA292" i="3" s="1"/>
  <c r="Z284" i="3"/>
  <c r="AA284" i="3" s="1"/>
  <c r="Z276" i="3"/>
  <c r="AA276" i="3" s="1"/>
  <c r="Z268" i="3"/>
  <c r="AA268" i="3" s="1"/>
  <c r="Z260" i="3"/>
  <c r="AA260" i="3" s="1"/>
  <c r="Z252" i="3"/>
  <c r="AA252" i="3" s="1"/>
  <c r="Z236" i="3"/>
  <c r="AA236" i="3" s="1"/>
  <c r="Z118" i="3"/>
  <c r="AA118" i="3" s="1"/>
  <c r="Z205" i="3"/>
  <c r="AA205" i="3" s="1"/>
  <c r="Z197" i="3"/>
  <c r="AA197" i="3" s="1"/>
  <c r="Z189" i="3"/>
  <c r="AA189" i="3" s="1"/>
  <c r="Z181" i="3"/>
  <c r="AA181" i="3" s="1"/>
  <c r="Z165" i="3"/>
  <c r="AA165" i="3" s="1"/>
  <c r="Z157" i="3"/>
  <c r="AA157" i="3" s="1"/>
  <c r="Z141" i="3"/>
  <c r="AA141" i="3" s="1"/>
  <c r="Z222" i="3"/>
  <c r="AA222" i="3" s="1"/>
  <c r="Z214" i="3"/>
  <c r="AA214" i="3" s="1"/>
  <c r="Z206" i="3"/>
  <c r="AA206" i="3" s="1"/>
  <c r="Z190" i="3"/>
  <c r="AA190" i="3" s="1"/>
  <c r="Z182" i="3"/>
  <c r="AA182" i="3" s="1"/>
  <c r="Z174" i="3"/>
  <c r="AA174" i="3" s="1"/>
  <c r="Z158" i="3"/>
  <c r="AA158" i="3" s="1"/>
  <c r="Z150" i="3"/>
  <c r="AA150" i="3" s="1"/>
  <c r="Z142" i="3"/>
  <c r="AA142" i="3" s="1"/>
  <c r="Z58" i="3"/>
  <c r="AA58" i="3" s="1"/>
  <c r="Z44" i="3"/>
  <c r="AA44" i="3" s="1"/>
  <c r="Z213" i="3"/>
  <c r="AA213" i="3" s="1"/>
  <c r="Z112" i="3"/>
  <c r="AA112" i="3" s="1"/>
  <c r="Z49" i="3"/>
  <c r="AA49" i="3" s="1"/>
  <c r="Z37" i="3"/>
  <c r="AA37" i="3" s="1"/>
  <c r="Z341" i="3"/>
  <c r="AA341" i="3" s="1"/>
  <c r="Z221" i="3"/>
  <c r="AA221" i="3" s="1"/>
  <c r="Z71" i="3"/>
  <c r="AA71" i="3" s="1"/>
  <c r="Z321" i="3"/>
  <c r="AA321" i="3" s="1"/>
  <c r="Z329" i="3"/>
  <c r="AA329" i="3" s="1"/>
  <c r="Z337" i="3"/>
  <c r="AA337" i="3" s="1"/>
  <c r="Z295" i="3"/>
  <c r="AA295" i="3" s="1"/>
  <c r="Z271" i="3"/>
  <c r="AA271" i="3" s="1"/>
  <c r="Z247" i="3"/>
  <c r="AA247" i="3" s="1"/>
  <c r="Z173" i="3"/>
  <c r="AA173" i="3" s="1"/>
  <c r="Z124" i="3"/>
  <c r="AA124" i="3" s="1"/>
  <c r="Z115" i="3"/>
  <c r="AA115" i="3" s="1"/>
  <c r="Z99" i="3"/>
  <c r="AA99" i="3" s="1"/>
  <c r="Z75" i="3"/>
  <c r="AA75" i="3" s="1"/>
  <c r="Z32" i="3"/>
  <c r="AA32" i="3" s="1"/>
  <c r="Z72" i="3"/>
  <c r="AA72" i="3" s="1"/>
  <c r="Z53" i="3"/>
  <c r="AA53" i="3" s="1"/>
  <c r="Z22" i="3"/>
  <c r="AA22" i="3" s="1"/>
  <c r="Z6" i="3"/>
  <c r="AA6" i="3" s="1"/>
  <c r="Z17" i="3"/>
  <c r="AA17" i="3" s="1"/>
  <c r="Z316" i="3"/>
  <c r="AA316" i="3" s="1"/>
  <c r="Z332" i="3"/>
  <c r="AA332" i="3" s="1"/>
  <c r="Z303" i="3"/>
  <c r="AA303" i="3" s="1"/>
  <c r="Z279" i="3"/>
  <c r="AA279" i="3" s="1"/>
  <c r="Z255" i="3"/>
  <c r="AA255" i="3" s="1"/>
  <c r="Z231" i="3"/>
  <c r="AA231" i="3" s="1"/>
  <c r="Z149" i="3"/>
  <c r="AA149" i="3" s="1"/>
  <c r="Z133" i="3"/>
  <c r="AA133" i="3" s="1"/>
  <c r="Z57" i="3"/>
  <c r="AA57" i="3" s="1"/>
  <c r="Z198" i="3"/>
  <c r="AA198" i="3" s="1"/>
  <c r="Z166" i="3"/>
  <c r="AA166" i="3" s="1"/>
  <c r="Z134" i="3"/>
  <c r="AA134" i="3" s="1"/>
  <c r="Z92" i="3"/>
  <c r="AA92" i="3" s="1"/>
  <c r="Z123" i="3"/>
  <c r="AA123" i="3" s="1"/>
  <c r="Z107" i="3"/>
  <c r="AA107" i="3" s="1"/>
  <c r="Z91" i="3"/>
  <c r="AA91" i="3" s="1"/>
  <c r="Z86" i="3"/>
  <c r="AA86" i="3" s="1"/>
  <c r="Z48" i="3"/>
  <c r="AA48" i="3" s="1"/>
  <c r="Z80" i="3"/>
  <c r="AA80" i="3" s="1"/>
  <c r="Z64" i="3"/>
  <c r="AA64" i="3" s="1"/>
  <c r="Z30" i="3"/>
  <c r="AA30" i="3" s="1"/>
  <c r="Z14" i="3"/>
  <c r="AA14" i="3" s="1"/>
  <c r="Z25" i="3"/>
  <c r="AA25" i="3" s="1"/>
  <c r="Z9" i="3"/>
  <c r="AA9" i="3" s="1"/>
  <c r="Z324" i="3"/>
  <c r="AA324" i="3" s="1"/>
  <c r="Z340" i="3"/>
  <c r="AA340" i="3" s="1"/>
  <c r="Z311" i="3"/>
  <c r="AA311" i="3" s="1"/>
  <c r="Z287" i="3"/>
  <c r="AA287" i="3" s="1"/>
  <c r="Z263" i="3"/>
  <c r="AA263" i="3" s="1"/>
  <c r="Z239" i="3"/>
  <c r="AA239" i="3" s="1"/>
  <c r="Z308" i="3"/>
  <c r="AA308" i="3" s="1"/>
  <c r="Z244" i="3"/>
  <c r="AA244" i="3" s="1"/>
  <c r="Z98" i="3"/>
  <c r="AA98" i="3" s="1"/>
  <c r="Z94" i="3"/>
  <c r="AA94" i="3" s="1"/>
  <c r="Z313" i="3"/>
  <c r="AA313" i="3" s="1"/>
  <c r="Z319" i="3"/>
  <c r="AA319" i="3" s="1"/>
  <c r="Z327" i="3"/>
  <c r="AA327" i="3" s="1"/>
  <c r="Z335" i="3"/>
  <c r="AA335" i="3" s="1"/>
  <c r="Z309" i="3"/>
  <c r="AA309" i="3" s="1"/>
  <c r="Z301" i="3"/>
  <c r="AA301" i="3" s="1"/>
  <c r="Z293" i="3"/>
  <c r="AA293" i="3" s="1"/>
  <c r="Z285" i="3"/>
  <c r="AA285" i="3" s="1"/>
  <c r="Z277" i="3"/>
  <c r="AA277" i="3" s="1"/>
  <c r="Z269" i="3"/>
  <c r="AA269" i="3" s="1"/>
  <c r="Z261" i="3"/>
  <c r="AA261" i="3" s="1"/>
  <c r="Z253" i="3"/>
  <c r="AA253" i="3" s="1"/>
  <c r="Z245" i="3"/>
  <c r="AA245" i="3" s="1"/>
  <c r="Z237" i="3"/>
  <c r="AA237" i="3" s="1"/>
  <c r="Z229" i="3"/>
  <c r="AA229" i="3" s="1"/>
  <c r="Z50" i="3"/>
  <c r="AA50" i="3" s="1"/>
  <c r="Z306" i="3"/>
  <c r="AA306" i="3" s="1"/>
  <c r="Z298" i="3"/>
  <c r="AA298" i="3" s="1"/>
  <c r="Z290" i="3"/>
  <c r="AA290" i="3" s="1"/>
  <c r="Z282" i="3"/>
  <c r="AA282" i="3" s="1"/>
  <c r="Z274" i="3"/>
  <c r="AA274" i="3" s="1"/>
  <c r="Z266" i="3"/>
  <c r="AA266" i="3" s="1"/>
  <c r="Z258" i="3"/>
  <c r="AA258" i="3" s="1"/>
  <c r="Z250" i="3"/>
  <c r="AA250" i="3" s="1"/>
  <c r="Z242" i="3"/>
  <c r="AA242" i="3" s="1"/>
  <c r="Z234" i="3"/>
  <c r="AA234" i="3" s="1"/>
  <c r="Z227" i="3"/>
  <c r="AA227" i="3" s="1"/>
  <c r="Z219" i="3"/>
  <c r="AA219" i="3" s="1"/>
  <c r="Z211" i="3"/>
  <c r="AA211" i="3" s="1"/>
  <c r="Z203" i="3"/>
  <c r="AA203" i="3" s="1"/>
  <c r="Z195" i="3"/>
  <c r="AA195" i="3" s="1"/>
  <c r="Z187" i="3"/>
  <c r="AA187" i="3" s="1"/>
  <c r="Z179" i="3"/>
  <c r="AA179" i="3" s="1"/>
  <c r="Z171" i="3"/>
  <c r="AA171" i="3" s="1"/>
  <c r="Z163" i="3"/>
  <c r="AA163" i="3" s="1"/>
  <c r="Z155" i="3"/>
  <c r="AA155" i="3" s="1"/>
  <c r="Z147" i="3"/>
  <c r="AA147" i="3" s="1"/>
  <c r="Z139" i="3"/>
  <c r="AA139" i="3" s="1"/>
  <c r="Z131" i="3"/>
  <c r="AA131" i="3" s="1"/>
  <c r="Z104" i="3"/>
  <c r="AA104" i="3" s="1"/>
  <c r="Z122" i="3"/>
  <c r="AA122" i="3" s="1"/>
  <c r="Z90" i="3"/>
  <c r="AA90" i="3" s="1"/>
  <c r="Z228" i="3"/>
  <c r="AA228" i="3" s="1"/>
  <c r="Z220" i="3"/>
  <c r="AA220" i="3" s="1"/>
  <c r="Z212" i="3"/>
  <c r="AA212" i="3" s="1"/>
  <c r="Z204" i="3"/>
  <c r="AA204" i="3" s="1"/>
  <c r="Z196" i="3"/>
  <c r="AA196" i="3" s="1"/>
  <c r="Z188" i="3"/>
  <c r="AA188" i="3" s="1"/>
  <c r="Z180" i="3"/>
  <c r="AA180" i="3" s="1"/>
  <c r="Z172" i="3"/>
  <c r="AA172" i="3" s="1"/>
  <c r="Z164" i="3"/>
  <c r="AA164" i="3" s="1"/>
  <c r="Z156" i="3"/>
  <c r="AA156" i="3" s="1"/>
  <c r="Z148" i="3"/>
  <c r="AA148" i="3" s="1"/>
  <c r="Z140" i="3"/>
  <c r="AA140" i="3" s="1"/>
  <c r="Z132" i="3"/>
  <c r="AA132" i="3" s="1"/>
  <c r="Z116" i="3"/>
  <c r="AA116" i="3" s="1"/>
  <c r="Z81" i="3"/>
  <c r="AA81" i="3" s="1"/>
  <c r="Z42" i="3"/>
  <c r="AA42" i="3" s="1"/>
  <c r="Z121" i="3"/>
  <c r="AA121" i="3" s="1"/>
  <c r="Z113" i="3"/>
  <c r="AA113" i="3" s="1"/>
  <c r="Z105" i="3"/>
  <c r="AA105" i="3" s="1"/>
  <c r="Z97" i="3"/>
  <c r="AA97" i="3" s="1"/>
  <c r="Z89" i="3"/>
  <c r="AA89" i="3" s="1"/>
  <c r="Z67" i="3"/>
  <c r="AA67" i="3" s="1"/>
  <c r="Z77" i="3"/>
  <c r="AA77" i="3" s="1"/>
  <c r="Z33" i="3"/>
  <c r="AA33" i="3" s="1"/>
  <c r="Z47" i="3"/>
  <c r="AA47" i="3" s="1"/>
  <c r="Z31" i="3"/>
  <c r="AA31" i="3" s="1"/>
  <c r="Z78" i="3"/>
  <c r="AA78" i="3" s="1"/>
  <c r="Z70" i="3"/>
  <c r="AA70" i="3" s="1"/>
  <c r="Z62" i="3"/>
  <c r="AA62" i="3" s="1"/>
  <c r="Z46" i="3"/>
  <c r="AA46" i="3" s="1"/>
  <c r="Z59" i="3"/>
  <c r="AA59" i="3" s="1"/>
  <c r="Z43" i="3"/>
  <c r="AA43" i="3" s="1"/>
  <c r="Z28" i="3"/>
  <c r="AA28" i="3" s="1"/>
  <c r="Z20" i="3"/>
  <c r="AA20" i="3" s="1"/>
  <c r="Z12" i="3"/>
  <c r="AA12" i="3" s="1"/>
  <c r="Z4" i="3"/>
  <c r="AA4" i="3" s="1"/>
  <c r="Z23" i="3"/>
  <c r="AA23" i="3" s="1"/>
  <c r="Z15" i="3"/>
  <c r="AA15" i="3" s="1"/>
  <c r="Z7" i="3"/>
  <c r="AA7" i="3" s="1"/>
  <c r="Z318" i="3"/>
  <c r="AA318" i="3" s="1"/>
  <c r="Z326" i="3"/>
  <c r="AA326" i="3" s="1"/>
  <c r="Z334" i="3"/>
  <c r="AA334" i="3" s="1"/>
  <c r="Z317" i="3"/>
  <c r="AA317" i="3" s="1"/>
  <c r="Z325" i="3"/>
  <c r="AA325" i="3" s="1"/>
  <c r="Z333" i="3"/>
  <c r="AA333" i="3" s="1"/>
  <c r="Z307" i="3"/>
  <c r="AA307" i="3" s="1"/>
  <c r="Z299" i="3"/>
  <c r="AA299" i="3" s="1"/>
  <c r="Z291" i="3"/>
  <c r="AA291" i="3" s="1"/>
  <c r="Z283" i="3"/>
  <c r="AA283" i="3" s="1"/>
  <c r="Z275" i="3"/>
  <c r="AA275" i="3" s="1"/>
  <c r="Z267" i="3"/>
  <c r="AA267" i="3" s="1"/>
  <c r="Z259" i="3"/>
  <c r="AA259" i="3" s="1"/>
  <c r="Z251" i="3"/>
  <c r="AA251" i="3" s="1"/>
  <c r="Z243" i="3"/>
  <c r="AA243" i="3" s="1"/>
  <c r="Z235" i="3"/>
  <c r="AA235" i="3" s="1"/>
  <c r="Z102" i="3"/>
  <c r="AA102" i="3" s="1"/>
  <c r="Z312" i="3"/>
  <c r="AA312" i="3" s="1"/>
  <c r="Z304" i="3"/>
  <c r="AA304" i="3" s="1"/>
  <c r="Z296" i="3"/>
  <c r="AA296" i="3" s="1"/>
  <c r="Z288" i="3"/>
  <c r="AA288" i="3" s="1"/>
  <c r="Z280" i="3"/>
  <c r="AA280" i="3" s="1"/>
  <c r="Z272" i="3"/>
  <c r="AA272" i="3" s="1"/>
  <c r="Z264" i="3"/>
  <c r="AA264" i="3" s="1"/>
  <c r="Z256" i="3"/>
  <c r="AA256" i="3" s="1"/>
  <c r="Z248" i="3"/>
  <c r="AA248" i="3" s="1"/>
  <c r="Z240" i="3"/>
  <c r="AA240" i="3" s="1"/>
  <c r="Z232" i="3"/>
  <c r="AA232" i="3" s="1"/>
  <c r="Z225" i="3"/>
  <c r="AA225" i="3" s="1"/>
  <c r="Z217" i="3"/>
  <c r="AA217" i="3" s="1"/>
  <c r="Z209" i="3"/>
  <c r="AA209" i="3" s="1"/>
  <c r="Z201" i="3"/>
  <c r="AA201" i="3" s="1"/>
  <c r="Z193" i="3"/>
  <c r="AA193" i="3" s="1"/>
  <c r="Z185" i="3"/>
  <c r="AA185" i="3" s="1"/>
  <c r="Z177" i="3"/>
  <c r="AA177" i="3" s="1"/>
  <c r="Z169" i="3"/>
  <c r="AA169" i="3" s="1"/>
  <c r="Z161" i="3"/>
  <c r="AA161" i="3" s="1"/>
  <c r="Z153" i="3"/>
  <c r="AA153" i="3" s="1"/>
  <c r="Z145" i="3"/>
  <c r="AA145" i="3" s="1"/>
  <c r="Z137" i="3"/>
  <c r="AA137" i="3" s="1"/>
  <c r="Z128" i="3"/>
  <c r="AA128" i="3" s="1"/>
  <c r="Z96" i="3"/>
  <c r="AA96" i="3" s="1"/>
  <c r="Z114" i="3"/>
  <c r="AA114" i="3" s="1"/>
  <c r="Z87" i="3"/>
  <c r="AA87" i="3" s="1"/>
  <c r="Z226" i="3"/>
  <c r="AA226" i="3" s="1"/>
  <c r="Z218" i="3"/>
  <c r="AA218" i="3" s="1"/>
  <c r="Z210" i="3"/>
  <c r="AA210" i="3" s="1"/>
  <c r="Z202" i="3"/>
  <c r="AA202" i="3" s="1"/>
  <c r="Z194" i="3"/>
  <c r="AA194" i="3" s="1"/>
  <c r="Z186" i="3"/>
  <c r="AA186" i="3" s="1"/>
  <c r="Z178" i="3"/>
  <c r="AA178" i="3" s="1"/>
  <c r="Z170" i="3"/>
  <c r="AA170" i="3" s="1"/>
  <c r="Z162" i="3"/>
  <c r="AA162" i="3" s="1"/>
  <c r="Z154" i="3"/>
  <c r="AA154" i="3" s="1"/>
  <c r="Z146" i="3"/>
  <c r="AA146" i="3" s="1"/>
  <c r="Z138" i="3"/>
  <c r="AA138" i="3" s="1"/>
  <c r="Z130" i="3"/>
  <c r="AA130" i="3" s="1"/>
  <c r="Z108" i="3"/>
  <c r="AA108" i="3" s="1"/>
  <c r="Z73" i="3"/>
  <c r="AA73" i="3" s="1"/>
  <c r="Z127" i="3"/>
  <c r="AA127" i="3" s="1"/>
  <c r="Z119" i="3"/>
  <c r="AA119" i="3" s="1"/>
  <c r="Z111" i="3"/>
  <c r="AA111" i="3" s="1"/>
  <c r="Z103" i="3"/>
  <c r="AA103" i="3" s="1"/>
  <c r="Z95" i="3"/>
  <c r="AA95" i="3" s="1"/>
  <c r="Z85" i="3"/>
  <c r="AA85" i="3" s="1"/>
  <c r="Z41" i="3"/>
  <c r="AA41" i="3" s="1"/>
  <c r="Z69" i="3"/>
  <c r="AA69" i="3" s="1"/>
  <c r="Z56" i="3"/>
  <c r="AA56" i="3" s="1"/>
  <c r="Z40" i="3"/>
  <c r="AA40" i="3" s="1"/>
  <c r="Z84" i="3"/>
  <c r="AA84" i="3" s="1"/>
  <c r="Z76" i="3"/>
  <c r="AA76" i="3" s="1"/>
  <c r="Z68" i="3"/>
  <c r="AA68" i="3" s="1"/>
  <c r="Z60" i="3"/>
  <c r="AA60" i="3" s="1"/>
  <c r="Z45" i="3"/>
  <c r="AA45" i="3" s="1"/>
  <c r="Z52" i="3"/>
  <c r="AA52" i="3" s="1"/>
  <c r="Z36" i="3"/>
  <c r="AA36" i="3" s="1"/>
  <c r="Z26" i="3"/>
  <c r="AA26" i="3" s="1"/>
  <c r="Z18" i="3"/>
  <c r="AA18" i="3" s="1"/>
  <c r="Z10" i="3"/>
  <c r="AA10" i="3" s="1"/>
  <c r="Z29" i="3"/>
  <c r="AA29" i="3" s="1"/>
  <c r="Z21" i="3"/>
  <c r="AA21" i="3" s="1"/>
  <c r="Z13" i="3"/>
  <c r="AA13" i="3" s="1"/>
  <c r="Z5" i="3"/>
  <c r="AA5" i="3" s="1"/>
  <c r="Z320" i="3"/>
  <c r="AA320" i="3" s="1"/>
  <c r="Z328" i="3"/>
  <c r="AA328" i="3" s="1"/>
  <c r="Z336" i="3"/>
  <c r="AA336" i="3" s="1"/>
  <c r="Z315" i="3"/>
  <c r="AA315" i="3" s="1"/>
  <c r="Z323" i="3"/>
  <c r="AA323" i="3" s="1"/>
  <c r="Z331" i="3"/>
  <c r="AA331" i="3" s="1"/>
  <c r="Z339" i="3"/>
  <c r="AA339" i="3" s="1"/>
  <c r="Z305" i="3"/>
  <c r="AA305" i="3" s="1"/>
  <c r="Z297" i="3"/>
  <c r="AA297" i="3" s="1"/>
  <c r="Z289" i="3"/>
  <c r="AA289" i="3" s="1"/>
  <c r="Z281" i="3"/>
  <c r="AA281" i="3" s="1"/>
  <c r="Z273" i="3"/>
  <c r="AA273" i="3" s="1"/>
  <c r="Z265" i="3"/>
  <c r="AA265" i="3" s="1"/>
  <c r="Z257" i="3"/>
  <c r="AA257" i="3" s="1"/>
  <c r="Z249" i="3"/>
  <c r="AA249" i="3" s="1"/>
  <c r="Z241" i="3"/>
  <c r="AA241" i="3" s="1"/>
  <c r="Z233" i="3"/>
  <c r="AA233" i="3" s="1"/>
  <c r="Z63" i="3"/>
  <c r="AA63" i="3" s="1"/>
  <c r="Z310" i="3"/>
  <c r="AA310" i="3" s="1"/>
  <c r="Z302" i="3"/>
  <c r="AA302" i="3" s="1"/>
  <c r="Z294" i="3"/>
  <c r="AA294" i="3" s="1"/>
  <c r="Z286" i="3"/>
  <c r="AA286" i="3" s="1"/>
  <c r="Z278" i="3"/>
  <c r="AA278" i="3" s="1"/>
  <c r="Z270" i="3"/>
  <c r="AA270" i="3" s="1"/>
  <c r="Z262" i="3"/>
  <c r="AA262" i="3" s="1"/>
  <c r="Z254" i="3"/>
  <c r="AA254" i="3" s="1"/>
  <c r="Z246" i="3"/>
  <c r="AA246" i="3" s="1"/>
  <c r="Z238" i="3"/>
  <c r="AA238" i="3" s="1"/>
  <c r="Z230" i="3"/>
  <c r="AA230" i="3" s="1"/>
  <c r="Z223" i="3"/>
  <c r="AA223" i="3" s="1"/>
  <c r="Z215" i="3"/>
  <c r="AA215" i="3" s="1"/>
  <c r="Z207" i="3"/>
  <c r="AA207" i="3" s="1"/>
  <c r="Z199" i="3"/>
  <c r="AA199" i="3" s="1"/>
  <c r="Z191" i="3"/>
  <c r="AA191" i="3" s="1"/>
  <c r="Z183" i="3"/>
  <c r="AA183" i="3" s="1"/>
  <c r="Z175" i="3"/>
  <c r="AA175" i="3" s="1"/>
  <c r="Z167" i="3"/>
  <c r="AA167" i="3" s="1"/>
  <c r="Z159" i="3"/>
  <c r="AA159" i="3" s="1"/>
  <c r="Z151" i="3"/>
  <c r="AA151" i="3" s="1"/>
  <c r="Z143" i="3"/>
  <c r="AA143" i="3" s="1"/>
  <c r="Z135" i="3"/>
  <c r="AA135" i="3" s="1"/>
  <c r="Z120" i="3"/>
  <c r="AA120" i="3" s="1"/>
  <c r="Z88" i="3"/>
  <c r="AA88" i="3" s="1"/>
  <c r="Z106" i="3"/>
  <c r="AA106" i="3" s="1"/>
  <c r="Z79" i="3"/>
  <c r="AA79" i="3" s="1"/>
  <c r="Z224" i="3"/>
  <c r="AA224" i="3" s="1"/>
  <c r="Z216" i="3"/>
  <c r="AA216" i="3" s="1"/>
  <c r="Z208" i="3"/>
  <c r="AA208" i="3" s="1"/>
  <c r="Z200" i="3"/>
  <c r="AA200" i="3" s="1"/>
  <c r="Z192" i="3"/>
  <c r="AA192" i="3" s="1"/>
  <c r="Z184" i="3"/>
  <c r="AA184" i="3" s="1"/>
  <c r="Z176" i="3"/>
  <c r="AA176" i="3" s="1"/>
  <c r="Z168" i="3"/>
  <c r="AA168" i="3" s="1"/>
  <c r="Z160" i="3"/>
  <c r="AA160" i="3" s="1"/>
  <c r="Z152" i="3"/>
  <c r="AA152" i="3" s="1"/>
  <c r="Z144" i="3"/>
  <c r="AA144" i="3" s="1"/>
  <c r="Z136" i="3"/>
  <c r="AA136" i="3" s="1"/>
  <c r="Z129" i="3"/>
  <c r="AA129" i="3" s="1"/>
  <c r="Z100" i="3"/>
  <c r="AA100" i="3" s="1"/>
  <c r="Z65" i="3"/>
  <c r="AA65" i="3" s="1"/>
  <c r="Z125" i="3"/>
  <c r="AA125" i="3" s="1"/>
  <c r="Z117" i="3"/>
  <c r="AA117" i="3" s="1"/>
  <c r="Z109" i="3"/>
  <c r="AA109" i="3" s="1"/>
  <c r="Z101" i="3"/>
  <c r="AA101" i="3" s="1"/>
  <c r="Z93" i="3"/>
  <c r="AA93" i="3" s="1"/>
  <c r="Z83" i="3"/>
  <c r="AA83" i="3" s="1"/>
  <c r="Z34" i="3"/>
  <c r="AA34" i="3" s="1"/>
  <c r="Z61" i="3"/>
  <c r="AA61" i="3" s="1"/>
  <c r="Z55" i="3"/>
  <c r="AA55" i="3" s="1"/>
  <c r="Z39" i="3"/>
  <c r="AA39" i="3" s="1"/>
  <c r="Z82" i="3"/>
  <c r="AA82" i="3" s="1"/>
  <c r="Z74" i="3"/>
  <c r="AA74" i="3" s="1"/>
  <c r="Z66" i="3"/>
  <c r="AA66" i="3" s="1"/>
  <c r="Z54" i="3"/>
  <c r="AA54" i="3" s="1"/>
  <c r="Z38" i="3"/>
  <c r="AA38" i="3" s="1"/>
  <c r="Z51" i="3"/>
  <c r="AA51" i="3" s="1"/>
  <c r="Z35" i="3"/>
  <c r="AA35" i="3" s="1"/>
  <c r="Z24" i="3"/>
  <c r="AA24" i="3" s="1"/>
  <c r="Z16" i="3"/>
  <c r="AA16" i="3" s="1"/>
  <c r="Z8" i="3"/>
  <c r="AA8" i="3" s="1"/>
  <c r="Z27" i="3"/>
  <c r="AA27" i="3" s="1"/>
  <c r="Z19" i="3"/>
  <c r="AA19" i="3" s="1"/>
  <c r="Z11" i="3"/>
  <c r="AA11" i="3" s="1"/>
  <c r="Z3" i="3"/>
  <c r="AA3" i="3" s="1"/>
  <c r="Z314" i="3"/>
  <c r="AA314" i="3" s="1"/>
  <c r="Z322" i="3"/>
  <c r="AA322" i="3" s="1"/>
  <c r="Z330" i="3"/>
  <c r="AA330" i="3" s="1"/>
  <c r="Z338" i="3"/>
  <c r="AA338" i="3" s="1"/>
  <c r="AF22" i="3" l="1"/>
  <c r="AE22" i="3"/>
  <c r="AH22" i="3"/>
  <c r="AG22" i="3"/>
  <c r="AB2" i="3"/>
</calcChain>
</file>

<file path=xl/sharedStrings.xml><?xml version="1.0" encoding="utf-8"?>
<sst xmlns="http://schemas.openxmlformats.org/spreadsheetml/2006/main" count="207" uniqueCount="92">
  <si>
    <t>D1</t>
    <phoneticPr fontId="1" type="noConversion"/>
  </si>
  <si>
    <t>D2</t>
    <phoneticPr fontId="1" type="noConversion"/>
  </si>
  <si>
    <t>D3</t>
    <phoneticPr fontId="1" type="noConversion"/>
  </si>
  <si>
    <t>Min D</t>
    <phoneticPr fontId="1" type="noConversion"/>
  </si>
  <si>
    <r>
      <t>1</t>
    </r>
    <r>
      <rPr>
        <sz val="12"/>
        <color indexed="8"/>
        <rFont val="標楷體"/>
        <family val="4"/>
        <charset val="136"/>
      </rPr>
      <t>□</t>
    </r>
    <r>
      <rPr>
        <sz val="12"/>
        <color indexed="8"/>
        <rFont val="Times New Roman"/>
        <family val="1"/>
      </rPr>
      <t xml:space="preserve">    2</t>
    </r>
    <r>
      <rPr>
        <sz val="12"/>
        <color indexed="8"/>
        <rFont val="標楷體"/>
        <family val="4"/>
        <charset val="136"/>
      </rPr>
      <t>□</t>
    </r>
    <r>
      <rPr>
        <sz val="12"/>
        <color indexed="8"/>
        <rFont val="Times New Roman"/>
        <family val="1"/>
      </rPr>
      <t xml:space="preserve">    3</t>
    </r>
    <r>
      <rPr>
        <sz val="12"/>
        <color indexed="8"/>
        <rFont val="標楷體"/>
        <family val="4"/>
        <charset val="136"/>
      </rPr>
      <t>□</t>
    </r>
    <r>
      <rPr>
        <sz val="12"/>
        <color indexed="8"/>
        <rFont val="Times New Roman"/>
        <family val="1"/>
      </rPr>
      <t xml:space="preserve">    4</t>
    </r>
    <r>
      <rPr>
        <sz val="12"/>
        <color indexed="8"/>
        <rFont val="標楷體"/>
        <family val="4"/>
        <charset val="136"/>
      </rPr>
      <t>□</t>
    </r>
    <r>
      <rPr>
        <sz val="12"/>
        <color indexed="8"/>
        <rFont val="Times New Roman"/>
        <family val="1"/>
      </rPr>
      <t xml:space="preserve">    5</t>
    </r>
    <r>
      <rPr>
        <sz val="12"/>
        <color indexed="8"/>
        <rFont val="標楷體"/>
        <family val="4"/>
        <charset val="136"/>
      </rPr>
      <t>□</t>
    </r>
  </si>
  <si>
    <r>
      <t>20.</t>
    </r>
    <r>
      <rPr>
        <sz val="7"/>
        <color indexed="8"/>
        <rFont val="Times New Roman"/>
        <family val="1"/>
      </rPr>
      <t xml:space="preserve">  </t>
    </r>
    <r>
      <rPr>
        <sz val="10"/>
        <color indexed="8"/>
        <rFont val="細明體"/>
        <family val="3"/>
        <charset val="136"/>
      </rPr>
      <t>請問您贊成鞭刑嗎？</t>
    </r>
  </si>
  <si>
    <r>
      <t>19.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請問您贊成興建蘇花高嗎？</t>
    </r>
  </si>
  <si>
    <r>
      <t>18.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請問您贊成學校教師體罰學生嗎？</t>
    </r>
  </si>
  <si>
    <r>
      <t>17.</t>
    </r>
    <r>
      <rPr>
        <sz val="7"/>
        <color indexed="8"/>
        <rFont val="Times New Roman"/>
        <family val="1"/>
      </rPr>
      <t xml:space="preserve">  </t>
    </r>
    <r>
      <rPr>
        <sz val="10"/>
        <color indexed="8"/>
        <rFont val="細明體"/>
        <family val="3"/>
        <charset val="136"/>
      </rPr>
      <t>請問您贊成調降遺產稅及贈與稅嗎？</t>
    </r>
  </si>
  <si>
    <r>
      <t>16.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請問您贊成採取募兵制嗎？</t>
    </r>
  </si>
  <si>
    <r>
      <t>15.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請問您贊成國中基測採用一綱多本嗎？</t>
    </r>
  </si>
  <si>
    <r>
      <t>14.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請問您贊成健保只保大病嗎？</t>
    </r>
  </si>
  <si>
    <r>
      <t>13.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請問您贊成高等教育普及化嗎？</t>
    </r>
  </si>
  <si>
    <r>
      <t>12.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請問您贊成降低個人所得稅嗎？</t>
    </r>
  </si>
  <si>
    <r>
      <t>11.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請問您贊成限制各級選舉的經費上限嗎？</t>
    </r>
  </si>
  <si>
    <r>
      <t>10.</t>
    </r>
    <r>
      <rPr>
        <sz val="7"/>
        <color indexed="8"/>
        <rFont val="Times New Roman"/>
        <family val="1"/>
      </rPr>
      <t xml:space="preserve">  </t>
    </r>
    <r>
      <rPr>
        <sz val="10"/>
        <color indexed="8"/>
        <rFont val="細明體"/>
        <family val="3"/>
        <charset val="136"/>
      </rPr>
      <t>請問您贊成政府編列赤字預算嗎？</t>
    </r>
  </si>
  <si>
    <r>
      <t>9.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請問您贊成政府補助生育嗎？</t>
    </r>
  </si>
  <si>
    <r>
      <t>8.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請問您贊成政府訂定基本薪資嗎？</t>
    </r>
  </si>
  <si>
    <r>
      <t>7.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請問您贊成政府改成內閣制嗎？</t>
    </r>
  </si>
  <si>
    <r>
      <t>6.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請問您贊成承認中國大陸高等教育學歷嗎？</t>
    </r>
  </si>
  <si>
    <r>
      <t>5.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請問您贊成性交易合法化嗎？</t>
    </r>
  </si>
  <si>
    <r>
      <t>4.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請問您贊成走向高福利、高稅率的社會嗎？</t>
    </r>
  </si>
  <si>
    <r>
      <t>3.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請問您贊成死刑嗎？</t>
    </r>
  </si>
  <si>
    <r>
      <t>2.</t>
    </r>
    <r>
      <rPr>
        <sz val="7"/>
        <color indexed="8"/>
        <rFont val="Times New Roman"/>
        <family val="1"/>
      </rPr>
      <t xml:space="preserve">      </t>
    </r>
    <r>
      <rPr>
        <sz val="10"/>
        <color indexed="8"/>
        <rFont val="細明體"/>
        <family val="3"/>
        <charset val="136"/>
      </rPr>
      <t>請問您贊成安樂死嗎？</t>
    </r>
  </si>
  <si>
    <r>
      <t>1.</t>
    </r>
    <r>
      <rPr>
        <sz val="7"/>
        <color indexed="8"/>
        <rFont val="Times New Roman"/>
        <family val="1"/>
      </rPr>
      <t xml:space="preserve">       </t>
    </r>
    <r>
      <rPr>
        <sz val="10"/>
        <color indexed="8"/>
        <rFont val="細明體"/>
        <family val="3"/>
        <charset val="136"/>
      </rPr>
      <t>請問您贊成同性別伴侶結婚或認養子女嗎？</t>
    </r>
  </si>
  <si>
    <r>
      <t>1</t>
    </r>
    <r>
      <rPr>
        <sz val="12"/>
        <color indexed="8"/>
        <rFont val="標楷體"/>
        <family val="4"/>
        <charset val="136"/>
      </rPr>
      <t>非常同意、</t>
    </r>
    <r>
      <rPr>
        <sz val="12"/>
        <color indexed="8"/>
        <rFont val="Georgia"/>
        <family val="1"/>
      </rPr>
      <t>2</t>
    </r>
    <r>
      <rPr>
        <sz val="12"/>
        <color indexed="8"/>
        <rFont val="標楷體"/>
        <family val="4"/>
        <charset val="136"/>
      </rPr>
      <t>同意、</t>
    </r>
    <r>
      <rPr>
        <sz val="12"/>
        <color indexed="8"/>
        <rFont val="Georgia"/>
        <family val="1"/>
      </rPr>
      <t>3</t>
    </r>
    <r>
      <rPr>
        <sz val="12"/>
        <color indexed="8"/>
        <rFont val="標楷體"/>
        <family val="4"/>
        <charset val="136"/>
      </rPr>
      <t>沒意見、</t>
    </r>
    <r>
      <rPr>
        <sz val="12"/>
        <color indexed="8"/>
        <rFont val="Georgia"/>
        <family val="1"/>
      </rPr>
      <t>4</t>
    </r>
    <r>
      <rPr>
        <sz val="12"/>
        <color indexed="8"/>
        <rFont val="標楷體"/>
        <family val="4"/>
        <charset val="136"/>
      </rPr>
      <t>不同意、</t>
    </r>
    <r>
      <rPr>
        <sz val="12"/>
        <color indexed="8"/>
        <rFont val="Georgia"/>
        <family val="1"/>
      </rPr>
      <t>5</t>
    </r>
    <r>
      <rPr>
        <sz val="12"/>
        <color indexed="8"/>
        <rFont val="標楷體"/>
        <family val="4"/>
        <charset val="136"/>
      </rPr>
      <t>非常不同意</t>
    </r>
  </si>
  <si>
    <t>x20</t>
  </si>
  <si>
    <t>x19</t>
  </si>
  <si>
    <t>x18</t>
  </si>
  <si>
    <t>x17</t>
  </si>
  <si>
    <t>x16</t>
  </si>
  <si>
    <t>x15</t>
  </si>
  <si>
    <t>x14</t>
  </si>
  <si>
    <t>x13</t>
  </si>
  <si>
    <t>x12</t>
  </si>
  <si>
    <t>x11</t>
  </si>
  <si>
    <t>x10</t>
  </si>
  <si>
    <t>x9</t>
  </si>
  <si>
    <t>x8</t>
  </si>
  <si>
    <t>x7</t>
  </si>
  <si>
    <t>x6</t>
  </si>
  <si>
    <t>x5</t>
  </si>
  <si>
    <t>x4</t>
  </si>
  <si>
    <t>x3</t>
  </si>
  <si>
    <t>x2</t>
  </si>
  <si>
    <t>x1</t>
  </si>
  <si>
    <t>D4</t>
    <phoneticPr fontId="1" type="noConversion"/>
  </si>
  <si>
    <t>X1</t>
    <phoneticPr fontId="1" type="noConversion"/>
  </si>
  <si>
    <t>X2</t>
    <phoneticPr fontId="1" type="noConversion"/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</si>
  <si>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</si>
  <si>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</si>
  <si>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</si>
  <si>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</si>
  <si>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</si>
  <si>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</si>
  <si>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</si>
  <si>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</si>
  <si>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</si>
  <si>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</si>
  <si>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</si>
  <si>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</si>
  <si>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</si>
  <si>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</si>
  <si>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</si>
  <si>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</si>
  <si>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</si>
  <si>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</si>
  <si>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Total</t>
    <phoneticPr fontId="1" type="noConversion"/>
  </si>
  <si>
    <t>Cluster</t>
    <phoneticPr fontId="1" type="noConversion"/>
  </si>
  <si>
    <t>N</t>
    <phoneticPr fontId="1" type="noConversion"/>
  </si>
  <si>
    <t>No.</t>
    <phoneticPr fontId="1" type="noConversion"/>
  </si>
  <si>
    <r>
      <t>15.</t>
    </r>
    <r>
      <rPr>
        <sz val="7"/>
        <color indexed="8"/>
        <rFont val="Times New Roman"/>
        <family val="1"/>
      </rPr>
      <t xml:space="preserve">   </t>
    </r>
    <r>
      <rPr>
        <sz val="10"/>
        <color indexed="8"/>
        <rFont val="細明體"/>
        <family val="3"/>
        <charset val="136"/>
      </rPr>
      <t>請問您贊成國中基測採用一綱多本嗎？</t>
    </r>
    <phoneticPr fontId="1" type="noConversion"/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</si>
  <si>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Do you agree with that homosexuals marry or adopt children?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</si>
  <si>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Do you agree with euthanasia?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</si>
  <si>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Do you agree with the death penalty?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</si>
  <si>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Do you agree with a high-welfare, high-tax society?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</si>
  <si>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Do you agree with the legalization of sexual transactions?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</si>
  <si>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Do you agree to recognize the qualifications of higher education in mainland China?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</si>
  <si>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Would you agree that the Government should be converted into a cabinet system?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</si>
  <si>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Do you agree that the Government set a basic salary?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</si>
  <si>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</rPr>
      <t>Do you agree that the government subsidizes childbearing?</t>
    </r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</si>
  <si>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Do you agree that the Government has a budget for the deficit?</t>
    </r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</si>
  <si>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Do you agree to limit the maximum funding for elections at all levels?</t>
    </r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</si>
  <si>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Do you agree to lower your personal income tax?</t>
    </r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</si>
  <si>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Do you agree with the popularity of higher education?</t>
    </r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</si>
  <si>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Do you agree that health insurance only protects you from serious illness?</t>
    </r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</si>
  <si>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Do you agree with the use multiple versions of textbooks in the junior high school?</t>
    </r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</si>
  <si>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Do you agree with the recruiting system?</t>
    </r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</si>
  <si>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Do you agree to lower estate duty and gift tax?</t>
    </r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</si>
  <si>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Do you agree with school teachers for corporal punishment?</t>
    </r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</si>
  <si>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Do you agree with the construction of Su-Hua highway?</t>
    </r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</si>
  <si>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Calibri"/>
        <family val="2"/>
      </rPr>
      <t>Do you agree with a whipping?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</si>
</sst>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0_ "/>
  </numFmts>
  <fonts count="1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indexed="8"/>
      <name val="新細明體"/>
      <family val="1"/>
      <charset val="136"/>
    </font>
    <font>
      <sz val="12"/>
      <color indexed="8"/>
      <name val="Times New Roman"/>
      <family val="1"/>
    </font>
    <font>
      <sz val="12"/>
      <color indexed="8"/>
      <name val="標楷體"/>
      <family val="4"/>
      <charset val="136"/>
    </font>
    <font>
      <sz val="10"/>
      <color indexed="8"/>
      <name val="Georgia"/>
      <family val="1"/>
    </font>
    <font>
      <sz val="7"/>
      <color indexed="8"/>
      <name val="Times New Roman"/>
      <family val="1"/>
    </font>
    <font>
      <sz val="10"/>
      <color indexed="8"/>
      <name val="細明體"/>
      <family val="3"/>
      <charset val="136"/>
    </font>
    <font>
      <sz val="12"/>
      <color indexed="8"/>
      <name val="Georgia"/>
      <family val="1"/>
    </font>
    <font>
      <sz val="12"/>
      <name val="新細明體"/>
      <family val="1"/>
      <charset val="136"/>
    </font>
    <font>
      <sz val="10"/>
      <name val="Arial"/>
      <family val="2"/>
    </font>
    <font>
      <sz val="8"/>
      <color indexed="62"/>
      <name val="Arial"/>
      <family val="2"/>
    </font>
    <font>
      <b/>
      <sz val="8"/>
      <color indexed="62"/>
      <name val="Arial"/>
      <family val="2"/>
    </font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0" fillId="0" borderId="0"/>
    <xf numFmtId="9" fontId="13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1" xfId="1" applyFont="1" applyBorder="1" applyAlignment="1">
      <alignment vertical="top" wrapText="1"/>
    </xf>
    <xf numFmtId="0" fontId="5" fillId="0" borderId="2" xfId="1" applyFont="1" applyBorder="1" applyAlignment="1">
      <alignment horizontal="left" vertical="top" wrapText="1" indent="1"/>
    </xf>
    <xf numFmtId="0" fontId="5" fillId="0" borderId="3" xfId="1" applyFont="1" applyBorder="1" applyAlignment="1">
      <alignment horizontal="left" vertical="top" wrapText="1" indent="1"/>
    </xf>
    <xf numFmtId="0" fontId="8" fillId="0" borderId="4" xfId="1" applyFont="1" applyBorder="1" applyAlignment="1">
      <alignment vertical="top" wrapText="1"/>
    </xf>
    <xf numFmtId="0" fontId="9" fillId="0" borderId="0" xfId="2">
      <alignment vertical="center"/>
    </xf>
    <xf numFmtId="0" fontId="11" fillId="0" borderId="5" xfId="3" applyNumberFormat="1" applyFont="1" applyBorder="1" applyAlignment="1">
      <alignment horizontal="right" vertical="center"/>
    </xf>
    <xf numFmtId="0" fontId="11" fillId="0" borderId="6" xfId="3" applyNumberFormat="1" applyFont="1" applyBorder="1" applyAlignment="1">
      <alignment horizontal="right" vertical="center"/>
    </xf>
    <xf numFmtId="0" fontId="11" fillId="0" borderId="7" xfId="3" applyNumberFormat="1" applyFont="1" applyBorder="1" applyAlignment="1">
      <alignment horizontal="right" vertical="center"/>
    </xf>
    <xf numFmtId="0" fontId="11" fillId="0" borderId="8" xfId="3" applyNumberFormat="1" applyFont="1" applyBorder="1" applyAlignment="1">
      <alignment horizontal="right" vertical="center"/>
    </xf>
    <xf numFmtId="0" fontId="11" fillId="0" borderId="9" xfId="3" applyNumberFormat="1" applyFont="1" applyBorder="1" applyAlignment="1">
      <alignment horizontal="right" vertical="center"/>
    </xf>
    <xf numFmtId="0" fontId="11" fillId="0" borderId="0" xfId="3" applyNumberFormat="1" applyFont="1" applyBorder="1" applyAlignment="1">
      <alignment horizontal="right" vertical="center"/>
    </xf>
    <xf numFmtId="0" fontId="11" fillId="0" borderId="10" xfId="3" applyNumberFormat="1" applyFont="1" applyBorder="1" applyAlignment="1">
      <alignment horizontal="right" vertical="center"/>
    </xf>
    <xf numFmtId="0" fontId="11" fillId="0" borderId="11" xfId="3" applyNumberFormat="1" applyFont="1" applyBorder="1" applyAlignment="1">
      <alignment horizontal="right" vertical="center"/>
    </xf>
    <xf numFmtId="0" fontId="11" fillId="0" borderId="12" xfId="3" applyNumberFormat="1" applyFont="1" applyBorder="1" applyAlignment="1">
      <alignment horizontal="right" vertical="center"/>
    </xf>
    <xf numFmtId="0" fontId="12" fillId="2" borderId="10" xfId="3" applyNumberFormat="1" applyFont="1" applyFill="1" applyBorder="1" applyAlignment="1">
      <alignment horizontal="right" vertical="center" wrapText="1"/>
    </xf>
    <xf numFmtId="0" fontId="9" fillId="0" borderId="13" xfId="2" applyBorder="1">
      <alignment vertical="center"/>
    </xf>
    <xf numFmtId="9" fontId="9" fillId="0" borderId="13" xfId="4" applyFont="1" applyBorder="1">
      <alignment vertical="center"/>
    </xf>
    <xf numFmtId="2" fontId="9" fillId="0" borderId="13" xfId="2" applyNumberFormat="1" applyBorder="1">
      <alignment vertical="center"/>
    </xf>
    <xf numFmtId="176" fontId="9" fillId="0" borderId="13" xfId="2" applyNumberFormat="1" applyBorder="1">
      <alignment vertical="center"/>
    </xf>
    <xf numFmtId="177" fontId="9" fillId="0" borderId="0" xfId="2" applyNumberFormat="1">
      <alignment vertical="center"/>
    </xf>
    <xf numFmtId="2" fontId="9" fillId="0" borderId="0" xfId="2" applyNumberFormat="1">
      <alignment vertical="center"/>
    </xf>
    <xf numFmtId="0" fontId="14" fillId="0" borderId="0" xfId="0" applyFont="1" applyAlignment="1">
      <alignment horizontal="left" vertical="center" indent="1"/>
    </xf>
  </cellXfs>
  <cellStyles count="5">
    <cellStyle name="一般" xfId="0" builtinId="0"/>
    <cellStyle name="一般 2" xfId="2"/>
    <cellStyle name="一般_XLMiner" xfId="3"/>
    <cellStyle name="一般_問卷調查(樣本聚類)" xfId="1"/>
    <cellStyle name="百分比" xfId="4" builtinId="5"/>
  </cellStyles>
  <dxfs count="10"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(優化前)'!$AE$1</c:f>
              <c:strCache>
                <c:ptCount val="1"/>
                <c:pt idx="0">
                  <c:v>D1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'data(min) (優化前)'!$AD$2:$AD$21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(優化前)'!$AE$2:$AE$21</c:f>
              <c:numCache>
                <c:formatCode>0.00</c:formatCode>
                <c:ptCount val="20"/>
                <c:pt idx="0">
                  <c:v>2.9771172709001967</c:v>
                </c:pt>
                <c:pt idx="1">
                  <c:v>2.9925355047627358</c:v>
                </c:pt>
                <c:pt idx="2">
                  <c:v>3.0224831256154969</c:v>
                </c:pt>
                <c:pt idx="3">
                  <c:v>3.0286578106904631</c:v>
                </c:pt>
                <c:pt idx="4">
                  <c:v>2.9736347234574065</c:v>
                </c:pt>
                <c:pt idx="5">
                  <c:v>3.0051779895761088</c:v>
                </c:pt>
                <c:pt idx="6">
                  <c:v>2.9996179531716076</c:v>
                </c:pt>
                <c:pt idx="7">
                  <c:v>2.9971609147779774</c:v>
                </c:pt>
                <c:pt idx="8">
                  <c:v>2.9806791001731781</c:v>
                </c:pt>
                <c:pt idx="9">
                  <c:v>2.9644551454413408</c:v>
                </c:pt>
                <c:pt idx="10">
                  <c:v>2.9935902501412199</c:v>
                </c:pt>
                <c:pt idx="11">
                  <c:v>2.9989628169103573</c:v>
                </c:pt>
                <c:pt idx="12">
                  <c:v>2.9759905021899717</c:v>
                </c:pt>
                <c:pt idx="13">
                  <c:v>3.0029106248195574</c:v>
                </c:pt>
                <c:pt idx="14">
                  <c:v>2.9953859514670911</c:v>
                </c:pt>
                <c:pt idx="15">
                  <c:v>2.9688529835309589</c:v>
                </c:pt>
                <c:pt idx="16">
                  <c:v>3.0060649353848454</c:v>
                </c:pt>
                <c:pt idx="17">
                  <c:v>3.0071488535071214</c:v>
                </c:pt>
                <c:pt idx="18">
                  <c:v>3.0429746471343626</c:v>
                </c:pt>
                <c:pt idx="19">
                  <c:v>2.956033419891634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5-4D64-AF95-0D130C27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519983"/>
        <c:axId val="954520399"/>
      </c:radarChart>
      <c:catAx>
        <c:axId val="9545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20399"/>
        <c:crosses val="autoZero"/>
        <c:auto val="1"/>
        <c:lblAlgn val="ctr"/>
        <c:lblOffset val="100"/>
        <c:noMultiLvlLbl val="0"/>
      </c:catAx>
      <c:valAx>
        <c:axId val="954520399"/>
        <c:scaling>
          <c:orientation val="minMax"/>
          <c:max val="4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1998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(優化前)'!$AF$1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'data(min) (優化前)'!$AD$2:$AD$21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(優化前)'!$AF$2:$AF$21</c:f>
              <c:numCache>
                <c:formatCode>0.00</c:formatCode>
                <c:ptCount val="20"/>
                <c:pt idx="0">
                  <c:v>2.9586266005410158</c:v>
                </c:pt>
                <c:pt idx="1">
                  <c:v>3.0386970766557062</c:v>
                </c:pt>
                <c:pt idx="2">
                  <c:v>2.9796282874171856</c:v>
                </c:pt>
                <c:pt idx="3">
                  <c:v>3.009979532398527</c:v>
                </c:pt>
                <c:pt idx="4">
                  <c:v>3.0348407238975876</c:v>
                </c:pt>
                <c:pt idx="5">
                  <c:v>3.026241871055813</c:v>
                </c:pt>
                <c:pt idx="6">
                  <c:v>3.023971541273323</c:v>
                </c:pt>
                <c:pt idx="7">
                  <c:v>2.997011707746601</c:v>
                </c:pt>
                <c:pt idx="8">
                  <c:v>2.9879740745600132</c:v>
                </c:pt>
                <c:pt idx="9">
                  <c:v>2.9552258025770635</c:v>
                </c:pt>
                <c:pt idx="10">
                  <c:v>3.0097048225140943</c:v>
                </c:pt>
                <c:pt idx="11">
                  <c:v>3.0091385059616802</c:v>
                </c:pt>
                <c:pt idx="12">
                  <c:v>2.9765672910094585</c:v>
                </c:pt>
                <c:pt idx="13">
                  <c:v>2.9590357552415845</c:v>
                </c:pt>
                <c:pt idx="14">
                  <c:v>3.0247271600347316</c:v>
                </c:pt>
                <c:pt idx="15">
                  <c:v>3.0305965879023855</c:v>
                </c:pt>
                <c:pt idx="16">
                  <c:v>3.0273981167890027</c:v>
                </c:pt>
                <c:pt idx="17">
                  <c:v>3.0288123413241768</c:v>
                </c:pt>
                <c:pt idx="18">
                  <c:v>3.0075296297597847</c:v>
                </c:pt>
                <c:pt idx="19">
                  <c:v>2.9591806102331892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6-4150-995C-966067556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519983"/>
        <c:axId val="954520399"/>
      </c:radarChart>
      <c:catAx>
        <c:axId val="9545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20399"/>
        <c:crosses val="autoZero"/>
        <c:auto val="1"/>
        <c:lblAlgn val="ctr"/>
        <c:lblOffset val="100"/>
        <c:noMultiLvlLbl val="0"/>
      </c:catAx>
      <c:valAx>
        <c:axId val="954520399"/>
        <c:scaling>
          <c:orientation val="minMax"/>
          <c:max val="4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1998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(優化前)'!$AG$1</c:f>
              <c:strCache>
                <c:ptCount val="1"/>
                <c:pt idx="0">
                  <c:v>D3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'data(min) (優化前)'!$AD$2:$AD$21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(優化前)'!$AG$2:$AG$21</c:f>
              <c:numCache>
                <c:formatCode>0.00</c:formatCode>
                <c:ptCount val="20"/>
                <c:pt idx="0">
                  <c:v>3.0282584124559713</c:v>
                </c:pt>
                <c:pt idx="1">
                  <c:v>3.0005340401680161</c:v>
                </c:pt>
                <c:pt idx="2">
                  <c:v>2.9734170678011127</c:v>
                </c:pt>
                <c:pt idx="3">
                  <c:v>3.0214276141951899</c:v>
                </c:pt>
                <c:pt idx="4">
                  <c:v>3.0070654843802163</c:v>
                </c:pt>
                <c:pt idx="5">
                  <c:v>3.028900098228811</c:v>
                </c:pt>
                <c:pt idx="6">
                  <c:v>3.0023970810427061</c:v>
                </c:pt>
                <c:pt idx="7">
                  <c:v>2.9838557379433968</c:v>
                </c:pt>
                <c:pt idx="8">
                  <c:v>2.9536567744236395</c:v>
                </c:pt>
                <c:pt idx="9">
                  <c:v>2.9799492094128346</c:v>
                </c:pt>
                <c:pt idx="10">
                  <c:v>3.0248058676851586</c:v>
                </c:pt>
                <c:pt idx="11">
                  <c:v>2.9971657628948036</c:v>
                </c:pt>
                <c:pt idx="12">
                  <c:v>3.0011140256006348</c:v>
                </c:pt>
                <c:pt idx="13">
                  <c:v>3.0247257923381516</c:v>
                </c:pt>
                <c:pt idx="14">
                  <c:v>2.9763481931761273</c:v>
                </c:pt>
                <c:pt idx="15">
                  <c:v>2.9761416157111551</c:v>
                </c:pt>
                <c:pt idx="16">
                  <c:v>3.0482017766415499</c:v>
                </c:pt>
                <c:pt idx="17">
                  <c:v>2.9929319189924288</c:v>
                </c:pt>
                <c:pt idx="18">
                  <c:v>3.015266247610763</c:v>
                </c:pt>
                <c:pt idx="19">
                  <c:v>2.9692356035302945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E-4845-987B-FF9417A75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519983"/>
        <c:axId val="954520399"/>
      </c:radarChart>
      <c:catAx>
        <c:axId val="9545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20399"/>
        <c:crosses val="autoZero"/>
        <c:auto val="1"/>
        <c:lblAlgn val="ctr"/>
        <c:lblOffset val="100"/>
        <c:noMultiLvlLbl val="0"/>
      </c:catAx>
      <c:valAx>
        <c:axId val="954520399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1998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(優化前)'!$AH$1</c:f>
              <c:strCache>
                <c:ptCount val="1"/>
                <c:pt idx="0">
                  <c:v>D4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'data(min) (優化前)'!$AD$2:$AD$21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(優化前)'!$AH$2:$AH$21</c:f>
              <c:numCache>
                <c:formatCode>0.00</c:formatCode>
                <c:ptCount val="20"/>
                <c:pt idx="0">
                  <c:v>3.0095390790695102</c:v>
                </c:pt>
                <c:pt idx="1">
                  <c:v>2.9875075466186041</c:v>
                </c:pt>
                <c:pt idx="2">
                  <c:v>2.9809517737135285</c:v>
                </c:pt>
                <c:pt idx="3">
                  <c:v>2.9811424918728977</c:v>
                </c:pt>
                <c:pt idx="4">
                  <c:v>2.9532057558333871</c:v>
                </c:pt>
                <c:pt idx="5">
                  <c:v>3.0001003723358921</c:v>
                </c:pt>
                <c:pt idx="6">
                  <c:v>2.9889436264635552</c:v>
                </c:pt>
                <c:pt idx="7">
                  <c:v>3.0183288606955525</c:v>
                </c:pt>
                <c:pt idx="8">
                  <c:v>3.0163282914146397</c:v>
                </c:pt>
                <c:pt idx="9">
                  <c:v>3.040192259740381</c:v>
                </c:pt>
                <c:pt idx="10">
                  <c:v>2.9849196055083609</c:v>
                </c:pt>
                <c:pt idx="11">
                  <c:v>2.9950205174147286</c:v>
                </c:pt>
                <c:pt idx="12">
                  <c:v>3.018273265215865</c:v>
                </c:pt>
                <c:pt idx="13">
                  <c:v>3.004483408521295</c:v>
                </c:pt>
                <c:pt idx="14">
                  <c:v>3.012756012748</c:v>
                </c:pt>
                <c:pt idx="15">
                  <c:v>3.0427560275375427</c:v>
                </c:pt>
                <c:pt idx="16">
                  <c:v>2.9874887499442924</c:v>
                </c:pt>
                <c:pt idx="17">
                  <c:v>3.0086487899347647</c:v>
                </c:pt>
                <c:pt idx="18">
                  <c:v>3.0093337160845559</c:v>
                </c:pt>
                <c:pt idx="19">
                  <c:v>2.9531741164278542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D-4DD9-978E-3400470D0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519983"/>
        <c:axId val="954520399"/>
      </c:radarChart>
      <c:catAx>
        <c:axId val="9545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20399"/>
        <c:crosses val="autoZero"/>
        <c:auto val="1"/>
        <c:lblAlgn val="ctr"/>
        <c:lblOffset val="100"/>
        <c:noMultiLvlLbl val="0"/>
      </c:catAx>
      <c:valAx>
        <c:axId val="954520399"/>
        <c:scaling>
          <c:orientation val="minMax"/>
          <c:max val="4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1998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(優化後)'!$AE$1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'data(min) (優化後)'!$AD$2:$AD$21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(優化後)'!$AE$2:$AE$21</c:f>
              <c:numCache>
                <c:formatCode>0.0</c:formatCode>
                <c:ptCount val="20"/>
                <c:pt idx="0">
                  <c:v>2.6111077079672622</c:v>
                </c:pt>
                <c:pt idx="1">
                  <c:v>2.2916649715343484</c:v>
                </c:pt>
                <c:pt idx="2">
                  <c:v>1.8194394806787892</c:v>
                </c:pt>
                <c:pt idx="3">
                  <c:v>3.6666608680705322</c:v>
                </c:pt>
                <c:pt idx="4">
                  <c:v>3.569440419292238</c:v>
                </c:pt>
                <c:pt idx="5">
                  <c:v>3.4999976278336478</c:v>
                </c:pt>
                <c:pt idx="6">
                  <c:v>3.1111086788657483</c:v>
                </c:pt>
                <c:pt idx="7">
                  <c:v>2.1805520721173561</c:v>
                </c:pt>
                <c:pt idx="8">
                  <c:v>1.6944429477445668</c:v>
                </c:pt>
                <c:pt idx="9">
                  <c:v>3.0694413552386743</c:v>
                </c:pt>
                <c:pt idx="10">
                  <c:v>1.6944365501357941</c:v>
                </c:pt>
                <c:pt idx="11">
                  <c:v>1.6388918496987874</c:v>
                </c:pt>
                <c:pt idx="12">
                  <c:v>2.4166664595801119</c:v>
                </c:pt>
                <c:pt idx="13">
                  <c:v>4.2361069090685746</c:v>
                </c:pt>
                <c:pt idx="14">
                  <c:v>3.722215925591144</c:v>
                </c:pt>
                <c:pt idx="15">
                  <c:v>3.0972193366084495</c:v>
                </c:pt>
                <c:pt idx="16">
                  <c:v>1.972216755802384</c:v>
                </c:pt>
                <c:pt idx="17">
                  <c:v>2.7777804541787154</c:v>
                </c:pt>
                <c:pt idx="18">
                  <c:v>2.6111137264696107</c:v>
                </c:pt>
                <c:pt idx="19">
                  <c:v>3.3194442948777256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3-4B62-B542-DC0EC27F2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519983"/>
        <c:axId val="954520399"/>
      </c:radarChart>
      <c:catAx>
        <c:axId val="9545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20399"/>
        <c:crosses val="autoZero"/>
        <c:auto val="1"/>
        <c:lblAlgn val="ctr"/>
        <c:lblOffset val="100"/>
        <c:noMultiLvlLbl val="0"/>
      </c:catAx>
      <c:valAx>
        <c:axId val="954520399"/>
        <c:scaling>
          <c:orientation val="minMax"/>
          <c:max val="4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1998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(優化後)'!$AF$1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'data(min) (優化後)'!$AD$2:$AD$21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(優化後)'!$AF$2:$AF$21</c:f>
              <c:numCache>
                <c:formatCode>0.0</c:formatCode>
                <c:ptCount val="20"/>
                <c:pt idx="0">
                  <c:v>2.8480965225474892</c:v>
                </c:pt>
                <c:pt idx="1">
                  <c:v>3.0379742970871653</c:v>
                </c:pt>
                <c:pt idx="2">
                  <c:v>3.2025285988935659</c:v>
                </c:pt>
                <c:pt idx="3">
                  <c:v>3.1772116642038783</c:v>
                </c:pt>
                <c:pt idx="4">
                  <c:v>3.5822758524440337</c:v>
                </c:pt>
                <c:pt idx="5">
                  <c:v>3.1645543869464685</c:v>
                </c:pt>
                <c:pt idx="6">
                  <c:v>3.1518990650151206</c:v>
                </c:pt>
                <c:pt idx="7">
                  <c:v>2.8480998568685738</c:v>
                </c:pt>
                <c:pt idx="8">
                  <c:v>2.797460492332597</c:v>
                </c:pt>
                <c:pt idx="9">
                  <c:v>3.0632833716447321</c:v>
                </c:pt>
                <c:pt idx="10">
                  <c:v>2.911389679678055</c:v>
                </c:pt>
                <c:pt idx="11">
                  <c:v>2.6962017941590388</c:v>
                </c:pt>
                <c:pt idx="12">
                  <c:v>2.9999970794286637</c:v>
                </c:pt>
                <c:pt idx="13">
                  <c:v>3.1772111650149131</c:v>
                </c:pt>
                <c:pt idx="14">
                  <c:v>3.3291106606037886</c:v>
                </c:pt>
                <c:pt idx="15">
                  <c:v>2.7594965479494769</c:v>
                </c:pt>
                <c:pt idx="16">
                  <c:v>3.0253145342572414</c:v>
                </c:pt>
                <c:pt idx="17">
                  <c:v>3.4050601273279226</c:v>
                </c:pt>
                <c:pt idx="18">
                  <c:v>3.4556914873283158</c:v>
                </c:pt>
                <c:pt idx="19">
                  <c:v>3.6708768034935382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F-4BC6-B914-ED37E92DF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519983"/>
        <c:axId val="954520399"/>
      </c:radarChart>
      <c:catAx>
        <c:axId val="9545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20399"/>
        <c:crosses val="autoZero"/>
        <c:auto val="1"/>
        <c:lblAlgn val="ctr"/>
        <c:lblOffset val="100"/>
        <c:noMultiLvlLbl val="0"/>
      </c:catAx>
      <c:valAx>
        <c:axId val="954520399"/>
        <c:scaling>
          <c:orientation val="minMax"/>
          <c:max val="4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1998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(優化後)'!$AG$1</c:f>
              <c:strCache>
                <c:ptCount val="1"/>
                <c:pt idx="0">
                  <c:v>D3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'data(min) (優化後)'!$AD$2:$AD$21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(優化後)'!$AG$2:$AG$21</c:f>
              <c:numCache>
                <c:formatCode>0.0</c:formatCode>
                <c:ptCount val="20"/>
                <c:pt idx="0">
                  <c:v>3.2857138234372409</c:v>
                </c:pt>
                <c:pt idx="1">
                  <c:v>2.0109851270659833</c:v>
                </c:pt>
                <c:pt idx="2">
                  <c:v>1.3736457336062764</c:v>
                </c:pt>
                <c:pt idx="3">
                  <c:v>2.4285676611020222</c:v>
                </c:pt>
                <c:pt idx="4">
                  <c:v>2.6593380729169924</c:v>
                </c:pt>
                <c:pt idx="5">
                  <c:v>3.0439521136819612</c:v>
                </c:pt>
                <c:pt idx="6">
                  <c:v>2.7582391305648892</c:v>
                </c:pt>
                <c:pt idx="7">
                  <c:v>1.967028916968361</c:v>
                </c:pt>
                <c:pt idx="8">
                  <c:v>1.8351594931414024</c:v>
                </c:pt>
                <c:pt idx="9">
                  <c:v>3.0109899300858571</c:v>
                </c:pt>
                <c:pt idx="10">
                  <c:v>1.9340611250276643</c:v>
                </c:pt>
                <c:pt idx="11">
                  <c:v>2.1868111089832913</c:v>
                </c:pt>
                <c:pt idx="12">
                  <c:v>2.7912068491038449</c:v>
                </c:pt>
                <c:pt idx="13">
                  <c:v>3.7582374325716303</c:v>
                </c:pt>
                <c:pt idx="14">
                  <c:v>4.1098854149149924</c:v>
                </c:pt>
                <c:pt idx="15">
                  <c:v>2.0659328738621334</c:v>
                </c:pt>
                <c:pt idx="16">
                  <c:v>2.5934057173854388</c:v>
                </c:pt>
                <c:pt idx="17">
                  <c:v>2.0219780956374365</c:v>
                </c:pt>
                <c:pt idx="18">
                  <c:v>2.9010941193441635</c:v>
                </c:pt>
                <c:pt idx="19">
                  <c:v>1.9120740774405049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8-4999-A9C0-A45515668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519983"/>
        <c:axId val="954520399"/>
      </c:radarChart>
      <c:catAx>
        <c:axId val="9545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20399"/>
        <c:crosses val="autoZero"/>
        <c:auto val="1"/>
        <c:lblAlgn val="ctr"/>
        <c:lblOffset val="100"/>
        <c:noMultiLvlLbl val="0"/>
      </c:catAx>
      <c:valAx>
        <c:axId val="954520399"/>
        <c:scaling>
          <c:orientation val="minMax"/>
          <c:max val="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1998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'data(min) (優化後)'!$AH$1</c:f>
              <c:strCache>
                <c:ptCount val="1"/>
                <c:pt idx="0">
                  <c:v>D4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'data(min) (優化後)'!$AD$2:$AD$21</c:f>
              <c:strCache>
                <c:ptCount val="20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  <c:pt idx="8">
                  <c:v>X9</c:v>
                </c:pt>
                <c:pt idx="9">
                  <c:v>X10</c:v>
                </c:pt>
                <c:pt idx="10">
                  <c:v>X11</c:v>
                </c:pt>
                <c:pt idx="11">
                  <c:v>X12</c:v>
                </c:pt>
                <c:pt idx="12">
                  <c:v>X13</c:v>
                </c:pt>
                <c:pt idx="13">
                  <c:v>X14</c:v>
                </c:pt>
                <c:pt idx="14">
                  <c:v>X15</c:v>
                </c:pt>
                <c:pt idx="15">
                  <c:v>X16</c:v>
                </c:pt>
                <c:pt idx="16">
                  <c:v>X17</c:v>
                </c:pt>
                <c:pt idx="17">
                  <c:v>X18</c:v>
                </c:pt>
                <c:pt idx="18">
                  <c:v>X19</c:v>
                </c:pt>
                <c:pt idx="19">
                  <c:v>X20</c:v>
                </c:pt>
              </c:strCache>
            </c:strRef>
          </c:cat>
          <c:val>
            <c:numRef>
              <c:f>'data(min) (優化後)'!$AH$2:$AH$21</c:f>
              <c:numCache>
                <c:formatCode>0.0</c:formatCode>
                <c:ptCount val="20"/>
                <c:pt idx="0">
                  <c:v>2.5612208028229282</c:v>
                </c:pt>
                <c:pt idx="1">
                  <c:v>1.9897939858855458</c:v>
                </c:pt>
                <c:pt idx="2">
                  <c:v>2.1632662123786428</c:v>
                </c:pt>
                <c:pt idx="3">
                  <c:v>2.1836684514987112</c:v>
                </c:pt>
                <c:pt idx="4">
                  <c:v>2.357140008637638</c:v>
                </c:pt>
                <c:pt idx="5">
                  <c:v>2.6938747519355806</c:v>
                </c:pt>
                <c:pt idx="6">
                  <c:v>2.7448963151183201</c:v>
                </c:pt>
                <c:pt idx="7">
                  <c:v>2.0510186754187858</c:v>
                </c:pt>
                <c:pt idx="8">
                  <c:v>1.908157072615533</c:v>
                </c:pt>
                <c:pt idx="9">
                  <c:v>2.2857189553684352</c:v>
                </c:pt>
                <c:pt idx="10">
                  <c:v>1.6224469182358601</c:v>
                </c:pt>
                <c:pt idx="11">
                  <c:v>2.5612228800281587</c:v>
                </c:pt>
                <c:pt idx="12">
                  <c:v>2.3469359785917661</c:v>
                </c:pt>
                <c:pt idx="13">
                  <c:v>2.8469365201271475</c:v>
                </c:pt>
                <c:pt idx="14">
                  <c:v>3.2346968950804156</c:v>
                </c:pt>
                <c:pt idx="15">
                  <c:v>2.0102020854131091</c:v>
                </c:pt>
                <c:pt idx="16">
                  <c:v>2.3673465922590609</c:v>
                </c:pt>
                <c:pt idx="17">
                  <c:v>2.9591794503419009</c:v>
                </c:pt>
                <c:pt idx="18">
                  <c:v>2.632650415025636</c:v>
                </c:pt>
                <c:pt idx="19">
                  <c:v>3.7755104923385683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C-4FD8-8EA5-EB616D71F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519983"/>
        <c:axId val="954520399"/>
      </c:radarChart>
      <c:catAx>
        <c:axId val="95451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20399"/>
        <c:crosses val="autoZero"/>
        <c:auto val="1"/>
        <c:lblAlgn val="ctr"/>
        <c:lblOffset val="100"/>
        <c:noMultiLvlLbl val="0"/>
      </c:catAx>
      <c:valAx>
        <c:axId val="954520399"/>
        <c:scaling>
          <c:orientation val="minMax"/>
          <c:max val="4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451998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883920</xdr:colOff>
      <xdr:row>34</xdr:row>
      <xdr:rowOff>91440</xdr:rowOff>
    </xdr:from>
    <xdr:to>
      <xdr:col>34</xdr:col>
      <xdr:colOff>1203960</xdr:colOff>
      <xdr:row>56</xdr:row>
      <xdr:rowOff>186690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1432560</xdr:colOff>
      <xdr:row>34</xdr:row>
      <xdr:rowOff>106680</xdr:rowOff>
    </xdr:from>
    <xdr:to>
      <xdr:col>39</xdr:col>
      <xdr:colOff>373380</xdr:colOff>
      <xdr:row>56</xdr:row>
      <xdr:rowOff>201930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876300</xdr:colOff>
      <xdr:row>58</xdr:row>
      <xdr:rowOff>7620</xdr:rowOff>
    </xdr:from>
    <xdr:to>
      <xdr:col>34</xdr:col>
      <xdr:colOff>1196340</xdr:colOff>
      <xdr:row>80</xdr:row>
      <xdr:rowOff>102870</xdr:rowOff>
    </xdr:to>
    <xdr:graphicFrame macro="">
      <xdr:nvGraphicFramePr>
        <xdr:cNvPr id="4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1432560</xdr:colOff>
      <xdr:row>57</xdr:row>
      <xdr:rowOff>198120</xdr:rowOff>
    </xdr:from>
    <xdr:to>
      <xdr:col>39</xdr:col>
      <xdr:colOff>373380</xdr:colOff>
      <xdr:row>80</xdr:row>
      <xdr:rowOff>87630</xdr:rowOff>
    </xdr:to>
    <xdr:graphicFrame macro="">
      <xdr:nvGraphicFramePr>
        <xdr:cNvPr id="5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0</xdr:colOff>
      <xdr:row>24</xdr:row>
      <xdr:rowOff>0</xdr:rowOff>
    </xdr:from>
    <xdr:to>
      <xdr:col>31</xdr:col>
      <xdr:colOff>327660</xdr:colOff>
      <xdr:row>34</xdr:row>
      <xdr:rowOff>7620</xdr:rowOff>
    </xdr:to>
    <xdr:sp macro="" textlink="">
      <xdr:nvSpPr>
        <xdr:cNvPr id="6" name="向上箭號圖說文字 5"/>
        <xdr:cNvSpPr/>
      </xdr:nvSpPr>
      <xdr:spPr>
        <a:xfrm>
          <a:off x="18844260" y="4640580"/>
          <a:ext cx="2773680" cy="2065020"/>
        </a:xfrm>
        <a:prstGeom prst="upArrowCallou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藍色代表數字小於</a:t>
          </a:r>
          <a:r>
            <a:rPr lang="en-US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2, </a:t>
          </a:r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為強烈贊成</a:t>
          </a:r>
          <a:endParaRPr lang="zh-TW" altLang="zh-TW" sz="14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綠色代表數字</a:t>
          </a:r>
          <a:r>
            <a:rPr lang="en-US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2~2.5, </a:t>
          </a:r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為贊成</a:t>
          </a:r>
          <a:endParaRPr lang="zh-TW" altLang="zh-TW" sz="14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紅色代表數字大於</a:t>
          </a:r>
          <a:r>
            <a:rPr lang="en-US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3.5, </a:t>
          </a:r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為反對</a:t>
          </a:r>
          <a:endParaRPr lang="zh-TW" altLang="zh-TW" sz="1400">
            <a:solidFill>
              <a:schemeClr val="tx1"/>
            </a:solidFill>
            <a:effectLst/>
          </a:endParaRPr>
        </a:p>
        <a:p>
          <a:pPr marL="0" indent="0" algn="l"/>
          <a:endParaRPr lang="zh-TW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883920</xdr:colOff>
      <xdr:row>34</xdr:row>
      <xdr:rowOff>91440</xdr:rowOff>
    </xdr:from>
    <xdr:to>
      <xdr:col>34</xdr:col>
      <xdr:colOff>1203960</xdr:colOff>
      <xdr:row>56</xdr:row>
      <xdr:rowOff>186690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1432560</xdr:colOff>
      <xdr:row>34</xdr:row>
      <xdr:rowOff>106680</xdr:rowOff>
    </xdr:from>
    <xdr:to>
      <xdr:col>39</xdr:col>
      <xdr:colOff>373380</xdr:colOff>
      <xdr:row>56</xdr:row>
      <xdr:rowOff>201930</xdr:rowOff>
    </xdr:to>
    <xdr:graphicFrame macro="">
      <xdr:nvGraphicFramePr>
        <xdr:cNvPr id="4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876300</xdr:colOff>
      <xdr:row>58</xdr:row>
      <xdr:rowOff>7620</xdr:rowOff>
    </xdr:from>
    <xdr:to>
      <xdr:col>34</xdr:col>
      <xdr:colOff>1196340</xdr:colOff>
      <xdr:row>80</xdr:row>
      <xdr:rowOff>102870</xdr:rowOff>
    </xdr:to>
    <xdr:graphicFrame macro="">
      <xdr:nvGraphicFramePr>
        <xdr:cNvPr id="5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1432560</xdr:colOff>
      <xdr:row>57</xdr:row>
      <xdr:rowOff>198120</xdr:rowOff>
    </xdr:from>
    <xdr:to>
      <xdr:col>39</xdr:col>
      <xdr:colOff>373380</xdr:colOff>
      <xdr:row>80</xdr:row>
      <xdr:rowOff>87630</xdr:rowOff>
    </xdr:to>
    <xdr:graphicFrame macro="">
      <xdr:nvGraphicFramePr>
        <xdr:cNvPr id="6" name="圖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0</xdr:colOff>
      <xdr:row>24</xdr:row>
      <xdr:rowOff>0</xdr:rowOff>
    </xdr:from>
    <xdr:to>
      <xdr:col>31</xdr:col>
      <xdr:colOff>327660</xdr:colOff>
      <xdr:row>34</xdr:row>
      <xdr:rowOff>7620</xdr:rowOff>
    </xdr:to>
    <xdr:sp macro="" textlink="">
      <xdr:nvSpPr>
        <xdr:cNvPr id="7" name="向上箭號圖說文字 6"/>
        <xdr:cNvSpPr/>
      </xdr:nvSpPr>
      <xdr:spPr>
        <a:xfrm>
          <a:off x="18844260" y="4640580"/>
          <a:ext cx="2773680" cy="2065020"/>
        </a:xfrm>
        <a:prstGeom prst="upArrowCallou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藍色代表數字小於</a:t>
          </a:r>
          <a:r>
            <a:rPr lang="en-US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2, </a:t>
          </a:r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為強烈贊成</a:t>
          </a:r>
          <a:endParaRPr lang="zh-TW" altLang="zh-TW" sz="14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綠色代表數字</a:t>
          </a:r>
          <a:r>
            <a:rPr lang="en-US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2~2.5, </a:t>
          </a:r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為贊成</a:t>
          </a:r>
          <a:endParaRPr lang="zh-TW" altLang="zh-TW" sz="1400">
            <a:solidFill>
              <a:schemeClr val="tx1"/>
            </a:solidFill>
            <a:effectLst/>
          </a:endParaRPr>
        </a:p>
        <a:p>
          <a:pPr eaLnBrk="1" fontAlgn="auto" latinLnBrk="0" hangingPunct="1"/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紅色代表數字大於</a:t>
          </a:r>
          <a:r>
            <a:rPr lang="en-US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3.5, </a:t>
          </a:r>
          <a:r>
            <a:rPr lang="zh-TW" altLang="zh-TW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為反對</a:t>
          </a:r>
          <a:endParaRPr lang="zh-TW" altLang="zh-TW" sz="1400">
            <a:solidFill>
              <a:schemeClr val="tx1"/>
            </a:solidFill>
            <a:effectLst/>
          </a:endParaRPr>
        </a:p>
        <a:p>
          <a:pPr marL="0" indent="0" algn="l"/>
          <a:endParaRPr lang="zh-TW" altLang="en-US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5</xdr:row>
      <xdr:rowOff>91440</xdr:rowOff>
    </xdr:from>
    <xdr:to>
      <xdr:col>14</xdr:col>
      <xdr:colOff>289560</xdr:colOff>
      <xdr:row>21</xdr:row>
      <xdr:rowOff>121920</xdr:rowOff>
    </xdr:to>
    <xdr:sp macro="" textlink="">
      <xdr:nvSpPr>
        <xdr:cNvPr id="2" name="文字方塊 1"/>
        <xdr:cNvSpPr txBox="1"/>
      </xdr:nvSpPr>
      <xdr:spPr>
        <a:xfrm>
          <a:off x="2423160" y="1120140"/>
          <a:ext cx="6400800" cy="332232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>
            <a:lnSpc>
              <a:spcPct val="150000"/>
            </a:lnSpc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本題的所有變數的尺度均為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1~5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，平均值為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左右，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不需要做標準正規劃，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因此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優化前採用 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=3+(rand()-0.5)*0.1, 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此函數會產生 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(2.95~3.05)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之間的均佈亂數。</a:t>
          </a:r>
          <a:endParaRPr lang="zh-TW" altLang="zh-TW" sz="1400">
            <a:effectLst/>
          </a:endParaRPr>
        </a:p>
        <a:p>
          <a:pPr>
            <a:lnSpc>
              <a:spcPct val="150000"/>
            </a:lnSpc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本試算表採用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四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個聚類，以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函數來估計樣本距離各聚類中心的最小距離，雖然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函數是非連續函數，但對大型問題而言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自變數多、樣本多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的例題而言，仍適合用傳統的非線性規劃方法，例如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畫求解的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GRG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求解。</a:t>
          </a:r>
          <a:endParaRPr lang="zh-TW" altLang="zh-TW" sz="1400">
            <a:effectLst/>
          </a:endParaRPr>
        </a:p>
        <a:p>
          <a:pPr>
            <a:lnSpc>
              <a:spcPct val="150000"/>
            </a:lnSpc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本題目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Run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優所需時間可能超過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分鐘。</a:t>
          </a:r>
          <a:endParaRPr lang="zh-TW" altLang="zh-TW" sz="1400">
            <a:effectLst/>
          </a:endParaRPr>
        </a:p>
        <a:p>
          <a:pPr>
            <a:lnSpc>
              <a:spcPct val="150000"/>
            </a:lnSpc>
          </a:pPr>
          <a:endParaRPr lang="en-US" altLang="zh-TW" sz="14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nurag/Desktop/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21"/>
  <sheetViews>
    <sheetView workbookViewId="0">
      <selection activeCell="A5" sqref="A5"/>
    </sheetView>
  </sheetViews>
  <sheetFormatPr defaultColWidth="9" defaultRowHeight="16.2"/>
  <cols>
    <col min="1" max="1" width="48.21875" style="1" customWidth="1"/>
    <col min="2" max="2" width="39.21875" style="1" customWidth="1"/>
    <col min="3" max="16384" width="9" style="1"/>
  </cols>
  <sheetData>
    <row r="1" spans="1:3" ht="33" thickBot="1">
      <c r="B1" s="5" t="s">
        <v>25</v>
      </c>
    </row>
    <row r="2" spans="1:3" ht="16.8" thickBot="1">
      <c r="A2" s="4" t="s">
        <v>24</v>
      </c>
      <c r="B2" s="2" t="s">
        <v>4</v>
      </c>
      <c r="C2" s="23" t="s">
        <v>72</v>
      </c>
    </row>
    <row r="3" spans="1:3" ht="16.8" thickBot="1">
      <c r="A3" s="3" t="s">
        <v>23</v>
      </c>
      <c r="B3" s="2" t="s">
        <v>4</v>
      </c>
      <c r="C3" s="23" t="s">
        <v>73</v>
      </c>
    </row>
    <row r="4" spans="1:3" ht="16.8" thickBot="1">
      <c r="A4" s="3" t="s">
        <v>22</v>
      </c>
      <c r="B4" s="2" t="s">
        <v>4</v>
      </c>
      <c r="C4" s="23" t="s">
        <v>74</v>
      </c>
    </row>
    <row r="5" spans="1:3" ht="16.8" thickBot="1">
      <c r="A5" s="3" t="s">
        <v>21</v>
      </c>
      <c r="B5" s="2" t="s">
        <v>4</v>
      </c>
      <c r="C5" s="23" t="s">
        <v>75</v>
      </c>
    </row>
    <row r="6" spans="1:3" ht="16.8" thickBot="1">
      <c r="A6" s="3" t="s">
        <v>20</v>
      </c>
      <c r="B6" s="2" t="s">
        <v>4</v>
      </c>
      <c r="C6" s="23" t="s">
        <v>76</v>
      </c>
    </row>
    <row r="7" spans="1:3" ht="16.8" thickBot="1">
      <c r="A7" s="3" t="s">
        <v>19</v>
      </c>
      <c r="B7" s="2" t="s">
        <v>4</v>
      </c>
      <c r="C7" s="23" t="s">
        <v>77</v>
      </c>
    </row>
    <row r="8" spans="1:3" ht="16.8" thickBot="1">
      <c r="A8" s="3" t="s">
        <v>18</v>
      </c>
      <c r="B8" s="2" t="s">
        <v>4</v>
      </c>
      <c r="C8" s="23" t="s">
        <v>78</v>
      </c>
    </row>
    <row r="9" spans="1:3" ht="16.8" thickBot="1">
      <c r="A9" s="3" t="s">
        <v>17</v>
      </c>
      <c r="B9" s="2" t="s">
        <v>4</v>
      </c>
      <c r="C9" s="23" t="s">
        <v>79</v>
      </c>
    </row>
    <row r="10" spans="1:3" ht="16.8" thickBot="1">
      <c r="A10" s="3" t="s">
        <v>16</v>
      </c>
      <c r="B10" s="2" t="s">
        <v>4</v>
      </c>
      <c r="C10" s="23" t="s">
        <v>80</v>
      </c>
    </row>
    <row r="11" spans="1:3" ht="16.8" thickBot="1">
      <c r="A11" s="3" t="s">
        <v>15</v>
      </c>
      <c r="B11" s="2" t="s">
        <v>4</v>
      </c>
      <c r="C11" s="23" t="s">
        <v>81</v>
      </c>
    </row>
    <row r="12" spans="1:3" ht="16.8" thickBot="1">
      <c r="A12" s="3" t="s">
        <v>14</v>
      </c>
      <c r="B12" s="2" t="s">
        <v>4</v>
      </c>
      <c r="C12" s="23" t="s">
        <v>82</v>
      </c>
    </row>
    <row r="13" spans="1:3" ht="16.8" thickBot="1">
      <c r="A13" s="3" t="s">
        <v>13</v>
      </c>
      <c r="B13" s="2" t="s">
        <v>4</v>
      </c>
      <c r="C13" s="23" t="s">
        <v>83</v>
      </c>
    </row>
    <row r="14" spans="1:3" ht="16.8" thickBot="1">
      <c r="A14" s="3" t="s">
        <v>12</v>
      </c>
      <c r="B14" s="2" t="s">
        <v>4</v>
      </c>
      <c r="C14" s="23" t="s">
        <v>84</v>
      </c>
    </row>
    <row r="15" spans="1:3" ht="16.8" thickBot="1">
      <c r="A15" s="3" t="s">
        <v>11</v>
      </c>
      <c r="B15" s="2" t="s">
        <v>4</v>
      </c>
      <c r="C15" s="23" t="s">
        <v>85</v>
      </c>
    </row>
    <row r="16" spans="1:3" ht="16.8" thickBot="1">
      <c r="A16" s="3" t="s">
        <v>71</v>
      </c>
      <c r="B16" s="2" t="s">
        <v>4</v>
      </c>
      <c r="C16" s="23" t="s">
        <v>86</v>
      </c>
    </row>
    <row r="17" spans="1:3" ht="16.8" thickBot="1">
      <c r="A17" s="3" t="s">
        <v>9</v>
      </c>
      <c r="B17" s="2" t="s">
        <v>4</v>
      </c>
      <c r="C17" s="23" t="s">
        <v>87</v>
      </c>
    </row>
    <row r="18" spans="1:3" ht="16.8" thickBot="1">
      <c r="A18" s="3" t="s">
        <v>8</v>
      </c>
      <c r="B18" s="2" t="s">
        <v>4</v>
      </c>
      <c r="C18" s="23" t="s">
        <v>88</v>
      </c>
    </row>
    <row r="19" spans="1:3" ht="16.8" thickBot="1">
      <c r="A19" s="3" t="s">
        <v>7</v>
      </c>
      <c r="B19" s="2" t="s">
        <v>4</v>
      </c>
      <c r="C19" s="23" t="s">
        <v>89</v>
      </c>
    </row>
    <row r="20" spans="1:3" ht="16.8" thickBot="1">
      <c r="A20" s="3" t="s">
        <v>6</v>
      </c>
      <c r="B20" s="2" t="s">
        <v>4</v>
      </c>
      <c r="C20" s="23" t="s">
        <v>90</v>
      </c>
    </row>
    <row r="21" spans="1:3" ht="16.8" thickBot="1">
      <c r="A21" s="3" t="s">
        <v>5</v>
      </c>
      <c r="B21" s="2" t="s">
        <v>4</v>
      </c>
      <c r="C21" s="23" t="s">
        <v>91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45"/>
  <sheetViews>
    <sheetView topLeftCell="A290" zoomScaleNormal="100" workbookViewId="0">
      <selection activeCell="G292" sqref="G292"/>
    </sheetView>
  </sheetViews>
  <sheetFormatPr defaultRowHeight="16.2"/>
  <cols>
    <col min="1" max="21" width="3.77734375" style="6" customWidth="1"/>
    <col min="22" max="26" width="8.88671875" style="6"/>
    <col min="27" max="27" width="10.33203125" style="6" bestFit="1" customWidth="1"/>
    <col min="28" max="29" width="8.88671875" style="6"/>
    <col min="30" max="30" width="26.88671875" style="6" customWidth="1"/>
    <col min="31" max="34" width="8.77734375" style="6" customWidth="1"/>
    <col min="35" max="35" width="46.5546875" style="6" customWidth="1"/>
    <col min="36" max="36" width="8.88671875" style="6"/>
    <col min="37" max="37" width="8.88671875" style="6" customWidth="1"/>
    <col min="38" max="16384" width="8.88671875" style="6"/>
  </cols>
  <sheetData>
    <row r="1" spans="1:37" ht="16.8" thickBot="1">
      <c r="A1" s="16" t="s">
        <v>70</v>
      </c>
      <c r="B1" s="16" t="s">
        <v>45</v>
      </c>
      <c r="C1" s="16" t="s">
        <v>44</v>
      </c>
      <c r="D1" s="16" t="s">
        <v>43</v>
      </c>
      <c r="E1" s="16" t="s">
        <v>42</v>
      </c>
      <c r="F1" s="16" t="s">
        <v>41</v>
      </c>
      <c r="G1" s="16" t="s">
        <v>40</v>
      </c>
      <c r="H1" s="16" t="s">
        <v>39</v>
      </c>
      <c r="I1" s="16" t="s">
        <v>38</v>
      </c>
      <c r="J1" s="16" t="s">
        <v>37</v>
      </c>
      <c r="K1" s="16" t="s">
        <v>36</v>
      </c>
      <c r="L1" s="16" t="s">
        <v>35</v>
      </c>
      <c r="M1" s="16" t="s">
        <v>34</v>
      </c>
      <c r="N1" s="16" t="s">
        <v>33</v>
      </c>
      <c r="O1" s="16" t="s">
        <v>32</v>
      </c>
      <c r="P1" s="16" t="s">
        <v>31</v>
      </c>
      <c r="Q1" s="16" t="s">
        <v>30</v>
      </c>
      <c r="R1" s="16" t="s">
        <v>29</v>
      </c>
      <c r="S1" s="16" t="s">
        <v>28</v>
      </c>
      <c r="T1" s="16" t="s">
        <v>27</v>
      </c>
      <c r="U1" s="16" t="s">
        <v>26</v>
      </c>
      <c r="V1" s="6" t="s">
        <v>0</v>
      </c>
      <c r="W1" s="6" t="s">
        <v>1</v>
      </c>
      <c r="X1" s="6" t="s">
        <v>2</v>
      </c>
      <c r="Y1" s="6" t="s">
        <v>46</v>
      </c>
      <c r="Z1" s="6" t="s">
        <v>3</v>
      </c>
      <c r="AA1" s="6" t="s">
        <v>68</v>
      </c>
      <c r="AB1" s="6" t="s">
        <v>67</v>
      </c>
      <c r="AD1" s="17"/>
      <c r="AE1" s="17" t="s">
        <v>0</v>
      </c>
      <c r="AF1" s="17" t="s">
        <v>1</v>
      </c>
      <c r="AG1" s="17" t="s">
        <v>2</v>
      </c>
      <c r="AH1" s="17" t="s">
        <v>46</v>
      </c>
    </row>
    <row r="2" spans="1:37" ht="15" customHeight="1" thickBot="1">
      <c r="A2" s="14">
        <v>1</v>
      </c>
      <c r="B2" s="15">
        <v>1</v>
      </c>
      <c r="C2" s="14">
        <v>1</v>
      </c>
      <c r="D2" s="14">
        <v>1</v>
      </c>
      <c r="E2" s="14">
        <v>1</v>
      </c>
      <c r="F2" s="14">
        <v>1</v>
      </c>
      <c r="G2" s="14">
        <v>3</v>
      </c>
      <c r="H2" s="14">
        <v>3</v>
      </c>
      <c r="I2" s="14">
        <v>3</v>
      </c>
      <c r="J2" s="14">
        <v>5</v>
      </c>
      <c r="K2" s="14">
        <v>1</v>
      </c>
      <c r="L2" s="14">
        <v>1</v>
      </c>
      <c r="M2" s="14">
        <v>3</v>
      </c>
      <c r="N2" s="14">
        <v>1</v>
      </c>
      <c r="O2" s="14">
        <v>1</v>
      </c>
      <c r="P2" s="14">
        <v>3</v>
      </c>
      <c r="Q2" s="14">
        <v>1</v>
      </c>
      <c r="R2" s="14">
        <v>1</v>
      </c>
      <c r="S2" s="14">
        <v>5</v>
      </c>
      <c r="T2" s="14">
        <v>5</v>
      </c>
      <c r="U2" s="13">
        <v>1</v>
      </c>
      <c r="V2" s="6">
        <f t="shared" ref="V2:Y65" ca="1" si="0">SUMXMY2($B2:$U2,AE$2:AE$21)</f>
        <v>59.335854047132649</v>
      </c>
      <c r="W2" s="6">
        <f t="shared" ca="1" si="0"/>
        <v>59.676276060380204</v>
      </c>
      <c r="X2" s="6">
        <f t="shared" ca="1" si="0"/>
        <v>60.383669618028733</v>
      </c>
      <c r="Y2" s="6">
        <f t="shared" ca="1" si="0"/>
        <v>59.647896694016119</v>
      </c>
      <c r="Z2" s="6">
        <f t="shared" ref="Z2:Z65" ca="1" si="1">MIN(V2:Y2)</f>
        <v>59.335854047132649</v>
      </c>
      <c r="AA2" s="6">
        <f ca="1">IF(Z2=V2,1,IF(Z2=W2,2,IF(Z2=X2,3,4)))</f>
        <v>1</v>
      </c>
      <c r="AB2" s="6">
        <f ca="1">SUM(Z2:Z341)</f>
        <v>9923.6046688845345</v>
      </c>
      <c r="AD2" s="17" t="s">
        <v>47</v>
      </c>
      <c r="AE2" s="19">
        <f ca="1">3+(RAND()-0.5)*0.1</f>
        <v>2.9771172709001967</v>
      </c>
      <c r="AF2" s="19">
        <f t="shared" ref="AF2:AH2" ca="1" si="2">3+(RAND()-0.5)*0.1</f>
        <v>2.9586266005410158</v>
      </c>
      <c r="AG2" s="19">
        <f t="shared" ca="1" si="2"/>
        <v>3.0282584124559713</v>
      </c>
      <c r="AH2" s="19">
        <f t="shared" ca="1" si="2"/>
        <v>3.0095390790695102</v>
      </c>
      <c r="AI2" s="4" t="s">
        <v>24</v>
      </c>
      <c r="AK2" s="21"/>
    </row>
    <row r="3" spans="1:37" ht="15" customHeight="1" thickBot="1">
      <c r="A3" s="11">
        <v>2</v>
      </c>
      <c r="B3" s="12">
        <v>2</v>
      </c>
      <c r="C3" s="11">
        <v>4</v>
      </c>
      <c r="D3" s="11">
        <v>4</v>
      </c>
      <c r="E3" s="11">
        <v>4</v>
      </c>
      <c r="F3" s="11">
        <v>2</v>
      </c>
      <c r="G3" s="11">
        <v>2</v>
      </c>
      <c r="H3" s="11">
        <v>3</v>
      </c>
      <c r="I3" s="11">
        <v>2</v>
      </c>
      <c r="J3" s="11">
        <v>2</v>
      </c>
      <c r="K3" s="11">
        <v>2</v>
      </c>
      <c r="L3" s="11">
        <v>2</v>
      </c>
      <c r="M3" s="11">
        <v>2</v>
      </c>
      <c r="N3" s="11">
        <v>2</v>
      </c>
      <c r="O3" s="11">
        <v>2</v>
      </c>
      <c r="P3" s="11">
        <v>4</v>
      </c>
      <c r="Q3" s="11">
        <v>2</v>
      </c>
      <c r="R3" s="11">
        <v>2</v>
      </c>
      <c r="S3" s="11">
        <v>3</v>
      </c>
      <c r="T3" s="11">
        <v>3</v>
      </c>
      <c r="U3" s="10">
        <v>3</v>
      </c>
      <c r="V3" s="6">
        <f t="shared" ca="1" si="0"/>
        <v>15.620828992622659</v>
      </c>
      <c r="W3" s="6">
        <f t="shared" ca="1" si="0"/>
        <v>15.854275020829197</v>
      </c>
      <c r="X3" s="6">
        <f t="shared" ca="1" si="0"/>
        <v>16.175810627206673</v>
      </c>
      <c r="Y3" s="6">
        <f t="shared" ca="1" si="0"/>
        <v>16.227160300294731</v>
      </c>
      <c r="Z3" s="6">
        <f t="shared" ca="1" si="1"/>
        <v>15.620828992622659</v>
      </c>
      <c r="AA3" s="6">
        <f t="shared" ref="AA3:AA66" ca="1" si="3">IF(Z3=V3,1,IF(Z3=W3,2,IF(Z3=X3,3,4)))</f>
        <v>1</v>
      </c>
      <c r="AD3" s="17" t="s">
        <v>48</v>
      </c>
      <c r="AE3" s="19">
        <f t="shared" ref="AE3:AH21" ca="1" si="4">3+(RAND()-0.5)*0.1</f>
        <v>2.9925355047627358</v>
      </c>
      <c r="AF3" s="19">
        <f t="shared" ca="1" si="4"/>
        <v>3.0386970766557062</v>
      </c>
      <c r="AG3" s="19">
        <f t="shared" ca="1" si="4"/>
        <v>3.0005340401680161</v>
      </c>
      <c r="AH3" s="19">
        <f t="shared" ca="1" si="4"/>
        <v>2.9875075466186041</v>
      </c>
      <c r="AI3" s="3" t="s">
        <v>23</v>
      </c>
      <c r="AK3" s="21"/>
    </row>
    <row r="4" spans="1:37" ht="15" customHeight="1" thickBot="1">
      <c r="A4" s="11">
        <v>3</v>
      </c>
      <c r="B4" s="12">
        <v>2</v>
      </c>
      <c r="C4" s="11">
        <v>2</v>
      </c>
      <c r="D4" s="11">
        <v>2</v>
      </c>
      <c r="E4" s="11">
        <v>4</v>
      </c>
      <c r="F4" s="11">
        <v>3</v>
      </c>
      <c r="G4" s="11">
        <v>2</v>
      </c>
      <c r="H4" s="11">
        <v>2</v>
      </c>
      <c r="I4" s="11">
        <v>1</v>
      </c>
      <c r="J4" s="11">
        <v>2</v>
      </c>
      <c r="K4" s="11">
        <v>2</v>
      </c>
      <c r="L4" s="11">
        <v>1</v>
      </c>
      <c r="M4" s="11">
        <v>3</v>
      </c>
      <c r="N4" s="11">
        <v>3</v>
      </c>
      <c r="O4" s="11">
        <v>4</v>
      </c>
      <c r="P4" s="11">
        <v>5</v>
      </c>
      <c r="Q4" s="11">
        <v>5</v>
      </c>
      <c r="R4" s="11">
        <v>3</v>
      </c>
      <c r="S4" s="11">
        <v>2</v>
      </c>
      <c r="T4" s="11">
        <v>4</v>
      </c>
      <c r="U4" s="10">
        <v>2</v>
      </c>
      <c r="V4" s="6">
        <f t="shared" ca="1" si="0"/>
        <v>27.777218743562656</v>
      </c>
      <c r="W4" s="6">
        <f t="shared" ca="1" si="0"/>
        <v>27.784813120018391</v>
      </c>
      <c r="X4" s="6">
        <f t="shared" ca="1" si="0"/>
        <v>27.971991633243434</v>
      </c>
      <c r="Y4" s="6">
        <f t="shared" ca="1" si="0"/>
        <v>27.782401745891345</v>
      </c>
      <c r="Z4" s="6">
        <f t="shared" ca="1" si="1"/>
        <v>27.777218743562656</v>
      </c>
      <c r="AA4" s="6">
        <f t="shared" ca="1" si="3"/>
        <v>1</v>
      </c>
      <c r="AD4" s="17" t="s">
        <v>49</v>
      </c>
      <c r="AE4" s="19">
        <f t="shared" ca="1" si="4"/>
        <v>3.0224831256154969</v>
      </c>
      <c r="AF4" s="19">
        <f t="shared" ca="1" si="4"/>
        <v>2.9796282874171856</v>
      </c>
      <c r="AG4" s="19">
        <f t="shared" ca="1" si="4"/>
        <v>2.9734170678011127</v>
      </c>
      <c r="AH4" s="19">
        <f t="shared" ca="1" si="4"/>
        <v>2.9809517737135285</v>
      </c>
      <c r="AI4" s="3" t="s">
        <v>22</v>
      </c>
      <c r="AK4" s="21"/>
    </row>
    <row r="5" spans="1:37" ht="15" customHeight="1" thickBot="1">
      <c r="A5" s="11">
        <v>4</v>
      </c>
      <c r="B5" s="12">
        <v>2</v>
      </c>
      <c r="C5" s="11">
        <v>2</v>
      </c>
      <c r="D5" s="11">
        <v>2</v>
      </c>
      <c r="E5" s="11">
        <v>3</v>
      </c>
      <c r="F5" s="11">
        <v>3</v>
      </c>
      <c r="G5" s="11">
        <v>4</v>
      </c>
      <c r="H5" s="11">
        <v>3</v>
      </c>
      <c r="I5" s="11">
        <v>2</v>
      </c>
      <c r="J5" s="11">
        <v>2</v>
      </c>
      <c r="K5" s="11">
        <v>2</v>
      </c>
      <c r="L5" s="11">
        <v>3</v>
      </c>
      <c r="M5" s="11">
        <v>3</v>
      </c>
      <c r="N5" s="11">
        <v>1</v>
      </c>
      <c r="O5" s="11">
        <v>2</v>
      </c>
      <c r="P5" s="11">
        <v>2</v>
      </c>
      <c r="Q5" s="11">
        <v>3</v>
      </c>
      <c r="R5" s="11">
        <v>1</v>
      </c>
      <c r="S5" s="11">
        <v>2</v>
      </c>
      <c r="T5" s="11">
        <v>2</v>
      </c>
      <c r="U5" s="10">
        <v>4</v>
      </c>
      <c r="V5" s="6">
        <f t="shared" ca="1" si="0"/>
        <v>19.98126047164989</v>
      </c>
      <c r="W5" s="6">
        <f t="shared" ca="1" si="0"/>
        <v>19.935168954580469</v>
      </c>
      <c r="X5" s="6">
        <f t="shared" ca="1" si="0"/>
        <v>20.070461936550331</v>
      </c>
      <c r="Y5" s="6">
        <f t="shared" ca="1" si="0"/>
        <v>20.303242123932694</v>
      </c>
      <c r="Z5" s="6">
        <f t="shared" ca="1" si="1"/>
        <v>19.935168954580469</v>
      </c>
      <c r="AA5" s="6">
        <f t="shared" ca="1" si="3"/>
        <v>2</v>
      </c>
      <c r="AD5" s="17" t="s">
        <v>50</v>
      </c>
      <c r="AE5" s="19">
        <f t="shared" ca="1" si="4"/>
        <v>3.0286578106904631</v>
      </c>
      <c r="AF5" s="19">
        <f t="shared" ca="1" si="4"/>
        <v>3.009979532398527</v>
      </c>
      <c r="AG5" s="19">
        <f t="shared" ca="1" si="4"/>
        <v>3.0214276141951899</v>
      </c>
      <c r="AH5" s="19">
        <f t="shared" ca="1" si="4"/>
        <v>2.9811424918728977</v>
      </c>
      <c r="AI5" s="3" t="s">
        <v>21</v>
      </c>
      <c r="AK5" s="21"/>
    </row>
    <row r="6" spans="1:37" ht="15" customHeight="1" thickBot="1">
      <c r="A6" s="11">
        <v>5</v>
      </c>
      <c r="B6" s="12">
        <v>2</v>
      </c>
      <c r="C6" s="11">
        <v>3</v>
      </c>
      <c r="D6" s="11">
        <v>2</v>
      </c>
      <c r="E6" s="11">
        <v>3</v>
      </c>
      <c r="F6" s="11">
        <v>1</v>
      </c>
      <c r="G6" s="11">
        <v>3</v>
      </c>
      <c r="H6" s="11">
        <v>3</v>
      </c>
      <c r="I6" s="11">
        <v>4</v>
      </c>
      <c r="J6" s="11">
        <v>4</v>
      </c>
      <c r="K6" s="11">
        <v>5</v>
      </c>
      <c r="L6" s="11">
        <v>3</v>
      </c>
      <c r="M6" s="11">
        <v>4</v>
      </c>
      <c r="N6" s="11">
        <v>4</v>
      </c>
      <c r="O6" s="11">
        <v>2</v>
      </c>
      <c r="P6" s="11">
        <v>2</v>
      </c>
      <c r="Q6" s="11">
        <v>2</v>
      </c>
      <c r="R6" s="11">
        <v>4</v>
      </c>
      <c r="S6" s="11">
        <v>5</v>
      </c>
      <c r="T6" s="11">
        <v>2</v>
      </c>
      <c r="U6" s="10">
        <v>2</v>
      </c>
      <c r="V6" s="6">
        <f t="shared" ca="1" si="0"/>
        <v>24.031681668969707</v>
      </c>
      <c r="W6" s="6">
        <f t="shared" ca="1" si="0"/>
        <v>24.061295604360531</v>
      </c>
      <c r="X6" s="6">
        <f t="shared" ca="1" si="0"/>
        <v>24.107118476593836</v>
      </c>
      <c r="Y6" s="6">
        <f t="shared" ca="1" si="0"/>
        <v>23.583171287205282</v>
      </c>
      <c r="Z6" s="6">
        <f t="shared" ca="1" si="1"/>
        <v>23.583171287205282</v>
      </c>
      <c r="AA6" s="6">
        <f t="shared" ca="1" si="3"/>
        <v>4</v>
      </c>
      <c r="AD6" s="17" t="s">
        <v>51</v>
      </c>
      <c r="AE6" s="19">
        <f t="shared" ca="1" si="4"/>
        <v>2.9736347234574065</v>
      </c>
      <c r="AF6" s="19">
        <f t="shared" ca="1" si="4"/>
        <v>3.0348407238975876</v>
      </c>
      <c r="AG6" s="19">
        <f t="shared" ca="1" si="4"/>
        <v>3.0070654843802163</v>
      </c>
      <c r="AH6" s="19">
        <f t="shared" ca="1" si="4"/>
        <v>2.9532057558333871</v>
      </c>
      <c r="AI6" s="3" t="s">
        <v>20</v>
      </c>
      <c r="AK6" s="21"/>
    </row>
    <row r="7" spans="1:37" ht="15" customHeight="1" thickBot="1">
      <c r="A7" s="11">
        <v>6</v>
      </c>
      <c r="B7" s="12">
        <v>2</v>
      </c>
      <c r="C7" s="11">
        <v>2</v>
      </c>
      <c r="D7" s="11">
        <v>2</v>
      </c>
      <c r="E7" s="11">
        <v>2</v>
      </c>
      <c r="F7" s="11">
        <v>5</v>
      </c>
      <c r="G7" s="11">
        <v>3</v>
      </c>
      <c r="H7" s="11">
        <v>4</v>
      </c>
      <c r="I7" s="11">
        <v>3</v>
      </c>
      <c r="J7" s="11">
        <v>1</v>
      </c>
      <c r="K7" s="11">
        <v>2</v>
      </c>
      <c r="L7" s="11">
        <v>1</v>
      </c>
      <c r="M7" s="11">
        <v>2</v>
      </c>
      <c r="N7" s="11">
        <v>1</v>
      </c>
      <c r="O7" s="11">
        <v>5</v>
      </c>
      <c r="P7" s="11">
        <v>1</v>
      </c>
      <c r="Q7" s="11">
        <v>3</v>
      </c>
      <c r="R7" s="11">
        <v>1</v>
      </c>
      <c r="S7" s="11">
        <v>2</v>
      </c>
      <c r="T7" s="11">
        <v>2</v>
      </c>
      <c r="U7" s="10">
        <v>2</v>
      </c>
      <c r="V7" s="6">
        <f t="shared" ca="1" si="0"/>
        <v>37.891922110769563</v>
      </c>
      <c r="W7" s="6">
        <f t="shared" ca="1" si="0"/>
        <v>37.991289048511419</v>
      </c>
      <c r="X7" s="6">
        <f t="shared" ca="1" si="0"/>
        <v>37.852502377727312</v>
      </c>
      <c r="Y7" s="6">
        <f t="shared" ca="1" si="0"/>
        <v>38.212043934470337</v>
      </c>
      <c r="Z7" s="6">
        <f t="shared" ca="1" si="1"/>
        <v>37.852502377727312</v>
      </c>
      <c r="AA7" s="6">
        <f t="shared" ca="1" si="3"/>
        <v>3</v>
      </c>
      <c r="AD7" s="17" t="s">
        <v>52</v>
      </c>
      <c r="AE7" s="19">
        <f t="shared" ca="1" si="4"/>
        <v>3.0051779895761088</v>
      </c>
      <c r="AF7" s="19">
        <f t="shared" ca="1" si="4"/>
        <v>3.026241871055813</v>
      </c>
      <c r="AG7" s="19">
        <f t="shared" ca="1" si="4"/>
        <v>3.028900098228811</v>
      </c>
      <c r="AH7" s="19">
        <f t="shared" ca="1" si="4"/>
        <v>3.0001003723358921</v>
      </c>
      <c r="AI7" s="3" t="s">
        <v>19</v>
      </c>
      <c r="AK7" s="21"/>
    </row>
    <row r="8" spans="1:37" ht="15" customHeight="1" thickBot="1">
      <c r="A8" s="11">
        <v>7</v>
      </c>
      <c r="B8" s="12">
        <v>5</v>
      </c>
      <c r="C8" s="11">
        <v>1</v>
      </c>
      <c r="D8" s="11">
        <v>1</v>
      </c>
      <c r="E8" s="11">
        <v>2</v>
      </c>
      <c r="F8" s="11">
        <v>5</v>
      </c>
      <c r="G8" s="11">
        <v>3</v>
      </c>
      <c r="H8" s="11">
        <v>3</v>
      </c>
      <c r="I8" s="11">
        <v>3</v>
      </c>
      <c r="J8" s="11">
        <v>1</v>
      </c>
      <c r="K8" s="11">
        <v>5</v>
      </c>
      <c r="L8" s="11">
        <v>1</v>
      </c>
      <c r="M8" s="11">
        <v>1</v>
      </c>
      <c r="N8" s="11">
        <v>1</v>
      </c>
      <c r="O8" s="11">
        <v>5</v>
      </c>
      <c r="P8" s="11">
        <v>1</v>
      </c>
      <c r="Q8" s="11">
        <v>3</v>
      </c>
      <c r="R8" s="11">
        <v>1</v>
      </c>
      <c r="S8" s="11">
        <v>3</v>
      </c>
      <c r="T8" s="11">
        <v>2</v>
      </c>
      <c r="U8" s="10">
        <v>2</v>
      </c>
      <c r="V8" s="6">
        <f t="shared" ca="1" si="0"/>
        <v>51.255388706626498</v>
      </c>
      <c r="W8" s="6">
        <f t="shared" ca="1" si="0"/>
        <v>51.553420769770369</v>
      </c>
      <c r="X8" s="6">
        <f t="shared" ca="1" si="0"/>
        <v>50.764420712342897</v>
      </c>
      <c r="Y8" s="6">
        <f t="shared" ca="1" si="0"/>
        <v>50.80120525016229</v>
      </c>
      <c r="Z8" s="6">
        <f t="shared" ca="1" si="1"/>
        <v>50.764420712342897</v>
      </c>
      <c r="AA8" s="6">
        <f t="shared" ca="1" si="3"/>
        <v>3</v>
      </c>
      <c r="AD8" s="17" t="s">
        <v>53</v>
      </c>
      <c r="AE8" s="19">
        <f t="shared" ca="1" si="4"/>
        <v>2.9996179531716076</v>
      </c>
      <c r="AF8" s="19">
        <f t="shared" ca="1" si="4"/>
        <v>3.023971541273323</v>
      </c>
      <c r="AG8" s="19">
        <f t="shared" ca="1" si="4"/>
        <v>3.0023970810427061</v>
      </c>
      <c r="AH8" s="19">
        <f t="shared" ca="1" si="4"/>
        <v>2.9889436264635552</v>
      </c>
      <c r="AI8" s="3" t="s">
        <v>18</v>
      </c>
      <c r="AK8" s="21"/>
    </row>
    <row r="9" spans="1:37" ht="15" customHeight="1" thickBot="1">
      <c r="A9" s="11">
        <v>8</v>
      </c>
      <c r="B9" s="12">
        <v>2</v>
      </c>
      <c r="C9" s="11">
        <v>2</v>
      </c>
      <c r="D9" s="11">
        <v>3</v>
      </c>
      <c r="E9" s="11">
        <v>3</v>
      </c>
      <c r="F9" s="11">
        <v>2</v>
      </c>
      <c r="G9" s="11">
        <v>4</v>
      </c>
      <c r="H9" s="11">
        <v>3</v>
      </c>
      <c r="I9" s="11">
        <v>2</v>
      </c>
      <c r="J9" s="11">
        <v>2</v>
      </c>
      <c r="K9" s="11">
        <v>4</v>
      </c>
      <c r="L9" s="11">
        <v>2</v>
      </c>
      <c r="M9" s="11">
        <v>2</v>
      </c>
      <c r="N9" s="11">
        <v>2</v>
      </c>
      <c r="O9" s="11">
        <v>4</v>
      </c>
      <c r="P9" s="11">
        <v>4</v>
      </c>
      <c r="Q9" s="11">
        <v>4</v>
      </c>
      <c r="R9" s="11">
        <v>2</v>
      </c>
      <c r="S9" s="11">
        <v>2</v>
      </c>
      <c r="T9" s="11">
        <v>4</v>
      </c>
      <c r="U9" s="10">
        <v>4</v>
      </c>
      <c r="V9" s="6">
        <f t="shared" ca="1" si="0"/>
        <v>16.943947483775904</v>
      </c>
      <c r="W9" s="6">
        <f t="shared" ca="1" si="0"/>
        <v>17.228083102638468</v>
      </c>
      <c r="X9" s="6">
        <f t="shared" ca="1" si="0"/>
        <v>17.145629424810277</v>
      </c>
      <c r="Y9" s="6">
        <f t="shared" ca="1" si="0"/>
        <v>16.843532660246268</v>
      </c>
      <c r="Z9" s="6">
        <f t="shared" ca="1" si="1"/>
        <v>16.843532660246268</v>
      </c>
      <c r="AA9" s="6">
        <f t="shared" ca="1" si="3"/>
        <v>4</v>
      </c>
      <c r="AD9" s="17" t="s">
        <v>54</v>
      </c>
      <c r="AE9" s="19">
        <f t="shared" ca="1" si="4"/>
        <v>2.9971609147779774</v>
      </c>
      <c r="AF9" s="19">
        <f t="shared" ca="1" si="4"/>
        <v>2.997011707746601</v>
      </c>
      <c r="AG9" s="19">
        <f t="shared" ca="1" si="4"/>
        <v>2.9838557379433968</v>
      </c>
      <c r="AH9" s="19">
        <f t="shared" ca="1" si="4"/>
        <v>3.0183288606955525</v>
      </c>
      <c r="AI9" s="3" t="s">
        <v>17</v>
      </c>
      <c r="AK9" s="21"/>
    </row>
    <row r="10" spans="1:37" ht="15" customHeight="1" thickBot="1">
      <c r="A10" s="11">
        <v>9</v>
      </c>
      <c r="B10" s="12">
        <v>3</v>
      </c>
      <c r="C10" s="11">
        <v>3</v>
      </c>
      <c r="D10" s="11">
        <v>1</v>
      </c>
      <c r="E10" s="11">
        <v>2</v>
      </c>
      <c r="F10" s="11">
        <v>2</v>
      </c>
      <c r="G10" s="11">
        <v>4</v>
      </c>
      <c r="H10" s="11">
        <v>3</v>
      </c>
      <c r="I10" s="11">
        <v>2</v>
      </c>
      <c r="J10" s="11">
        <v>2</v>
      </c>
      <c r="K10" s="11">
        <v>3</v>
      </c>
      <c r="L10" s="11">
        <v>2</v>
      </c>
      <c r="M10" s="11">
        <v>3</v>
      </c>
      <c r="N10" s="11">
        <v>3</v>
      </c>
      <c r="O10" s="11">
        <v>3</v>
      </c>
      <c r="P10" s="11">
        <v>4</v>
      </c>
      <c r="Q10" s="11">
        <v>4</v>
      </c>
      <c r="R10" s="11">
        <v>3</v>
      </c>
      <c r="S10" s="11">
        <v>2</v>
      </c>
      <c r="T10" s="11">
        <v>3</v>
      </c>
      <c r="U10" s="10">
        <v>3</v>
      </c>
      <c r="V10" s="6">
        <f t="shared" ca="1" si="0"/>
        <v>13.122601221896398</v>
      </c>
      <c r="W10" s="6">
        <f t="shared" ca="1" si="0"/>
        <v>12.907643730813781</v>
      </c>
      <c r="X10" s="6">
        <f t="shared" ca="1" si="0"/>
        <v>12.909958594667243</v>
      </c>
      <c r="Y10" s="6">
        <f t="shared" ca="1" si="0"/>
        <v>12.748333423868349</v>
      </c>
      <c r="Z10" s="6">
        <f t="shared" ca="1" si="1"/>
        <v>12.748333423868349</v>
      </c>
      <c r="AA10" s="6">
        <f t="shared" ca="1" si="3"/>
        <v>4</v>
      </c>
      <c r="AD10" s="17" t="s">
        <v>55</v>
      </c>
      <c r="AE10" s="19">
        <f t="shared" ca="1" si="4"/>
        <v>2.9806791001731781</v>
      </c>
      <c r="AF10" s="19">
        <f t="shared" ca="1" si="4"/>
        <v>2.9879740745600132</v>
      </c>
      <c r="AG10" s="19">
        <f t="shared" ca="1" si="4"/>
        <v>2.9536567744236395</v>
      </c>
      <c r="AH10" s="19">
        <f t="shared" ca="1" si="4"/>
        <v>3.0163282914146397</v>
      </c>
      <c r="AI10" s="3" t="s">
        <v>16</v>
      </c>
      <c r="AK10" s="21"/>
    </row>
    <row r="11" spans="1:37" ht="15" customHeight="1" thickBot="1">
      <c r="A11" s="11">
        <v>10</v>
      </c>
      <c r="B11" s="12">
        <v>1</v>
      </c>
      <c r="C11" s="11">
        <v>2</v>
      </c>
      <c r="D11" s="11">
        <v>5</v>
      </c>
      <c r="E11" s="11">
        <v>2</v>
      </c>
      <c r="F11" s="11">
        <v>5</v>
      </c>
      <c r="G11" s="11">
        <v>5</v>
      </c>
      <c r="H11" s="11">
        <v>3</v>
      </c>
      <c r="I11" s="11">
        <v>2</v>
      </c>
      <c r="J11" s="11">
        <v>3</v>
      </c>
      <c r="K11" s="11">
        <v>4</v>
      </c>
      <c r="L11" s="11">
        <v>5</v>
      </c>
      <c r="M11" s="11">
        <v>4</v>
      </c>
      <c r="N11" s="11">
        <v>2</v>
      </c>
      <c r="O11" s="11">
        <v>4</v>
      </c>
      <c r="P11" s="11">
        <v>1</v>
      </c>
      <c r="Q11" s="11">
        <v>2</v>
      </c>
      <c r="R11" s="11">
        <v>3</v>
      </c>
      <c r="S11" s="11">
        <v>3</v>
      </c>
      <c r="T11" s="11">
        <v>3</v>
      </c>
      <c r="U11" s="10">
        <v>3</v>
      </c>
      <c r="V11" s="6">
        <f t="shared" ca="1" si="0"/>
        <v>31.913966054957907</v>
      </c>
      <c r="W11" s="6">
        <f t="shared" ca="1" si="0"/>
        <v>32.006271900877856</v>
      </c>
      <c r="X11" s="6">
        <f t="shared" ca="1" si="0"/>
        <v>31.855720230547327</v>
      </c>
      <c r="Y11" s="6">
        <f t="shared" ca="1" si="0"/>
        <v>32.439697913971379</v>
      </c>
      <c r="Z11" s="6">
        <f t="shared" ca="1" si="1"/>
        <v>31.855720230547327</v>
      </c>
      <c r="AA11" s="6">
        <f t="shared" ca="1" si="3"/>
        <v>3</v>
      </c>
      <c r="AD11" s="17" t="s">
        <v>56</v>
      </c>
      <c r="AE11" s="19">
        <f t="shared" ca="1" si="4"/>
        <v>2.9644551454413408</v>
      </c>
      <c r="AF11" s="19">
        <f t="shared" ca="1" si="4"/>
        <v>2.9552258025770635</v>
      </c>
      <c r="AG11" s="19">
        <f t="shared" ca="1" si="4"/>
        <v>2.9799492094128346</v>
      </c>
      <c r="AH11" s="19">
        <f t="shared" ca="1" si="4"/>
        <v>3.040192259740381</v>
      </c>
      <c r="AI11" s="3" t="s">
        <v>15</v>
      </c>
      <c r="AK11" s="21"/>
    </row>
    <row r="12" spans="1:37" ht="15" customHeight="1" thickBot="1">
      <c r="A12" s="11">
        <v>11</v>
      </c>
      <c r="B12" s="12">
        <v>3</v>
      </c>
      <c r="C12" s="11">
        <v>2</v>
      </c>
      <c r="D12" s="11">
        <v>1</v>
      </c>
      <c r="E12" s="11">
        <v>4</v>
      </c>
      <c r="F12" s="11">
        <v>2</v>
      </c>
      <c r="G12" s="11">
        <v>2</v>
      </c>
      <c r="H12" s="11">
        <v>4</v>
      </c>
      <c r="I12" s="11">
        <v>2</v>
      </c>
      <c r="J12" s="11">
        <v>2</v>
      </c>
      <c r="K12" s="11">
        <v>5</v>
      </c>
      <c r="L12" s="11">
        <v>4</v>
      </c>
      <c r="M12" s="11">
        <v>2</v>
      </c>
      <c r="N12" s="11">
        <v>2</v>
      </c>
      <c r="O12" s="11">
        <v>5</v>
      </c>
      <c r="P12" s="11">
        <v>3</v>
      </c>
      <c r="Q12" s="11">
        <v>3</v>
      </c>
      <c r="R12" s="11">
        <v>2</v>
      </c>
      <c r="S12" s="11">
        <v>3</v>
      </c>
      <c r="T12" s="11">
        <v>3</v>
      </c>
      <c r="U12" s="10">
        <v>3</v>
      </c>
      <c r="V12" s="6">
        <f t="shared" ca="1" si="0"/>
        <v>23.046909630964961</v>
      </c>
      <c r="W12" s="6">
        <f t="shared" ca="1" si="0"/>
        <v>23.38550927562288</v>
      </c>
      <c r="X12" s="6">
        <f t="shared" ca="1" si="0"/>
        <v>22.830277881371455</v>
      </c>
      <c r="Y12" s="6">
        <f t="shared" ca="1" si="0"/>
        <v>22.79820325680161</v>
      </c>
      <c r="Z12" s="6">
        <f t="shared" ca="1" si="1"/>
        <v>22.79820325680161</v>
      </c>
      <c r="AA12" s="6">
        <f t="shared" ca="1" si="3"/>
        <v>4</v>
      </c>
      <c r="AD12" s="17" t="s">
        <v>57</v>
      </c>
      <c r="AE12" s="19">
        <f t="shared" ca="1" si="4"/>
        <v>2.9935902501412199</v>
      </c>
      <c r="AF12" s="19">
        <f t="shared" ca="1" si="4"/>
        <v>3.0097048225140943</v>
      </c>
      <c r="AG12" s="19">
        <f t="shared" ca="1" si="4"/>
        <v>3.0248058676851586</v>
      </c>
      <c r="AH12" s="19">
        <f t="shared" ca="1" si="4"/>
        <v>2.9849196055083609</v>
      </c>
      <c r="AI12" s="3" t="s">
        <v>14</v>
      </c>
      <c r="AK12" s="21"/>
    </row>
    <row r="13" spans="1:37" ht="15" customHeight="1" thickBot="1">
      <c r="A13" s="11">
        <v>12</v>
      </c>
      <c r="B13" s="12">
        <v>4</v>
      </c>
      <c r="C13" s="11">
        <v>2</v>
      </c>
      <c r="D13" s="11">
        <v>2</v>
      </c>
      <c r="E13" s="11">
        <v>2</v>
      </c>
      <c r="F13" s="11">
        <v>3</v>
      </c>
      <c r="G13" s="11">
        <v>3</v>
      </c>
      <c r="H13" s="11">
        <v>3</v>
      </c>
      <c r="I13" s="11">
        <v>2</v>
      </c>
      <c r="J13" s="11">
        <v>2</v>
      </c>
      <c r="K13" s="11">
        <v>2</v>
      </c>
      <c r="L13" s="11">
        <v>1</v>
      </c>
      <c r="M13" s="11">
        <v>3</v>
      </c>
      <c r="N13" s="11">
        <v>2</v>
      </c>
      <c r="O13" s="11">
        <v>3</v>
      </c>
      <c r="P13" s="11">
        <v>4</v>
      </c>
      <c r="Q13" s="11">
        <v>3</v>
      </c>
      <c r="R13" s="11">
        <v>3</v>
      </c>
      <c r="S13" s="11">
        <v>2</v>
      </c>
      <c r="T13" s="11">
        <v>2</v>
      </c>
      <c r="U13" s="10">
        <v>3</v>
      </c>
      <c r="V13" s="6">
        <f t="shared" ca="1" si="0"/>
        <v>15.063285027503593</v>
      </c>
      <c r="W13" s="6">
        <f t="shared" ca="1" si="0"/>
        <v>15.050578670050816</v>
      </c>
      <c r="X13" s="6">
        <f t="shared" ca="1" si="0"/>
        <v>14.945898874227389</v>
      </c>
      <c r="Y13" s="6">
        <f t="shared" ca="1" si="0"/>
        <v>15.027105792717899</v>
      </c>
      <c r="Z13" s="6">
        <f t="shared" ca="1" si="1"/>
        <v>14.945898874227389</v>
      </c>
      <c r="AA13" s="6">
        <f t="shared" ca="1" si="3"/>
        <v>3</v>
      </c>
      <c r="AD13" s="17" t="s">
        <v>58</v>
      </c>
      <c r="AE13" s="19">
        <f t="shared" ca="1" si="4"/>
        <v>2.9989628169103573</v>
      </c>
      <c r="AF13" s="19">
        <f t="shared" ca="1" si="4"/>
        <v>3.0091385059616802</v>
      </c>
      <c r="AG13" s="19">
        <f t="shared" ca="1" si="4"/>
        <v>2.9971657628948036</v>
      </c>
      <c r="AH13" s="19">
        <f t="shared" ca="1" si="4"/>
        <v>2.9950205174147286</v>
      </c>
      <c r="AI13" s="3" t="s">
        <v>13</v>
      </c>
      <c r="AK13" s="21"/>
    </row>
    <row r="14" spans="1:37" ht="15" customHeight="1" thickBot="1">
      <c r="A14" s="11">
        <v>13</v>
      </c>
      <c r="B14" s="12">
        <v>1</v>
      </c>
      <c r="C14" s="11">
        <v>3</v>
      </c>
      <c r="D14" s="11">
        <v>2</v>
      </c>
      <c r="E14" s="11">
        <v>4</v>
      </c>
      <c r="F14" s="11">
        <v>5</v>
      </c>
      <c r="G14" s="11">
        <v>5</v>
      </c>
      <c r="H14" s="11">
        <v>4</v>
      </c>
      <c r="I14" s="11">
        <v>3</v>
      </c>
      <c r="J14" s="11">
        <v>3</v>
      </c>
      <c r="K14" s="11">
        <v>4</v>
      </c>
      <c r="L14" s="11">
        <v>4</v>
      </c>
      <c r="M14" s="11">
        <v>4</v>
      </c>
      <c r="N14" s="11">
        <v>2</v>
      </c>
      <c r="O14" s="11">
        <v>4</v>
      </c>
      <c r="P14" s="11">
        <v>3</v>
      </c>
      <c r="Q14" s="11">
        <v>3</v>
      </c>
      <c r="R14" s="11">
        <v>4</v>
      </c>
      <c r="S14" s="11">
        <v>4</v>
      </c>
      <c r="T14" s="11">
        <v>3</v>
      </c>
      <c r="U14" s="10">
        <v>2</v>
      </c>
      <c r="V14" s="6">
        <f t="shared" ca="1" si="0"/>
        <v>22.909174809815894</v>
      </c>
      <c r="W14" s="6">
        <f t="shared" ca="1" si="0"/>
        <v>22.390010977760127</v>
      </c>
      <c r="X14" s="6">
        <f t="shared" ca="1" si="0"/>
        <v>22.685078009301137</v>
      </c>
      <c r="Y14" s="6">
        <f t="shared" ca="1" si="0"/>
        <v>23.158654779252771</v>
      </c>
      <c r="Z14" s="6">
        <f t="shared" ca="1" si="1"/>
        <v>22.390010977760127</v>
      </c>
      <c r="AA14" s="6">
        <f t="shared" ca="1" si="3"/>
        <v>2</v>
      </c>
      <c r="AD14" s="17" t="s">
        <v>59</v>
      </c>
      <c r="AE14" s="19">
        <f t="shared" ca="1" si="4"/>
        <v>2.9759905021899717</v>
      </c>
      <c r="AF14" s="19">
        <f t="shared" ca="1" si="4"/>
        <v>2.9765672910094585</v>
      </c>
      <c r="AG14" s="19">
        <f t="shared" ca="1" si="4"/>
        <v>3.0011140256006348</v>
      </c>
      <c r="AH14" s="19">
        <f t="shared" ca="1" si="4"/>
        <v>3.018273265215865</v>
      </c>
      <c r="AI14" s="3" t="s">
        <v>12</v>
      </c>
      <c r="AK14" s="21"/>
    </row>
    <row r="15" spans="1:37" ht="15" customHeight="1" thickBot="1">
      <c r="A15" s="11">
        <v>14</v>
      </c>
      <c r="B15" s="12">
        <v>3</v>
      </c>
      <c r="C15" s="11">
        <v>5</v>
      </c>
      <c r="D15" s="11">
        <v>2</v>
      </c>
      <c r="E15" s="11">
        <v>3</v>
      </c>
      <c r="F15" s="11">
        <v>4</v>
      </c>
      <c r="G15" s="11">
        <v>4</v>
      </c>
      <c r="H15" s="11">
        <v>3</v>
      </c>
      <c r="I15" s="11">
        <v>2</v>
      </c>
      <c r="J15" s="11">
        <v>1</v>
      </c>
      <c r="K15" s="11">
        <v>3</v>
      </c>
      <c r="L15" s="11">
        <v>2</v>
      </c>
      <c r="M15" s="11">
        <v>2</v>
      </c>
      <c r="N15" s="11">
        <v>3</v>
      </c>
      <c r="O15" s="11">
        <v>5</v>
      </c>
      <c r="P15" s="11">
        <v>3</v>
      </c>
      <c r="Q15" s="11">
        <v>2</v>
      </c>
      <c r="R15" s="11">
        <v>3</v>
      </c>
      <c r="S15" s="11">
        <v>4</v>
      </c>
      <c r="T15" s="11">
        <v>2</v>
      </c>
      <c r="U15" s="10">
        <v>3</v>
      </c>
      <c r="V15" s="6">
        <f t="shared" ca="1" si="0"/>
        <v>21.026817488591007</v>
      </c>
      <c r="W15" s="6">
        <f t="shared" ca="1" si="0"/>
        <v>20.86400959494809</v>
      </c>
      <c r="X15" s="6">
        <f t="shared" ca="1" si="0"/>
        <v>20.60868070621467</v>
      </c>
      <c r="Y15" s="6">
        <f t="shared" ca="1" si="0"/>
        <v>21.246664074537307</v>
      </c>
      <c r="Z15" s="6">
        <f t="shared" ca="1" si="1"/>
        <v>20.60868070621467</v>
      </c>
      <c r="AA15" s="6">
        <f t="shared" ca="1" si="3"/>
        <v>3</v>
      </c>
      <c r="AD15" s="17" t="s">
        <v>60</v>
      </c>
      <c r="AE15" s="19">
        <f t="shared" ca="1" si="4"/>
        <v>3.0029106248195574</v>
      </c>
      <c r="AF15" s="19">
        <f t="shared" ca="1" si="4"/>
        <v>2.9590357552415845</v>
      </c>
      <c r="AG15" s="19">
        <f t="shared" ca="1" si="4"/>
        <v>3.0247257923381516</v>
      </c>
      <c r="AH15" s="19">
        <f t="shared" ca="1" si="4"/>
        <v>3.004483408521295</v>
      </c>
      <c r="AI15" s="3" t="s">
        <v>11</v>
      </c>
      <c r="AK15" s="21"/>
    </row>
    <row r="16" spans="1:37" ht="15" customHeight="1" thickBot="1">
      <c r="A16" s="11">
        <v>15</v>
      </c>
      <c r="B16" s="12">
        <v>4</v>
      </c>
      <c r="C16" s="11">
        <v>4</v>
      </c>
      <c r="D16" s="11">
        <v>2</v>
      </c>
      <c r="E16" s="11">
        <v>2</v>
      </c>
      <c r="F16" s="11">
        <v>4</v>
      </c>
      <c r="G16" s="11">
        <v>3</v>
      </c>
      <c r="H16" s="11">
        <v>3</v>
      </c>
      <c r="I16" s="11">
        <v>2</v>
      </c>
      <c r="J16" s="11">
        <v>2</v>
      </c>
      <c r="K16" s="11">
        <v>3</v>
      </c>
      <c r="L16" s="11">
        <v>2</v>
      </c>
      <c r="M16" s="11">
        <v>2</v>
      </c>
      <c r="N16" s="11">
        <v>2</v>
      </c>
      <c r="O16" s="11">
        <v>2</v>
      </c>
      <c r="P16" s="11">
        <v>3</v>
      </c>
      <c r="Q16" s="11">
        <v>2</v>
      </c>
      <c r="R16" s="11">
        <v>2</v>
      </c>
      <c r="S16" s="11">
        <v>4</v>
      </c>
      <c r="T16" s="11">
        <v>3</v>
      </c>
      <c r="U16" s="10">
        <v>4</v>
      </c>
      <c r="V16" s="6">
        <f t="shared" ca="1" si="0"/>
        <v>15.147525846517858</v>
      </c>
      <c r="W16" s="6">
        <f t="shared" ca="1" si="0"/>
        <v>14.949370072026614</v>
      </c>
      <c r="X16" s="6">
        <f t="shared" ca="1" si="0"/>
        <v>15.02455649387065</v>
      </c>
      <c r="Y16" s="6">
        <f t="shared" ca="1" si="0"/>
        <v>15.245838971647062</v>
      </c>
      <c r="Z16" s="6">
        <f t="shared" ca="1" si="1"/>
        <v>14.949370072026614</v>
      </c>
      <c r="AA16" s="6">
        <f t="shared" ca="1" si="3"/>
        <v>2</v>
      </c>
      <c r="AD16" s="17" t="s">
        <v>61</v>
      </c>
      <c r="AE16" s="19">
        <f t="shared" ca="1" si="4"/>
        <v>2.9953859514670911</v>
      </c>
      <c r="AF16" s="19">
        <f t="shared" ca="1" si="4"/>
        <v>3.0247271600347316</v>
      </c>
      <c r="AG16" s="19">
        <f t="shared" ca="1" si="4"/>
        <v>2.9763481931761273</v>
      </c>
      <c r="AH16" s="19">
        <f t="shared" ca="1" si="4"/>
        <v>3.012756012748</v>
      </c>
      <c r="AI16" s="3" t="s">
        <v>10</v>
      </c>
      <c r="AK16" s="21"/>
    </row>
    <row r="17" spans="1:37" ht="15" customHeight="1" thickBot="1">
      <c r="A17" s="11">
        <v>16</v>
      </c>
      <c r="B17" s="12">
        <v>2</v>
      </c>
      <c r="C17" s="11">
        <v>2</v>
      </c>
      <c r="D17" s="11">
        <v>1</v>
      </c>
      <c r="E17" s="11">
        <v>4</v>
      </c>
      <c r="F17" s="11">
        <v>3</v>
      </c>
      <c r="G17" s="11">
        <v>5</v>
      </c>
      <c r="H17" s="11">
        <v>4</v>
      </c>
      <c r="I17" s="11">
        <v>1</v>
      </c>
      <c r="J17" s="11">
        <v>1</v>
      </c>
      <c r="K17" s="11">
        <v>4</v>
      </c>
      <c r="L17" s="11">
        <v>1</v>
      </c>
      <c r="M17" s="11">
        <v>1</v>
      </c>
      <c r="N17" s="11">
        <v>2</v>
      </c>
      <c r="O17" s="11">
        <v>2</v>
      </c>
      <c r="P17" s="11">
        <v>5</v>
      </c>
      <c r="Q17" s="11">
        <v>1</v>
      </c>
      <c r="R17" s="11">
        <v>1</v>
      </c>
      <c r="S17" s="11">
        <v>2</v>
      </c>
      <c r="T17" s="11">
        <v>4</v>
      </c>
      <c r="U17" s="10">
        <v>5</v>
      </c>
      <c r="V17" s="6">
        <f t="shared" ca="1" si="0"/>
        <v>48.894540724968422</v>
      </c>
      <c r="W17" s="6">
        <f t="shared" ca="1" si="0"/>
        <v>49.070890378044297</v>
      </c>
      <c r="X17" s="6">
        <f t="shared" ca="1" si="0"/>
        <v>48.999674249704668</v>
      </c>
      <c r="Y17" s="6">
        <f t="shared" ca="1" si="0"/>
        <v>49.267336853002796</v>
      </c>
      <c r="Z17" s="6">
        <f t="shared" ca="1" si="1"/>
        <v>48.894540724968422</v>
      </c>
      <c r="AA17" s="6">
        <f t="shared" ca="1" si="3"/>
        <v>1</v>
      </c>
      <c r="AD17" s="17" t="s">
        <v>62</v>
      </c>
      <c r="AE17" s="19">
        <f t="shared" ca="1" si="4"/>
        <v>2.9688529835309589</v>
      </c>
      <c r="AF17" s="19">
        <f t="shared" ca="1" si="4"/>
        <v>3.0305965879023855</v>
      </c>
      <c r="AG17" s="19">
        <f t="shared" ca="1" si="4"/>
        <v>2.9761416157111551</v>
      </c>
      <c r="AH17" s="19">
        <f t="shared" ca="1" si="4"/>
        <v>3.0427560275375427</v>
      </c>
      <c r="AI17" s="3" t="s">
        <v>9</v>
      </c>
      <c r="AK17" s="21"/>
    </row>
    <row r="18" spans="1:37" ht="15" customHeight="1" thickBot="1">
      <c r="A18" s="11">
        <v>17</v>
      </c>
      <c r="B18" s="12">
        <v>4</v>
      </c>
      <c r="C18" s="11">
        <v>3</v>
      </c>
      <c r="D18" s="11">
        <v>2</v>
      </c>
      <c r="E18" s="11">
        <v>3</v>
      </c>
      <c r="F18" s="11">
        <v>4</v>
      </c>
      <c r="G18" s="11">
        <v>3</v>
      </c>
      <c r="H18" s="11">
        <v>3</v>
      </c>
      <c r="I18" s="11">
        <v>3</v>
      </c>
      <c r="J18" s="11">
        <v>2</v>
      </c>
      <c r="K18" s="11">
        <v>2</v>
      </c>
      <c r="L18" s="11">
        <v>2</v>
      </c>
      <c r="M18" s="11">
        <v>2</v>
      </c>
      <c r="N18" s="11">
        <v>2</v>
      </c>
      <c r="O18" s="11">
        <v>3</v>
      </c>
      <c r="P18" s="11">
        <v>4</v>
      </c>
      <c r="Q18" s="11">
        <v>4</v>
      </c>
      <c r="R18" s="11">
        <v>3</v>
      </c>
      <c r="S18" s="11">
        <v>2</v>
      </c>
      <c r="T18" s="11">
        <v>2</v>
      </c>
      <c r="U18" s="10">
        <v>4</v>
      </c>
      <c r="V18" s="6">
        <f t="shared" ca="1" si="0"/>
        <v>13.240279446819512</v>
      </c>
      <c r="W18" s="6">
        <f t="shared" ca="1" si="0"/>
        <v>12.908833559277994</v>
      </c>
      <c r="X18" s="6">
        <f t="shared" ca="1" si="0"/>
        <v>12.974098472790141</v>
      </c>
      <c r="Y18" s="6">
        <f t="shared" ca="1" si="0"/>
        <v>13.175078018558958</v>
      </c>
      <c r="Z18" s="6">
        <f t="shared" ca="1" si="1"/>
        <v>12.908833559277994</v>
      </c>
      <c r="AA18" s="6">
        <f t="shared" ca="1" si="3"/>
        <v>2</v>
      </c>
      <c r="AD18" s="17" t="s">
        <v>63</v>
      </c>
      <c r="AE18" s="19">
        <f t="shared" ca="1" si="4"/>
        <v>3.0060649353848454</v>
      </c>
      <c r="AF18" s="19">
        <f t="shared" ca="1" si="4"/>
        <v>3.0273981167890027</v>
      </c>
      <c r="AG18" s="19">
        <f t="shared" ca="1" si="4"/>
        <v>3.0482017766415499</v>
      </c>
      <c r="AH18" s="19">
        <f t="shared" ca="1" si="4"/>
        <v>2.9874887499442924</v>
      </c>
      <c r="AI18" s="3" t="s">
        <v>8</v>
      </c>
      <c r="AK18" s="21"/>
    </row>
    <row r="19" spans="1:37" ht="15" customHeight="1" thickBot="1">
      <c r="A19" s="11">
        <v>18</v>
      </c>
      <c r="B19" s="12">
        <v>5</v>
      </c>
      <c r="C19" s="11">
        <v>5</v>
      </c>
      <c r="D19" s="11">
        <v>3</v>
      </c>
      <c r="E19" s="11">
        <v>2</v>
      </c>
      <c r="F19" s="11">
        <v>5</v>
      </c>
      <c r="G19" s="11">
        <v>5</v>
      </c>
      <c r="H19" s="11">
        <v>3</v>
      </c>
      <c r="I19" s="11">
        <v>1</v>
      </c>
      <c r="J19" s="11">
        <v>1</v>
      </c>
      <c r="K19" s="11">
        <v>3</v>
      </c>
      <c r="L19" s="11">
        <v>4</v>
      </c>
      <c r="M19" s="11">
        <v>1</v>
      </c>
      <c r="N19" s="11">
        <v>2</v>
      </c>
      <c r="O19" s="11">
        <v>5</v>
      </c>
      <c r="P19" s="11">
        <v>5</v>
      </c>
      <c r="Q19" s="11">
        <v>4</v>
      </c>
      <c r="R19" s="11">
        <v>2</v>
      </c>
      <c r="S19" s="11">
        <v>5</v>
      </c>
      <c r="T19" s="11">
        <v>5</v>
      </c>
      <c r="U19" s="10">
        <v>5</v>
      </c>
      <c r="V19" s="6">
        <f t="shared" ca="1" si="0"/>
        <v>53.201834677655384</v>
      </c>
      <c r="W19" s="6">
        <f t="shared" ca="1" si="0"/>
        <v>52.788632551908734</v>
      </c>
      <c r="X19" s="6">
        <f t="shared" ca="1" si="0"/>
        <v>52.716825146061282</v>
      </c>
      <c r="Y19" s="6">
        <f t="shared" ca="1" si="0"/>
        <v>53.292776799516417</v>
      </c>
      <c r="Z19" s="6">
        <f t="shared" ca="1" si="1"/>
        <v>52.716825146061282</v>
      </c>
      <c r="AA19" s="6">
        <f t="shared" ca="1" si="3"/>
        <v>3</v>
      </c>
      <c r="AD19" s="17" t="s">
        <v>64</v>
      </c>
      <c r="AE19" s="19">
        <f t="shared" ca="1" si="4"/>
        <v>3.0071488535071214</v>
      </c>
      <c r="AF19" s="19">
        <f t="shared" ca="1" si="4"/>
        <v>3.0288123413241768</v>
      </c>
      <c r="AG19" s="19">
        <f t="shared" ca="1" si="4"/>
        <v>2.9929319189924288</v>
      </c>
      <c r="AH19" s="19">
        <f t="shared" ca="1" si="4"/>
        <v>3.0086487899347647</v>
      </c>
      <c r="AI19" s="3" t="s">
        <v>7</v>
      </c>
      <c r="AK19" s="21"/>
    </row>
    <row r="20" spans="1:37" ht="15" customHeight="1" thickBot="1">
      <c r="A20" s="11">
        <v>19</v>
      </c>
      <c r="B20" s="12">
        <v>1</v>
      </c>
      <c r="C20" s="11">
        <v>2</v>
      </c>
      <c r="D20" s="11">
        <v>2</v>
      </c>
      <c r="E20" s="11">
        <v>1</v>
      </c>
      <c r="F20" s="11">
        <v>2</v>
      </c>
      <c r="G20" s="11">
        <v>2</v>
      </c>
      <c r="H20" s="11">
        <v>2</v>
      </c>
      <c r="I20" s="11">
        <v>2</v>
      </c>
      <c r="J20" s="11">
        <v>2</v>
      </c>
      <c r="K20" s="11">
        <v>2</v>
      </c>
      <c r="L20" s="11">
        <v>1</v>
      </c>
      <c r="M20" s="11">
        <v>2</v>
      </c>
      <c r="N20" s="11">
        <v>1</v>
      </c>
      <c r="O20" s="11">
        <v>5</v>
      </c>
      <c r="P20" s="11">
        <v>2</v>
      </c>
      <c r="Q20" s="11">
        <v>2</v>
      </c>
      <c r="R20" s="11">
        <v>5</v>
      </c>
      <c r="S20" s="11">
        <v>5</v>
      </c>
      <c r="T20" s="11">
        <v>3</v>
      </c>
      <c r="U20" s="10">
        <v>5</v>
      </c>
      <c r="V20" s="6">
        <f t="shared" ca="1" si="0"/>
        <v>42.820443682131284</v>
      </c>
      <c r="W20" s="6">
        <f t="shared" ca="1" si="0"/>
        <v>43.153527783913646</v>
      </c>
      <c r="X20" s="6">
        <f t="shared" ca="1" si="0"/>
        <v>42.932488786558672</v>
      </c>
      <c r="Y20" s="6">
        <f t="shared" ca="1" si="0"/>
        <v>43.243103160123233</v>
      </c>
      <c r="Z20" s="6">
        <f t="shared" ca="1" si="1"/>
        <v>42.820443682131284</v>
      </c>
      <c r="AA20" s="6">
        <f t="shared" ca="1" si="3"/>
        <v>1</v>
      </c>
      <c r="AD20" s="17" t="s">
        <v>65</v>
      </c>
      <c r="AE20" s="19">
        <f t="shared" ca="1" si="4"/>
        <v>3.0429746471343626</v>
      </c>
      <c r="AF20" s="19">
        <f t="shared" ca="1" si="4"/>
        <v>3.0075296297597847</v>
      </c>
      <c r="AG20" s="19">
        <f t="shared" ca="1" si="4"/>
        <v>3.015266247610763</v>
      </c>
      <c r="AH20" s="19">
        <f t="shared" ca="1" si="4"/>
        <v>3.0093337160845559</v>
      </c>
      <c r="AI20" s="3" t="s">
        <v>6</v>
      </c>
      <c r="AK20" s="21"/>
    </row>
    <row r="21" spans="1:37" ht="15" customHeight="1" thickBot="1">
      <c r="A21" s="11">
        <v>20</v>
      </c>
      <c r="B21" s="12">
        <v>5</v>
      </c>
      <c r="C21" s="11">
        <v>4</v>
      </c>
      <c r="D21" s="11">
        <v>5</v>
      </c>
      <c r="E21" s="11">
        <v>5</v>
      </c>
      <c r="F21" s="11">
        <v>3</v>
      </c>
      <c r="G21" s="11">
        <v>2</v>
      </c>
      <c r="H21" s="11">
        <v>1</v>
      </c>
      <c r="I21" s="11">
        <v>1</v>
      </c>
      <c r="J21" s="11">
        <v>1</v>
      </c>
      <c r="K21" s="11">
        <v>2</v>
      </c>
      <c r="L21" s="11">
        <v>3</v>
      </c>
      <c r="M21" s="11">
        <v>4</v>
      </c>
      <c r="N21" s="11">
        <v>4</v>
      </c>
      <c r="O21" s="11">
        <v>3</v>
      </c>
      <c r="P21" s="11">
        <v>4</v>
      </c>
      <c r="Q21" s="11">
        <v>3</v>
      </c>
      <c r="R21" s="11">
        <v>2</v>
      </c>
      <c r="S21" s="11">
        <v>3</v>
      </c>
      <c r="T21" s="11">
        <v>4</v>
      </c>
      <c r="U21" s="10">
        <v>4</v>
      </c>
      <c r="V21" s="6">
        <f t="shared" ca="1" si="0"/>
        <v>32.834188762846701</v>
      </c>
      <c r="W21" s="6">
        <f t="shared" ca="1" si="0"/>
        <v>33.24455806067639</v>
      </c>
      <c r="X21" s="6">
        <f t="shared" ca="1" si="0"/>
        <v>32.873583760889915</v>
      </c>
      <c r="Y21" s="6">
        <f t="shared" ca="1" si="0"/>
        <v>33.321905714431061</v>
      </c>
      <c r="Z21" s="6">
        <f t="shared" ca="1" si="1"/>
        <v>32.834188762846701</v>
      </c>
      <c r="AA21" s="6">
        <f t="shared" ca="1" si="3"/>
        <v>1</v>
      </c>
      <c r="AD21" s="17" t="s">
        <v>66</v>
      </c>
      <c r="AE21" s="19">
        <f t="shared" ca="1" si="4"/>
        <v>2.956033419891634</v>
      </c>
      <c r="AF21" s="19">
        <f t="shared" ca="1" si="4"/>
        <v>2.9591806102331892</v>
      </c>
      <c r="AG21" s="19">
        <f t="shared" ca="1" si="4"/>
        <v>2.9692356035302945</v>
      </c>
      <c r="AH21" s="19">
        <f t="shared" ca="1" si="4"/>
        <v>2.9531741164278542</v>
      </c>
      <c r="AI21" s="3" t="s">
        <v>5</v>
      </c>
      <c r="AK21" s="21"/>
    </row>
    <row r="22" spans="1:37">
      <c r="A22" s="11">
        <v>21</v>
      </c>
      <c r="B22" s="12">
        <v>5</v>
      </c>
      <c r="C22" s="11">
        <v>3</v>
      </c>
      <c r="D22" s="11">
        <v>4</v>
      </c>
      <c r="E22" s="11">
        <v>3</v>
      </c>
      <c r="F22" s="11">
        <v>4</v>
      </c>
      <c r="G22" s="11">
        <v>2</v>
      </c>
      <c r="H22" s="11">
        <v>3</v>
      </c>
      <c r="I22" s="11">
        <v>2</v>
      </c>
      <c r="J22" s="11">
        <v>4</v>
      </c>
      <c r="K22" s="11">
        <v>1</v>
      </c>
      <c r="L22" s="11">
        <v>3</v>
      </c>
      <c r="M22" s="11">
        <v>5</v>
      </c>
      <c r="N22" s="11">
        <v>3</v>
      </c>
      <c r="O22" s="11">
        <v>2</v>
      </c>
      <c r="P22" s="11">
        <v>3</v>
      </c>
      <c r="Q22" s="11">
        <v>1</v>
      </c>
      <c r="R22" s="11">
        <v>3</v>
      </c>
      <c r="S22" s="11">
        <v>4</v>
      </c>
      <c r="T22" s="11">
        <v>4</v>
      </c>
      <c r="U22" s="10">
        <v>3</v>
      </c>
      <c r="V22" s="6">
        <f t="shared" ca="1" si="0"/>
        <v>23.795329586307137</v>
      </c>
      <c r="W22" s="6">
        <f t="shared" ca="1" si="0"/>
        <v>23.974853104326407</v>
      </c>
      <c r="X22" s="6">
        <f t="shared" ca="1" si="0"/>
        <v>23.924538212152179</v>
      </c>
      <c r="Y22" s="6">
        <f t="shared" ca="1" si="0"/>
        <v>24.433046956056362</v>
      </c>
      <c r="Z22" s="6">
        <f t="shared" ca="1" si="1"/>
        <v>23.795329586307137</v>
      </c>
      <c r="AA22" s="6">
        <f t="shared" ca="1" si="3"/>
        <v>1</v>
      </c>
      <c r="AD22" s="17" t="s">
        <v>69</v>
      </c>
      <c r="AE22" s="18">
        <f ca="1">COUNTIF($AA$2:$AA$341,"1")/340</f>
        <v>0.25294117647058822</v>
      </c>
      <c r="AF22" s="18">
        <f ca="1">COUNTIF($AA$2:$AA$341,"2")/340</f>
        <v>0.1676470588235294</v>
      </c>
      <c r="AG22" s="18">
        <f ca="1">COUNTIF($AA$2:$AA$341,"3")/340</f>
        <v>0.34705882352941175</v>
      </c>
      <c r="AH22" s="18">
        <f ca="1">COUNTIF($AA$2:$AA$341,"4")/340</f>
        <v>0.2323529411764706</v>
      </c>
    </row>
    <row r="23" spans="1:37">
      <c r="A23" s="11">
        <v>22</v>
      </c>
      <c r="B23" s="12">
        <v>2</v>
      </c>
      <c r="C23" s="11">
        <v>2</v>
      </c>
      <c r="D23" s="11">
        <v>2</v>
      </c>
      <c r="E23" s="11">
        <v>2</v>
      </c>
      <c r="F23" s="11">
        <v>3</v>
      </c>
      <c r="G23" s="11">
        <v>2</v>
      </c>
      <c r="H23" s="11">
        <v>3</v>
      </c>
      <c r="I23" s="11">
        <v>2</v>
      </c>
      <c r="J23" s="11">
        <v>2</v>
      </c>
      <c r="K23" s="11">
        <v>3</v>
      </c>
      <c r="L23" s="11">
        <v>4</v>
      </c>
      <c r="M23" s="11">
        <v>3</v>
      </c>
      <c r="N23" s="11">
        <v>3</v>
      </c>
      <c r="O23" s="11">
        <v>4</v>
      </c>
      <c r="P23" s="11">
        <v>4</v>
      </c>
      <c r="Q23" s="11">
        <v>4</v>
      </c>
      <c r="R23" s="11">
        <v>3</v>
      </c>
      <c r="S23" s="11">
        <v>3</v>
      </c>
      <c r="T23" s="11">
        <v>3</v>
      </c>
      <c r="U23" s="10">
        <v>3</v>
      </c>
      <c r="V23" s="6">
        <f t="shared" ca="1" si="0"/>
        <v>11.095903076162653</v>
      </c>
      <c r="W23" s="6">
        <f t="shared" ca="1" si="0"/>
        <v>10.96380506361303</v>
      </c>
      <c r="X23" s="6">
        <f t="shared" ca="1" si="0"/>
        <v>10.98763989506601</v>
      </c>
      <c r="Y23" s="6">
        <f t="shared" ca="1" si="0"/>
        <v>10.908570286548752</v>
      </c>
      <c r="Z23" s="6">
        <f t="shared" ca="1" si="1"/>
        <v>10.908570286548752</v>
      </c>
      <c r="AA23" s="6">
        <f t="shared" ca="1" si="3"/>
        <v>4</v>
      </c>
    </row>
    <row r="24" spans="1:37">
      <c r="A24" s="11">
        <v>23</v>
      </c>
      <c r="B24" s="12">
        <v>5</v>
      </c>
      <c r="C24" s="11">
        <v>3</v>
      </c>
      <c r="D24" s="11">
        <v>4</v>
      </c>
      <c r="E24" s="11">
        <v>3</v>
      </c>
      <c r="F24" s="11">
        <v>4</v>
      </c>
      <c r="G24" s="11">
        <v>3</v>
      </c>
      <c r="H24" s="11">
        <v>3</v>
      </c>
      <c r="I24" s="11">
        <v>2</v>
      </c>
      <c r="J24" s="11">
        <v>2</v>
      </c>
      <c r="K24" s="11">
        <v>3</v>
      </c>
      <c r="L24" s="11">
        <v>2</v>
      </c>
      <c r="M24" s="11">
        <v>4</v>
      </c>
      <c r="N24" s="11">
        <v>2</v>
      </c>
      <c r="O24" s="11">
        <v>4</v>
      </c>
      <c r="P24" s="11">
        <v>4</v>
      </c>
      <c r="Q24" s="11">
        <v>3</v>
      </c>
      <c r="R24" s="11">
        <v>3</v>
      </c>
      <c r="S24" s="11">
        <v>3</v>
      </c>
      <c r="T24" s="11">
        <v>3</v>
      </c>
      <c r="U24" s="10">
        <v>4</v>
      </c>
      <c r="V24" s="6">
        <f t="shared" ca="1" si="0"/>
        <v>14.097310389728817</v>
      </c>
      <c r="W24" s="6">
        <f t="shared" ca="1" si="0"/>
        <v>14.190522718173252</v>
      </c>
      <c r="X24" s="6">
        <f t="shared" ca="1" si="0"/>
        <v>13.929498695695282</v>
      </c>
      <c r="Y24" s="6">
        <f t="shared" ca="1" si="0"/>
        <v>14.248964123811104</v>
      </c>
      <c r="Z24" s="6">
        <f t="shared" ca="1" si="1"/>
        <v>13.929498695695282</v>
      </c>
      <c r="AA24" s="6">
        <f t="shared" ca="1" si="3"/>
        <v>3</v>
      </c>
    </row>
    <row r="25" spans="1:37">
      <c r="A25" s="11">
        <v>24</v>
      </c>
      <c r="B25" s="12">
        <v>2</v>
      </c>
      <c r="C25" s="11">
        <v>2</v>
      </c>
      <c r="D25" s="11">
        <v>2</v>
      </c>
      <c r="E25" s="11">
        <v>2</v>
      </c>
      <c r="F25" s="11">
        <v>2</v>
      </c>
      <c r="G25" s="11">
        <v>2</v>
      </c>
      <c r="H25" s="11">
        <v>3</v>
      </c>
      <c r="I25" s="11">
        <v>2</v>
      </c>
      <c r="J25" s="11">
        <v>2</v>
      </c>
      <c r="K25" s="11">
        <v>2</v>
      </c>
      <c r="L25" s="11">
        <v>1</v>
      </c>
      <c r="M25" s="11">
        <v>3</v>
      </c>
      <c r="N25" s="11">
        <v>2</v>
      </c>
      <c r="O25" s="11">
        <v>3</v>
      </c>
      <c r="P25" s="11">
        <v>4</v>
      </c>
      <c r="Q25" s="11">
        <v>3</v>
      </c>
      <c r="R25" s="11">
        <v>2</v>
      </c>
      <c r="S25" s="11">
        <v>4</v>
      </c>
      <c r="T25" s="11">
        <v>3</v>
      </c>
      <c r="U25" s="10">
        <v>3</v>
      </c>
      <c r="V25" s="6">
        <f t="shared" ca="1" si="0"/>
        <v>16.826964699643892</v>
      </c>
      <c r="W25" s="6">
        <f t="shared" ca="1" si="0"/>
        <v>16.931737870883406</v>
      </c>
      <c r="X25" s="6">
        <f t="shared" ca="1" si="0"/>
        <v>17.225007071361187</v>
      </c>
      <c r="Y25" s="6">
        <f t="shared" ca="1" si="0"/>
        <v>16.893589273314912</v>
      </c>
      <c r="Z25" s="6">
        <f t="shared" ca="1" si="1"/>
        <v>16.826964699643892</v>
      </c>
      <c r="AA25" s="6">
        <f t="shared" ca="1" si="3"/>
        <v>1</v>
      </c>
    </row>
    <row r="26" spans="1:37">
      <c r="A26" s="11">
        <v>25</v>
      </c>
      <c r="B26" s="12">
        <v>2</v>
      </c>
      <c r="C26" s="11">
        <v>2</v>
      </c>
      <c r="D26" s="11">
        <v>2</v>
      </c>
      <c r="E26" s="11">
        <v>5</v>
      </c>
      <c r="F26" s="11">
        <v>4</v>
      </c>
      <c r="G26" s="11">
        <v>3</v>
      </c>
      <c r="H26" s="11">
        <v>3</v>
      </c>
      <c r="I26" s="11">
        <v>3</v>
      </c>
      <c r="J26" s="11">
        <v>2</v>
      </c>
      <c r="K26" s="11">
        <v>3</v>
      </c>
      <c r="L26" s="11">
        <v>3</v>
      </c>
      <c r="M26" s="11">
        <v>3</v>
      </c>
      <c r="N26" s="11">
        <v>3</v>
      </c>
      <c r="O26" s="11">
        <v>3</v>
      </c>
      <c r="P26" s="11">
        <v>3</v>
      </c>
      <c r="Q26" s="11">
        <v>3</v>
      </c>
      <c r="R26" s="11">
        <v>3</v>
      </c>
      <c r="S26" s="11">
        <v>3</v>
      </c>
      <c r="T26" s="11">
        <v>3</v>
      </c>
      <c r="U26" s="10">
        <v>3</v>
      </c>
      <c r="V26" s="6">
        <f t="shared" ca="1" si="0"/>
        <v>8.8934885763145441</v>
      </c>
      <c r="W26" s="6">
        <f t="shared" ca="1" si="0"/>
        <v>8.8358679152074586</v>
      </c>
      <c r="X26" s="6">
        <f t="shared" ca="1" si="0"/>
        <v>8.8234745066112072</v>
      </c>
      <c r="Y26" s="6">
        <f t="shared" ca="1" si="0"/>
        <v>9.1682754662120978</v>
      </c>
      <c r="Z26" s="6">
        <f t="shared" ca="1" si="1"/>
        <v>8.8234745066112072</v>
      </c>
      <c r="AA26" s="6">
        <f t="shared" ca="1" si="3"/>
        <v>3</v>
      </c>
    </row>
    <row r="27" spans="1:37">
      <c r="A27" s="11">
        <v>26</v>
      </c>
      <c r="B27" s="12">
        <v>1</v>
      </c>
      <c r="C27" s="11">
        <v>2</v>
      </c>
      <c r="D27" s="11">
        <v>1</v>
      </c>
      <c r="E27" s="11">
        <v>2</v>
      </c>
      <c r="F27" s="11">
        <v>4</v>
      </c>
      <c r="G27" s="11">
        <v>5</v>
      </c>
      <c r="H27" s="11">
        <v>3</v>
      </c>
      <c r="I27" s="11">
        <v>2</v>
      </c>
      <c r="J27" s="11">
        <v>2</v>
      </c>
      <c r="K27" s="11">
        <v>2</v>
      </c>
      <c r="L27" s="11">
        <v>1</v>
      </c>
      <c r="M27" s="11">
        <v>3</v>
      </c>
      <c r="N27" s="11">
        <v>5</v>
      </c>
      <c r="O27" s="11">
        <v>4</v>
      </c>
      <c r="P27" s="11">
        <v>5</v>
      </c>
      <c r="Q27" s="11">
        <v>1</v>
      </c>
      <c r="R27" s="11">
        <v>4</v>
      </c>
      <c r="S27" s="11">
        <v>2</v>
      </c>
      <c r="T27" s="11">
        <v>3</v>
      </c>
      <c r="U27" s="10">
        <v>4</v>
      </c>
      <c r="V27" s="6">
        <f t="shared" ca="1" si="0"/>
        <v>38.015703262505546</v>
      </c>
      <c r="W27" s="6">
        <f t="shared" ca="1" si="0"/>
        <v>37.89418597754905</v>
      </c>
      <c r="X27" s="6">
        <f t="shared" ca="1" si="0"/>
        <v>37.762879205536805</v>
      </c>
      <c r="Y27" s="6">
        <f t="shared" ca="1" si="0"/>
        <v>38.266343324954661</v>
      </c>
      <c r="Z27" s="6">
        <f t="shared" ca="1" si="1"/>
        <v>37.762879205536805</v>
      </c>
      <c r="AA27" s="6">
        <f t="shared" ca="1" si="3"/>
        <v>3</v>
      </c>
    </row>
    <row r="28" spans="1:37">
      <c r="A28" s="11">
        <v>27</v>
      </c>
      <c r="B28" s="12">
        <v>4</v>
      </c>
      <c r="C28" s="11">
        <v>1</v>
      </c>
      <c r="D28" s="11">
        <v>2</v>
      </c>
      <c r="E28" s="11">
        <v>4</v>
      </c>
      <c r="F28" s="11">
        <v>4</v>
      </c>
      <c r="G28" s="11">
        <v>4</v>
      </c>
      <c r="H28" s="11">
        <v>4</v>
      </c>
      <c r="I28" s="11">
        <v>1</v>
      </c>
      <c r="J28" s="11">
        <v>1</v>
      </c>
      <c r="K28" s="11">
        <v>2</v>
      </c>
      <c r="L28" s="11">
        <v>1</v>
      </c>
      <c r="M28" s="11">
        <v>2</v>
      </c>
      <c r="N28" s="11">
        <v>2</v>
      </c>
      <c r="O28" s="11">
        <v>5</v>
      </c>
      <c r="P28" s="11">
        <v>5</v>
      </c>
      <c r="Q28" s="11">
        <v>5</v>
      </c>
      <c r="R28" s="11">
        <v>2</v>
      </c>
      <c r="S28" s="11">
        <v>1</v>
      </c>
      <c r="T28" s="11">
        <v>2</v>
      </c>
      <c r="U28" s="10">
        <v>4</v>
      </c>
      <c r="V28" s="6">
        <f t="shared" ca="1" si="0"/>
        <v>44.167003527244404</v>
      </c>
      <c r="W28" s="6">
        <f t="shared" ca="1" si="0"/>
        <v>44.092271000965901</v>
      </c>
      <c r="X28" s="6">
        <f t="shared" ca="1" si="0"/>
        <v>43.841517886660753</v>
      </c>
      <c r="Y28" s="6">
        <f t="shared" ca="1" si="0"/>
        <v>44.123863825418745</v>
      </c>
      <c r="Z28" s="6">
        <f t="shared" ca="1" si="1"/>
        <v>43.841517886660753</v>
      </c>
      <c r="AA28" s="6">
        <f t="shared" ca="1" si="3"/>
        <v>3</v>
      </c>
    </row>
    <row r="29" spans="1:37">
      <c r="A29" s="11">
        <v>28</v>
      </c>
      <c r="B29" s="12">
        <v>2</v>
      </c>
      <c r="C29" s="11">
        <v>2</v>
      </c>
      <c r="D29" s="11">
        <v>2</v>
      </c>
      <c r="E29" s="11">
        <v>2</v>
      </c>
      <c r="F29" s="11">
        <v>1</v>
      </c>
      <c r="G29" s="11">
        <v>3</v>
      </c>
      <c r="H29" s="11">
        <v>3</v>
      </c>
      <c r="I29" s="11">
        <v>1</v>
      </c>
      <c r="J29" s="11">
        <v>2</v>
      </c>
      <c r="K29" s="11">
        <v>4</v>
      </c>
      <c r="L29" s="11">
        <v>1</v>
      </c>
      <c r="M29" s="11">
        <v>3</v>
      </c>
      <c r="N29" s="11">
        <v>2</v>
      </c>
      <c r="O29" s="11">
        <v>4</v>
      </c>
      <c r="P29" s="11">
        <v>3</v>
      </c>
      <c r="Q29" s="11">
        <v>2</v>
      </c>
      <c r="R29" s="11">
        <v>3</v>
      </c>
      <c r="S29" s="11">
        <v>4</v>
      </c>
      <c r="T29" s="11">
        <v>4</v>
      </c>
      <c r="U29" s="10">
        <v>3</v>
      </c>
      <c r="V29" s="6">
        <f t="shared" ca="1" si="0"/>
        <v>22.724956870515648</v>
      </c>
      <c r="W29" s="6">
        <f t="shared" ca="1" si="0"/>
        <v>23.244776274045389</v>
      </c>
      <c r="X29" s="6">
        <f t="shared" ca="1" si="0"/>
        <v>22.957844466493093</v>
      </c>
      <c r="Y29" s="6">
        <f t="shared" ca="1" si="0"/>
        <v>22.784101054210282</v>
      </c>
      <c r="Z29" s="6">
        <f t="shared" ca="1" si="1"/>
        <v>22.724956870515648</v>
      </c>
      <c r="AA29" s="6">
        <f t="shared" ca="1" si="3"/>
        <v>1</v>
      </c>
    </row>
    <row r="30" spans="1:37">
      <c r="A30" s="11">
        <v>29</v>
      </c>
      <c r="B30" s="12">
        <v>2</v>
      </c>
      <c r="C30" s="11">
        <v>3</v>
      </c>
      <c r="D30" s="11">
        <v>4</v>
      </c>
      <c r="E30" s="11">
        <v>3</v>
      </c>
      <c r="F30" s="11">
        <v>2</v>
      </c>
      <c r="G30" s="11">
        <v>3</v>
      </c>
      <c r="H30" s="11">
        <v>2</v>
      </c>
      <c r="I30" s="11">
        <v>1</v>
      </c>
      <c r="J30" s="11">
        <v>2</v>
      </c>
      <c r="K30" s="11">
        <v>1</v>
      </c>
      <c r="L30" s="11">
        <v>2</v>
      </c>
      <c r="M30" s="11">
        <v>3</v>
      </c>
      <c r="N30" s="11">
        <v>5</v>
      </c>
      <c r="O30" s="11">
        <v>4</v>
      </c>
      <c r="P30" s="11">
        <v>5</v>
      </c>
      <c r="Q30" s="11">
        <v>4</v>
      </c>
      <c r="R30" s="11">
        <v>3</v>
      </c>
      <c r="S30" s="11">
        <v>2</v>
      </c>
      <c r="T30" s="11">
        <v>3</v>
      </c>
      <c r="U30" s="10">
        <v>4</v>
      </c>
      <c r="V30" s="6">
        <f t="shared" ca="1" si="0"/>
        <v>25.933733684323172</v>
      </c>
      <c r="W30" s="6">
        <f t="shared" ca="1" si="0"/>
        <v>26.050365377998524</v>
      </c>
      <c r="X30" s="6">
        <f t="shared" ca="1" si="0"/>
        <v>26.088145175971611</v>
      </c>
      <c r="Y30" s="6">
        <f t="shared" ca="1" si="0"/>
        <v>26.081010577674171</v>
      </c>
      <c r="Z30" s="6">
        <f t="shared" ca="1" si="1"/>
        <v>25.933733684323172</v>
      </c>
      <c r="AA30" s="6">
        <f t="shared" ca="1" si="3"/>
        <v>1</v>
      </c>
    </row>
    <row r="31" spans="1:37">
      <c r="A31" s="11">
        <v>30</v>
      </c>
      <c r="B31" s="12">
        <v>4</v>
      </c>
      <c r="C31" s="11">
        <v>3</v>
      </c>
      <c r="D31" s="11">
        <v>1</v>
      </c>
      <c r="E31" s="11">
        <v>5</v>
      </c>
      <c r="F31" s="11">
        <v>1</v>
      </c>
      <c r="G31" s="11">
        <v>1</v>
      </c>
      <c r="H31" s="11">
        <v>3</v>
      </c>
      <c r="I31" s="11">
        <v>3</v>
      </c>
      <c r="J31" s="11">
        <v>3</v>
      </c>
      <c r="K31" s="11">
        <v>4</v>
      </c>
      <c r="L31" s="11">
        <v>1</v>
      </c>
      <c r="M31" s="11">
        <v>1</v>
      </c>
      <c r="N31" s="11">
        <v>4</v>
      </c>
      <c r="O31" s="11">
        <v>2</v>
      </c>
      <c r="P31" s="11">
        <v>5</v>
      </c>
      <c r="Q31" s="11">
        <v>1</v>
      </c>
      <c r="R31" s="11">
        <v>1</v>
      </c>
      <c r="S31" s="11">
        <v>1</v>
      </c>
      <c r="T31" s="11">
        <v>3</v>
      </c>
      <c r="U31" s="10">
        <v>1</v>
      </c>
      <c r="V31" s="6">
        <f t="shared" ca="1" si="0"/>
        <v>47.812076019094462</v>
      </c>
      <c r="W31" s="6">
        <f t="shared" ca="1" si="0"/>
        <v>48.436188235124412</v>
      </c>
      <c r="X31" s="6">
        <f t="shared" ca="1" si="0"/>
        <v>48.122749186169195</v>
      </c>
      <c r="Y31" s="6">
        <f t="shared" ca="1" si="0"/>
        <v>47.533029988846785</v>
      </c>
      <c r="Z31" s="6">
        <f t="shared" ca="1" si="1"/>
        <v>47.533029988846785</v>
      </c>
      <c r="AA31" s="6">
        <f t="shared" ca="1" si="3"/>
        <v>4</v>
      </c>
    </row>
    <row r="32" spans="1:37">
      <c r="A32" s="11">
        <v>31</v>
      </c>
      <c r="B32" s="12">
        <v>3</v>
      </c>
      <c r="C32" s="11">
        <v>2</v>
      </c>
      <c r="D32" s="11">
        <v>2</v>
      </c>
      <c r="E32" s="11">
        <v>4</v>
      </c>
      <c r="F32" s="11">
        <v>4</v>
      </c>
      <c r="G32" s="11">
        <v>4</v>
      </c>
      <c r="H32" s="11">
        <v>3</v>
      </c>
      <c r="I32" s="11">
        <v>2</v>
      </c>
      <c r="J32" s="11">
        <v>2</v>
      </c>
      <c r="K32" s="11">
        <v>2</v>
      </c>
      <c r="L32" s="11">
        <v>2</v>
      </c>
      <c r="M32" s="11">
        <v>2</v>
      </c>
      <c r="N32" s="11">
        <v>2</v>
      </c>
      <c r="O32" s="11">
        <v>2</v>
      </c>
      <c r="P32" s="11">
        <v>2</v>
      </c>
      <c r="Q32" s="11">
        <v>2</v>
      </c>
      <c r="R32" s="11">
        <v>3</v>
      </c>
      <c r="S32" s="11">
        <v>4</v>
      </c>
      <c r="T32" s="11">
        <v>2</v>
      </c>
      <c r="U32" s="10">
        <v>5</v>
      </c>
      <c r="V32" s="6">
        <f t="shared" ca="1" si="0"/>
        <v>20.028349962987754</v>
      </c>
      <c r="W32" s="6">
        <f t="shared" ca="1" si="0"/>
        <v>19.930817438724514</v>
      </c>
      <c r="X32" s="6">
        <f t="shared" ca="1" si="0"/>
        <v>19.847951366272042</v>
      </c>
      <c r="Y32" s="6">
        <f t="shared" ca="1" si="0"/>
        <v>20.533414848498701</v>
      </c>
      <c r="Z32" s="6">
        <f t="shared" ca="1" si="1"/>
        <v>19.847951366272042</v>
      </c>
      <c r="AA32" s="6">
        <f t="shared" ca="1" si="3"/>
        <v>3</v>
      </c>
    </row>
    <row r="33" spans="1:27">
      <c r="A33" s="11">
        <v>32</v>
      </c>
      <c r="B33" s="12">
        <v>4</v>
      </c>
      <c r="C33" s="11">
        <v>2</v>
      </c>
      <c r="D33" s="11">
        <v>2</v>
      </c>
      <c r="E33" s="11">
        <v>2</v>
      </c>
      <c r="F33" s="11">
        <v>3</v>
      </c>
      <c r="G33" s="11">
        <v>3</v>
      </c>
      <c r="H33" s="11">
        <v>4</v>
      </c>
      <c r="I33" s="11">
        <v>1</v>
      </c>
      <c r="J33" s="11">
        <v>1</v>
      </c>
      <c r="K33" s="11">
        <v>3</v>
      </c>
      <c r="L33" s="11">
        <v>2</v>
      </c>
      <c r="M33" s="11">
        <v>2</v>
      </c>
      <c r="N33" s="11">
        <v>3</v>
      </c>
      <c r="O33" s="11">
        <v>4</v>
      </c>
      <c r="P33" s="11">
        <v>5</v>
      </c>
      <c r="Q33" s="11">
        <v>3</v>
      </c>
      <c r="R33" s="11">
        <v>2</v>
      </c>
      <c r="S33" s="11">
        <v>1</v>
      </c>
      <c r="T33" s="11">
        <v>3</v>
      </c>
      <c r="U33" s="10">
        <v>1</v>
      </c>
      <c r="V33" s="6">
        <f t="shared" ca="1" si="0"/>
        <v>28.917601799846782</v>
      </c>
      <c r="W33" s="6">
        <f t="shared" ca="1" si="0"/>
        <v>29.074446598926432</v>
      </c>
      <c r="X33" s="6">
        <f t="shared" ca="1" si="0"/>
        <v>28.725252396407456</v>
      </c>
      <c r="Y33" s="6">
        <f t="shared" ca="1" si="0"/>
        <v>28.773628888673247</v>
      </c>
      <c r="Z33" s="6">
        <f t="shared" ca="1" si="1"/>
        <v>28.725252396407456</v>
      </c>
      <c r="AA33" s="6">
        <f t="shared" ca="1" si="3"/>
        <v>3</v>
      </c>
    </row>
    <row r="34" spans="1:27">
      <c r="A34" s="11">
        <v>33</v>
      </c>
      <c r="B34" s="12">
        <v>2</v>
      </c>
      <c r="C34" s="11">
        <v>2</v>
      </c>
      <c r="D34" s="11">
        <v>3</v>
      </c>
      <c r="E34" s="11">
        <v>5</v>
      </c>
      <c r="F34" s="11">
        <v>3</v>
      </c>
      <c r="G34" s="11">
        <v>3</v>
      </c>
      <c r="H34" s="11">
        <v>4</v>
      </c>
      <c r="I34" s="11">
        <v>3</v>
      </c>
      <c r="J34" s="11">
        <v>4</v>
      </c>
      <c r="K34" s="11">
        <v>2</v>
      </c>
      <c r="L34" s="11">
        <v>2</v>
      </c>
      <c r="M34" s="11">
        <v>1</v>
      </c>
      <c r="N34" s="11">
        <v>2</v>
      </c>
      <c r="O34" s="11">
        <v>2</v>
      </c>
      <c r="P34" s="11">
        <v>1</v>
      </c>
      <c r="Q34" s="11">
        <v>5</v>
      </c>
      <c r="R34" s="11">
        <v>1</v>
      </c>
      <c r="S34" s="11">
        <v>1</v>
      </c>
      <c r="T34" s="11">
        <v>1</v>
      </c>
      <c r="U34" s="10">
        <v>5</v>
      </c>
      <c r="V34" s="6">
        <f t="shared" ca="1" si="0"/>
        <v>40.250335714071355</v>
      </c>
      <c r="W34" s="6">
        <f t="shared" ca="1" si="0"/>
        <v>40.178834973001166</v>
      </c>
      <c r="X34" s="6">
        <f t="shared" ca="1" si="0"/>
        <v>40.47068659035989</v>
      </c>
      <c r="Y34" s="6">
        <f t="shared" ca="1" si="0"/>
        <v>40.234590658481729</v>
      </c>
      <c r="Z34" s="6">
        <f t="shared" ca="1" si="1"/>
        <v>40.178834973001166</v>
      </c>
      <c r="AA34" s="6">
        <f t="shared" ca="1" si="3"/>
        <v>2</v>
      </c>
    </row>
    <row r="35" spans="1:27">
      <c r="A35" s="11">
        <v>34</v>
      </c>
      <c r="B35" s="12">
        <v>2</v>
      </c>
      <c r="C35" s="11">
        <v>2</v>
      </c>
      <c r="D35" s="11">
        <v>2</v>
      </c>
      <c r="E35" s="11">
        <v>2</v>
      </c>
      <c r="F35" s="11">
        <v>4</v>
      </c>
      <c r="G35" s="11">
        <v>4</v>
      </c>
      <c r="H35" s="11">
        <v>4</v>
      </c>
      <c r="I35" s="11">
        <v>1</v>
      </c>
      <c r="J35" s="11">
        <v>1</v>
      </c>
      <c r="K35" s="11">
        <v>2</v>
      </c>
      <c r="L35" s="11">
        <v>2</v>
      </c>
      <c r="M35" s="11">
        <v>2</v>
      </c>
      <c r="N35" s="11">
        <v>4</v>
      </c>
      <c r="O35" s="11">
        <v>5</v>
      </c>
      <c r="P35" s="11">
        <v>5</v>
      </c>
      <c r="Q35" s="11">
        <v>5</v>
      </c>
      <c r="R35" s="11">
        <v>2</v>
      </c>
      <c r="S35" s="11">
        <v>1</v>
      </c>
      <c r="T35" s="11">
        <v>4</v>
      </c>
      <c r="U35" s="10">
        <v>5</v>
      </c>
      <c r="V35" s="6">
        <f t="shared" ca="1" si="0"/>
        <v>41.229924906718523</v>
      </c>
      <c r="W35" s="6">
        <f t="shared" ca="1" si="0"/>
        <v>41.015142830841114</v>
      </c>
      <c r="X35" s="6">
        <f t="shared" ca="1" si="0"/>
        <v>40.98558987765287</v>
      </c>
      <c r="Y35" s="6">
        <f t="shared" ca="1" si="0"/>
        <v>41.124959646877059</v>
      </c>
      <c r="Z35" s="6">
        <f t="shared" ca="1" si="1"/>
        <v>40.98558987765287</v>
      </c>
      <c r="AA35" s="6">
        <f t="shared" ca="1" si="3"/>
        <v>3</v>
      </c>
    </row>
    <row r="36" spans="1:27">
      <c r="A36" s="11">
        <v>35</v>
      </c>
      <c r="B36" s="12">
        <v>5</v>
      </c>
      <c r="C36" s="11">
        <v>4</v>
      </c>
      <c r="D36" s="11">
        <v>4</v>
      </c>
      <c r="E36" s="11">
        <v>5</v>
      </c>
      <c r="F36" s="11">
        <v>5</v>
      </c>
      <c r="G36" s="11">
        <v>4</v>
      </c>
      <c r="H36" s="11">
        <v>4</v>
      </c>
      <c r="I36" s="11">
        <v>3</v>
      </c>
      <c r="J36" s="11">
        <v>4</v>
      </c>
      <c r="K36" s="11">
        <v>2</v>
      </c>
      <c r="L36" s="11">
        <v>1</v>
      </c>
      <c r="M36" s="11">
        <v>2</v>
      </c>
      <c r="N36" s="11">
        <v>3</v>
      </c>
      <c r="O36" s="11">
        <v>2</v>
      </c>
      <c r="P36" s="11">
        <v>4</v>
      </c>
      <c r="Q36" s="11">
        <v>4</v>
      </c>
      <c r="R36" s="11">
        <v>3</v>
      </c>
      <c r="S36" s="11">
        <v>4</v>
      </c>
      <c r="T36" s="11">
        <v>4</v>
      </c>
      <c r="U36" s="10">
        <v>4</v>
      </c>
      <c r="V36" s="6">
        <f t="shared" ca="1" si="0"/>
        <v>29.057359160142529</v>
      </c>
      <c r="W36" s="6">
        <f t="shared" ca="1" si="0"/>
        <v>28.672729044084793</v>
      </c>
      <c r="X36" s="6">
        <f t="shared" ca="1" si="0"/>
        <v>29.109825016991515</v>
      </c>
      <c r="Y36" s="6">
        <f t="shared" ca="1" si="0"/>
        <v>29.253124503463091</v>
      </c>
      <c r="Z36" s="6">
        <f t="shared" ca="1" si="1"/>
        <v>28.672729044084793</v>
      </c>
      <c r="AA36" s="6">
        <f t="shared" ca="1" si="3"/>
        <v>2</v>
      </c>
    </row>
    <row r="37" spans="1:27">
      <c r="A37" s="11">
        <v>36</v>
      </c>
      <c r="B37" s="12">
        <v>3</v>
      </c>
      <c r="C37" s="11">
        <v>2</v>
      </c>
      <c r="D37" s="11">
        <v>2</v>
      </c>
      <c r="E37" s="11">
        <v>2</v>
      </c>
      <c r="F37" s="11">
        <v>2</v>
      </c>
      <c r="G37" s="11">
        <v>3</v>
      </c>
      <c r="H37" s="11">
        <v>3</v>
      </c>
      <c r="I37" s="11">
        <v>4</v>
      </c>
      <c r="J37" s="11">
        <v>2</v>
      </c>
      <c r="K37" s="11">
        <v>3</v>
      </c>
      <c r="L37" s="11">
        <v>3</v>
      </c>
      <c r="M37" s="11">
        <v>4</v>
      </c>
      <c r="N37" s="11">
        <v>5</v>
      </c>
      <c r="O37" s="11">
        <v>4</v>
      </c>
      <c r="P37" s="11">
        <v>4</v>
      </c>
      <c r="Q37" s="11">
        <v>2</v>
      </c>
      <c r="R37" s="11">
        <v>2</v>
      </c>
      <c r="S37" s="11">
        <v>2</v>
      </c>
      <c r="T37" s="11">
        <v>2</v>
      </c>
      <c r="U37" s="10">
        <v>1</v>
      </c>
      <c r="V37" s="6">
        <f t="shared" ca="1" si="0"/>
        <v>20.987153686457813</v>
      </c>
      <c r="W37" s="6">
        <f t="shared" ca="1" si="0"/>
        <v>21.257155174583364</v>
      </c>
      <c r="X37" s="6">
        <f t="shared" ca="1" si="0"/>
        <v>20.89716376131674</v>
      </c>
      <c r="Y37" s="6">
        <f t="shared" ca="1" si="0"/>
        <v>20.623755655735124</v>
      </c>
      <c r="Z37" s="6">
        <f t="shared" ca="1" si="1"/>
        <v>20.623755655735124</v>
      </c>
      <c r="AA37" s="6">
        <f t="shared" ca="1" si="3"/>
        <v>4</v>
      </c>
    </row>
    <row r="38" spans="1:27">
      <c r="A38" s="11">
        <v>37</v>
      </c>
      <c r="B38" s="12">
        <v>1</v>
      </c>
      <c r="C38" s="11">
        <v>1</v>
      </c>
      <c r="D38" s="11">
        <v>1</v>
      </c>
      <c r="E38" s="11">
        <v>2</v>
      </c>
      <c r="F38" s="11">
        <v>4</v>
      </c>
      <c r="G38" s="11">
        <v>3</v>
      </c>
      <c r="H38" s="11">
        <v>4</v>
      </c>
      <c r="I38" s="11">
        <v>2</v>
      </c>
      <c r="J38" s="11">
        <v>4</v>
      </c>
      <c r="K38" s="11">
        <v>4</v>
      </c>
      <c r="L38" s="11">
        <v>1</v>
      </c>
      <c r="M38" s="11">
        <v>3</v>
      </c>
      <c r="N38" s="11">
        <v>3</v>
      </c>
      <c r="O38" s="11">
        <v>2</v>
      </c>
      <c r="P38" s="11">
        <v>1</v>
      </c>
      <c r="Q38" s="11">
        <v>1</v>
      </c>
      <c r="R38" s="11">
        <v>1</v>
      </c>
      <c r="S38" s="11">
        <v>1</v>
      </c>
      <c r="T38" s="11">
        <v>1</v>
      </c>
      <c r="U38" s="10">
        <v>1</v>
      </c>
      <c r="V38" s="6">
        <f t="shared" ca="1" si="0"/>
        <v>47.079191888519567</v>
      </c>
      <c r="W38" s="6">
        <f t="shared" ca="1" si="0"/>
        <v>47.203250053091438</v>
      </c>
      <c r="X38" s="6">
        <f t="shared" ca="1" si="0"/>
        <v>47.206027507979911</v>
      </c>
      <c r="Y38" s="6">
        <f t="shared" ca="1" si="0"/>
        <v>46.929474889361508</v>
      </c>
      <c r="Z38" s="6">
        <f t="shared" ca="1" si="1"/>
        <v>46.929474889361508</v>
      </c>
      <c r="AA38" s="6">
        <f t="shared" ca="1" si="3"/>
        <v>4</v>
      </c>
    </row>
    <row r="39" spans="1:27">
      <c r="A39" s="11">
        <v>38</v>
      </c>
      <c r="B39" s="12">
        <v>3</v>
      </c>
      <c r="C39" s="11">
        <v>2</v>
      </c>
      <c r="D39" s="11">
        <v>1</v>
      </c>
      <c r="E39" s="11">
        <v>2</v>
      </c>
      <c r="F39" s="11">
        <v>3</v>
      </c>
      <c r="G39" s="11">
        <v>4</v>
      </c>
      <c r="H39" s="11">
        <v>3</v>
      </c>
      <c r="I39" s="11">
        <v>3</v>
      </c>
      <c r="J39" s="11">
        <v>1</v>
      </c>
      <c r="K39" s="11">
        <v>4</v>
      </c>
      <c r="L39" s="11">
        <v>1</v>
      </c>
      <c r="M39" s="11">
        <v>1</v>
      </c>
      <c r="N39" s="11">
        <v>2</v>
      </c>
      <c r="O39" s="11">
        <v>5</v>
      </c>
      <c r="P39" s="11">
        <v>3</v>
      </c>
      <c r="Q39" s="11">
        <v>2</v>
      </c>
      <c r="R39" s="11">
        <v>3</v>
      </c>
      <c r="S39" s="11">
        <v>1</v>
      </c>
      <c r="T39" s="11">
        <v>3</v>
      </c>
      <c r="U39" s="10">
        <v>4</v>
      </c>
      <c r="V39" s="6">
        <f t="shared" ca="1" si="0"/>
        <v>31.090313841729348</v>
      </c>
      <c r="W39" s="6">
        <f t="shared" ca="1" si="0"/>
        <v>31.470888928591176</v>
      </c>
      <c r="X39" s="6">
        <f t="shared" ca="1" si="0"/>
        <v>30.722854509296997</v>
      </c>
      <c r="Y39" s="6">
        <f t="shared" ca="1" si="0"/>
        <v>31.008571007078377</v>
      </c>
      <c r="Z39" s="6">
        <f t="shared" ca="1" si="1"/>
        <v>30.722854509296997</v>
      </c>
      <c r="AA39" s="6">
        <f t="shared" ca="1" si="3"/>
        <v>3</v>
      </c>
    </row>
    <row r="40" spans="1:27">
      <c r="A40" s="11">
        <v>39</v>
      </c>
      <c r="B40" s="12">
        <v>3</v>
      </c>
      <c r="C40" s="11">
        <v>3</v>
      </c>
      <c r="D40" s="11">
        <v>4</v>
      </c>
      <c r="E40" s="11">
        <v>3</v>
      </c>
      <c r="F40" s="11">
        <v>4</v>
      </c>
      <c r="G40" s="11">
        <v>2</v>
      </c>
      <c r="H40" s="11">
        <v>3</v>
      </c>
      <c r="I40" s="11">
        <v>2</v>
      </c>
      <c r="J40" s="11">
        <v>2</v>
      </c>
      <c r="K40" s="11">
        <v>2</v>
      </c>
      <c r="L40" s="11">
        <v>2</v>
      </c>
      <c r="M40" s="11">
        <v>2</v>
      </c>
      <c r="N40" s="11">
        <v>2</v>
      </c>
      <c r="O40" s="11">
        <v>4</v>
      </c>
      <c r="P40" s="11">
        <v>3</v>
      </c>
      <c r="Q40" s="11">
        <v>3</v>
      </c>
      <c r="R40" s="11">
        <v>2</v>
      </c>
      <c r="S40" s="11">
        <v>3</v>
      </c>
      <c r="T40" s="11">
        <v>3</v>
      </c>
      <c r="U40" s="10">
        <v>4</v>
      </c>
      <c r="V40" s="6">
        <f t="shared" ca="1" si="0"/>
        <v>11.943798784709802</v>
      </c>
      <c r="W40" s="6">
        <f t="shared" ca="1" si="0"/>
        <v>12.128769045097259</v>
      </c>
      <c r="X40" s="6">
        <f t="shared" ca="1" si="0"/>
        <v>12.097993952017026</v>
      </c>
      <c r="Y40" s="6">
        <f t="shared" ca="1" si="0"/>
        <v>12.348277299285192</v>
      </c>
      <c r="Z40" s="6">
        <f t="shared" ca="1" si="1"/>
        <v>11.943798784709802</v>
      </c>
      <c r="AA40" s="6">
        <f t="shared" ca="1" si="3"/>
        <v>1</v>
      </c>
    </row>
    <row r="41" spans="1:27">
      <c r="A41" s="11">
        <v>40</v>
      </c>
      <c r="B41" s="12">
        <v>3</v>
      </c>
      <c r="C41" s="11">
        <v>3</v>
      </c>
      <c r="D41" s="11">
        <v>4</v>
      </c>
      <c r="E41" s="11">
        <v>2</v>
      </c>
      <c r="F41" s="11">
        <v>4</v>
      </c>
      <c r="G41" s="11">
        <v>3</v>
      </c>
      <c r="H41" s="11">
        <v>2</v>
      </c>
      <c r="I41" s="11">
        <v>3</v>
      </c>
      <c r="J41" s="11">
        <v>4</v>
      </c>
      <c r="K41" s="11">
        <v>3</v>
      </c>
      <c r="L41" s="11">
        <v>4</v>
      </c>
      <c r="M41" s="11">
        <v>2</v>
      </c>
      <c r="N41" s="11">
        <v>1</v>
      </c>
      <c r="O41" s="11">
        <v>1</v>
      </c>
      <c r="P41" s="11">
        <v>5</v>
      </c>
      <c r="Q41" s="11">
        <v>4</v>
      </c>
      <c r="R41" s="11">
        <v>3</v>
      </c>
      <c r="S41" s="11">
        <v>4</v>
      </c>
      <c r="T41" s="11">
        <v>5</v>
      </c>
      <c r="U41" s="10">
        <v>2</v>
      </c>
      <c r="V41" s="6">
        <f t="shared" ca="1" si="0"/>
        <v>25.84568730519765</v>
      </c>
      <c r="W41" s="6">
        <f t="shared" ca="1" si="0"/>
        <v>25.490427144577556</v>
      </c>
      <c r="X41" s="6">
        <f t="shared" ca="1" si="0"/>
        <v>26.272899516401075</v>
      </c>
      <c r="Y41" s="6">
        <f t="shared" ca="1" si="0"/>
        <v>25.876212359829942</v>
      </c>
      <c r="Z41" s="6">
        <f t="shared" ca="1" si="1"/>
        <v>25.490427144577556</v>
      </c>
      <c r="AA41" s="6">
        <f t="shared" ca="1" si="3"/>
        <v>2</v>
      </c>
    </row>
    <row r="42" spans="1:27">
      <c r="A42" s="11">
        <v>41</v>
      </c>
      <c r="B42" s="12">
        <v>2</v>
      </c>
      <c r="C42" s="11">
        <v>2</v>
      </c>
      <c r="D42" s="11">
        <v>2</v>
      </c>
      <c r="E42" s="11">
        <v>2</v>
      </c>
      <c r="F42" s="11">
        <v>2</v>
      </c>
      <c r="G42" s="11">
        <v>4</v>
      </c>
      <c r="H42" s="11">
        <v>3</v>
      </c>
      <c r="I42" s="11">
        <v>1</v>
      </c>
      <c r="J42" s="11">
        <v>1</v>
      </c>
      <c r="K42" s="11">
        <v>3</v>
      </c>
      <c r="L42" s="11">
        <v>2</v>
      </c>
      <c r="M42" s="11">
        <v>4</v>
      </c>
      <c r="N42" s="11">
        <v>4</v>
      </c>
      <c r="O42" s="11">
        <v>4</v>
      </c>
      <c r="P42" s="11">
        <v>4</v>
      </c>
      <c r="Q42" s="11">
        <v>2</v>
      </c>
      <c r="R42" s="11">
        <v>3</v>
      </c>
      <c r="S42" s="11">
        <v>2</v>
      </c>
      <c r="T42" s="11">
        <v>2</v>
      </c>
      <c r="U42" s="10">
        <v>4</v>
      </c>
      <c r="V42" s="6">
        <f t="shared" ca="1" si="0"/>
        <v>23.066187052663096</v>
      </c>
      <c r="W42" s="6">
        <f t="shared" ca="1" si="0"/>
        <v>23.242607361223367</v>
      </c>
      <c r="X42" s="6">
        <f t="shared" ca="1" si="0"/>
        <v>22.846350978385445</v>
      </c>
      <c r="Y42" s="6">
        <f t="shared" ca="1" si="0"/>
        <v>23.097626359197701</v>
      </c>
      <c r="Z42" s="6">
        <f t="shared" ca="1" si="1"/>
        <v>22.846350978385445</v>
      </c>
      <c r="AA42" s="6">
        <f t="shared" ca="1" si="3"/>
        <v>3</v>
      </c>
    </row>
    <row r="43" spans="1:27">
      <c r="A43" s="11">
        <v>42</v>
      </c>
      <c r="B43" s="12">
        <v>2</v>
      </c>
      <c r="C43" s="11">
        <v>3</v>
      </c>
      <c r="D43" s="11">
        <v>2</v>
      </c>
      <c r="E43" s="11">
        <v>1</v>
      </c>
      <c r="F43" s="11">
        <v>2</v>
      </c>
      <c r="G43" s="11">
        <v>2</v>
      </c>
      <c r="H43" s="11">
        <v>3</v>
      </c>
      <c r="I43" s="11">
        <v>1</v>
      </c>
      <c r="J43" s="11">
        <v>1</v>
      </c>
      <c r="K43" s="11">
        <v>2</v>
      </c>
      <c r="L43" s="11">
        <v>2</v>
      </c>
      <c r="M43" s="11">
        <v>1</v>
      </c>
      <c r="N43" s="11">
        <v>1</v>
      </c>
      <c r="O43" s="11">
        <v>4</v>
      </c>
      <c r="P43" s="11">
        <v>4</v>
      </c>
      <c r="Q43" s="11">
        <v>2</v>
      </c>
      <c r="R43" s="11">
        <v>3</v>
      </c>
      <c r="S43" s="11">
        <v>2</v>
      </c>
      <c r="T43" s="11">
        <v>3</v>
      </c>
      <c r="U43" s="10">
        <v>2</v>
      </c>
      <c r="V43" s="6">
        <f t="shared" ca="1" si="0"/>
        <v>30.675958213605455</v>
      </c>
      <c r="W43" s="6">
        <f t="shared" ca="1" si="0"/>
        <v>30.936489325326409</v>
      </c>
      <c r="X43" s="6">
        <f t="shared" ca="1" si="0"/>
        <v>30.799725588052983</v>
      </c>
      <c r="Y43" s="6">
        <f t="shared" ca="1" si="0"/>
        <v>31.039473987856486</v>
      </c>
      <c r="Z43" s="6">
        <f t="shared" ca="1" si="1"/>
        <v>30.675958213605455</v>
      </c>
      <c r="AA43" s="6">
        <f t="shared" ca="1" si="3"/>
        <v>1</v>
      </c>
    </row>
    <row r="44" spans="1:27">
      <c r="A44" s="11">
        <v>43</v>
      </c>
      <c r="B44" s="12">
        <v>2</v>
      </c>
      <c r="C44" s="11">
        <v>3</v>
      </c>
      <c r="D44" s="11">
        <v>1</v>
      </c>
      <c r="E44" s="11">
        <v>2</v>
      </c>
      <c r="F44" s="11">
        <v>3</v>
      </c>
      <c r="G44" s="11">
        <v>2</v>
      </c>
      <c r="H44" s="11">
        <v>3</v>
      </c>
      <c r="I44" s="11">
        <v>4</v>
      </c>
      <c r="J44" s="11">
        <v>3</v>
      </c>
      <c r="K44" s="11">
        <v>4</v>
      </c>
      <c r="L44" s="11">
        <v>1</v>
      </c>
      <c r="M44" s="11">
        <v>1</v>
      </c>
      <c r="N44" s="11">
        <v>1</v>
      </c>
      <c r="O44" s="11">
        <v>2</v>
      </c>
      <c r="P44" s="11">
        <v>4</v>
      </c>
      <c r="Q44" s="11">
        <v>3</v>
      </c>
      <c r="R44" s="11">
        <v>3</v>
      </c>
      <c r="S44" s="11">
        <v>4</v>
      </c>
      <c r="T44" s="11">
        <v>2</v>
      </c>
      <c r="U44" s="10">
        <v>4</v>
      </c>
      <c r="V44" s="6">
        <f t="shared" ca="1" si="0"/>
        <v>26.247174158587224</v>
      </c>
      <c r="W44" s="6">
        <f t="shared" ca="1" si="0"/>
        <v>25.9086825760205</v>
      </c>
      <c r="X44" s="6">
        <f t="shared" ca="1" si="0"/>
        <v>26.430109241929365</v>
      </c>
      <c r="Y44" s="6">
        <f t="shared" ca="1" si="0"/>
        <v>25.870262267823026</v>
      </c>
      <c r="Z44" s="6">
        <f t="shared" ca="1" si="1"/>
        <v>25.870262267823026</v>
      </c>
      <c r="AA44" s="6">
        <f t="shared" ca="1" si="3"/>
        <v>4</v>
      </c>
    </row>
    <row r="45" spans="1:27">
      <c r="A45" s="11">
        <v>44</v>
      </c>
      <c r="B45" s="12">
        <v>4</v>
      </c>
      <c r="C45" s="11">
        <v>2</v>
      </c>
      <c r="D45" s="11">
        <v>4</v>
      </c>
      <c r="E45" s="11">
        <v>4</v>
      </c>
      <c r="F45" s="11">
        <v>3</v>
      </c>
      <c r="G45" s="11">
        <v>3</v>
      </c>
      <c r="H45" s="11">
        <v>2</v>
      </c>
      <c r="I45" s="11">
        <v>2</v>
      </c>
      <c r="J45" s="11">
        <v>1</v>
      </c>
      <c r="K45" s="11">
        <v>1</v>
      </c>
      <c r="L45" s="11">
        <v>5</v>
      </c>
      <c r="M45" s="11">
        <v>5</v>
      </c>
      <c r="N45" s="11">
        <v>5</v>
      </c>
      <c r="O45" s="11">
        <v>4</v>
      </c>
      <c r="P45" s="11">
        <v>4</v>
      </c>
      <c r="Q45" s="11">
        <v>3</v>
      </c>
      <c r="R45" s="11">
        <v>3</v>
      </c>
      <c r="S45" s="11">
        <v>3</v>
      </c>
      <c r="T45" s="11">
        <v>3</v>
      </c>
      <c r="U45" s="10">
        <v>3</v>
      </c>
      <c r="V45" s="6">
        <f t="shared" ca="1" si="0"/>
        <v>27.841641147018901</v>
      </c>
      <c r="W45" s="6">
        <f t="shared" ca="1" si="0"/>
        <v>28.062138424941441</v>
      </c>
      <c r="X45" s="6">
        <f t="shared" ca="1" si="0"/>
        <v>27.578884211453556</v>
      </c>
      <c r="Y45" s="6">
        <f t="shared" ca="1" si="0"/>
        <v>28.255646751507129</v>
      </c>
      <c r="Z45" s="6">
        <f t="shared" ca="1" si="1"/>
        <v>27.578884211453556</v>
      </c>
      <c r="AA45" s="6">
        <f t="shared" ca="1" si="3"/>
        <v>3</v>
      </c>
    </row>
    <row r="46" spans="1:27">
      <c r="A46" s="11">
        <v>45</v>
      </c>
      <c r="B46" s="12">
        <v>2</v>
      </c>
      <c r="C46" s="11">
        <v>2</v>
      </c>
      <c r="D46" s="11">
        <v>1</v>
      </c>
      <c r="E46" s="11">
        <v>3</v>
      </c>
      <c r="F46" s="11">
        <v>2</v>
      </c>
      <c r="G46" s="11">
        <v>2</v>
      </c>
      <c r="H46" s="11">
        <v>2</v>
      </c>
      <c r="I46" s="11">
        <v>1</v>
      </c>
      <c r="J46" s="11">
        <v>1</v>
      </c>
      <c r="K46" s="11">
        <v>4</v>
      </c>
      <c r="L46" s="11">
        <v>1</v>
      </c>
      <c r="M46" s="11">
        <v>1</v>
      </c>
      <c r="N46" s="11">
        <v>2</v>
      </c>
      <c r="O46" s="11">
        <v>5</v>
      </c>
      <c r="P46" s="11">
        <v>4</v>
      </c>
      <c r="Q46" s="11">
        <v>4</v>
      </c>
      <c r="R46" s="11">
        <v>5</v>
      </c>
      <c r="S46" s="11">
        <v>1</v>
      </c>
      <c r="T46" s="11">
        <v>2</v>
      </c>
      <c r="U46" s="10">
        <v>1</v>
      </c>
      <c r="V46" s="6">
        <f t="shared" ca="1" si="0"/>
        <v>45.874799967844318</v>
      </c>
      <c r="W46" s="6">
        <f t="shared" ca="1" si="0"/>
        <v>46.067531692511309</v>
      </c>
      <c r="X46" s="6">
        <f t="shared" ca="1" si="0"/>
        <v>45.602340741993459</v>
      </c>
      <c r="Y46" s="6">
        <f t="shared" ca="1" si="0"/>
        <v>45.614600873504152</v>
      </c>
      <c r="Z46" s="6">
        <f t="shared" ca="1" si="1"/>
        <v>45.602340741993459</v>
      </c>
      <c r="AA46" s="6">
        <f t="shared" ca="1" si="3"/>
        <v>3</v>
      </c>
    </row>
    <row r="47" spans="1:27">
      <c r="A47" s="11">
        <v>46</v>
      </c>
      <c r="B47" s="12">
        <v>3</v>
      </c>
      <c r="C47" s="11">
        <v>4</v>
      </c>
      <c r="D47" s="11">
        <v>2</v>
      </c>
      <c r="E47" s="11">
        <v>2</v>
      </c>
      <c r="F47" s="11">
        <v>4</v>
      </c>
      <c r="G47" s="11">
        <v>2</v>
      </c>
      <c r="H47" s="11">
        <v>3</v>
      </c>
      <c r="I47" s="11">
        <v>2</v>
      </c>
      <c r="J47" s="11">
        <v>2</v>
      </c>
      <c r="K47" s="11">
        <v>2</v>
      </c>
      <c r="L47" s="11">
        <v>2</v>
      </c>
      <c r="M47" s="11">
        <v>2</v>
      </c>
      <c r="N47" s="11">
        <v>3</v>
      </c>
      <c r="O47" s="11">
        <v>5</v>
      </c>
      <c r="P47" s="11">
        <v>5</v>
      </c>
      <c r="Q47" s="11">
        <v>3</v>
      </c>
      <c r="R47" s="11">
        <v>2</v>
      </c>
      <c r="S47" s="11">
        <v>3</v>
      </c>
      <c r="T47" s="11">
        <v>2</v>
      </c>
      <c r="U47" s="10">
        <v>2</v>
      </c>
      <c r="V47" s="6">
        <f t="shared" ca="1" si="0"/>
        <v>21.076712812975082</v>
      </c>
      <c r="W47" s="6">
        <f t="shared" ca="1" si="0"/>
        <v>20.871514074062958</v>
      </c>
      <c r="X47" s="6">
        <f t="shared" ca="1" si="0"/>
        <v>20.983851872036446</v>
      </c>
      <c r="Y47" s="6">
        <f t="shared" ca="1" si="0"/>
        <v>20.994180784062106</v>
      </c>
      <c r="Z47" s="6">
        <f t="shared" ca="1" si="1"/>
        <v>20.871514074062958</v>
      </c>
      <c r="AA47" s="6">
        <f t="shared" ca="1" si="3"/>
        <v>2</v>
      </c>
    </row>
    <row r="48" spans="1:27">
      <c r="A48" s="11">
        <v>47</v>
      </c>
      <c r="B48" s="12">
        <v>2</v>
      </c>
      <c r="C48" s="11">
        <v>2</v>
      </c>
      <c r="D48" s="11">
        <v>1</v>
      </c>
      <c r="E48" s="11">
        <v>1</v>
      </c>
      <c r="F48" s="11">
        <v>2</v>
      </c>
      <c r="G48" s="11">
        <v>3</v>
      </c>
      <c r="H48" s="11">
        <v>3</v>
      </c>
      <c r="I48" s="11">
        <v>2</v>
      </c>
      <c r="J48" s="11">
        <v>2</v>
      </c>
      <c r="K48" s="11">
        <v>3</v>
      </c>
      <c r="L48" s="11">
        <v>3</v>
      </c>
      <c r="M48" s="11">
        <v>3</v>
      </c>
      <c r="N48" s="11">
        <v>3</v>
      </c>
      <c r="O48" s="11">
        <v>3</v>
      </c>
      <c r="P48" s="11">
        <v>3</v>
      </c>
      <c r="Q48" s="11">
        <v>1</v>
      </c>
      <c r="R48" s="11">
        <v>1</v>
      </c>
      <c r="S48" s="11">
        <v>1</v>
      </c>
      <c r="T48" s="11">
        <v>2</v>
      </c>
      <c r="U48" s="10">
        <v>4</v>
      </c>
      <c r="V48" s="6">
        <f t="shared" ca="1" si="0"/>
        <v>27.158727580631982</v>
      </c>
      <c r="W48" s="6">
        <f t="shared" ca="1" si="0"/>
        <v>27.452273283429051</v>
      </c>
      <c r="X48" s="6">
        <f t="shared" ca="1" si="0"/>
        <v>27.098865502724081</v>
      </c>
      <c r="Y48" s="6">
        <f t="shared" ca="1" si="0"/>
        <v>27.096693162326794</v>
      </c>
      <c r="Z48" s="6">
        <f t="shared" ca="1" si="1"/>
        <v>27.096693162326794</v>
      </c>
      <c r="AA48" s="6">
        <f t="shared" ca="1" si="3"/>
        <v>4</v>
      </c>
    </row>
    <row r="49" spans="1:27">
      <c r="A49" s="11">
        <v>48</v>
      </c>
      <c r="B49" s="12">
        <v>4</v>
      </c>
      <c r="C49" s="11">
        <v>2</v>
      </c>
      <c r="D49" s="11">
        <v>2</v>
      </c>
      <c r="E49" s="11">
        <v>2</v>
      </c>
      <c r="F49" s="11">
        <v>3</v>
      </c>
      <c r="G49" s="11">
        <v>4</v>
      </c>
      <c r="H49" s="11">
        <v>2</v>
      </c>
      <c r="I49" s="11">
        <v>2</v>
      </c>
      <c r="J49" s="11">
        <v>2</v>
      </c>
      <c r="K49" s="11">
        <v>2</v>
      </c>
      <c r="L49" s="11">
        <v>2</v>
      </c>
      <c r="M49" s="11">
        <v>2</v>
      </c>
      <c r="N49" s="11">
        <v>2</v>
      </c>
      <c r="O49" s="11">
        <v>4</v>
      </c>
      <c r="P49" s="11">
        <v>5</v>
      </c>
      <c r="Q49" s="11">
        <v>2</v>
      </c>
      <c r="R49" s="11">
        <v>3</v>
      </c>
      <c r="S49" s="11">
        <v>2</v>
      </c>
      <c r="T49" s="11">
        <v>4</v>
      </c>
      <c r="U49" s="10">
        <v>2</v>
      </c>
      <c r="V49" s="6">
        <f t="shared" ca="1" si="0"/>
        <v>20.744191153967304</v>
      </c>
      <c r="W49" s="6">
        <f t="shared" ca="1" si="0"/>
        <v>21.026815424060384</v>
      </c>
      <c r="X49" s="6">
        <f t="shared" ca="1" si="0"/>
        <v>20.665154107285762</v>
      </c>
      <c r="Y49" s="6">
        <f t="shared" ca="1" si="0"/>
        <v>20.94504070583994</v>
      </c>
      <c r="Z49" s="6">
        <f t="shared" ca="1" si="1"/>
        <v>20.665154107285762</v>
      </c>
      <c r="AA49" s="6">
        <f t="shared" ca="1" si="3"/>
        <v>3</v>
      </c>
    </row>
    <row r="50" spans="1:27">
      <c r="A50" s="11">
        <v>49</v>
      </c>
      <c r="B50" s="12">
        <v>2</v>
      </c>
      <c r="C50" s="11">
        <v>3</v>
      </c>
      <c r="D50" s="11">
        <v>2</v>
      </c>
      <c r="E50" s="11">
        <v>2</v>
      </c>
      <c r="F50" s="11">
        <v>4</v>
      </c>
      <c r="G50" s="11">
        <v>2</v>
      </c>
      <c r="H50" s="11">
        <v>3</v>
      </c>
      <c r="I50" s="11">
        <v>2</v>
      </c>
      <c r="J50" s="11">
        <v>3</v>
      </c>
      <c r="K50" s="11">
        <v>2</v>
      </c>
      <c r="L50" s="11">
        <v>3</v>
      </c>
      <c r="M50" s="11">
        <v>3</v>
      </c>
      <c r="N50" s="11">
        <v>3</v>
      </c>
      <c r="O50" s="11">
        <v>3</v>
      </c>
      <c r="P50" s="11">
        <v>2</v>
      </c>
      <c r="Q50" s="11">
        <v>3</v>
      </c>
      <c r="R50" s="11">
        <v>2</v>
      </c>
      <c r="S50" s="11">
        <v>3</v>
      </c>
      <c r="T50" s="11">
        <v>2</v>
      </c>
      <c r="U50" s="10">
        <v>3</v>
      </c>
      <c r="V50" s="6">
        <f t="shared" ca="1" si="0"/>
        <v>10.141445398148944</v>
      </c>
      <c r="W50" s="6">
        <f t="shared" ca="1" si="0"/>
        <v>9.918671383093173</v>
      </c>
      <c r="X50" s="6">
        <f t="shared" ca="1" si="0"/>
        <v>10.108701088626004</v>
      </c>
      <c r="Y50" s="6">
        <f t="shared" ca="1" si="0"/>
        <v>10.183858684480345</v>
      </c>
      <c r="Z50" s="6">
        <f t="shared" ca="1" si="1"/>
        <v>9.918671383093173</v>
      </c>
      <c r="AA50" s="6">
        <f t="shared" ca="1" si="3"/>
        <v>2</v>
      </c>
    </row>
    <row r="51" spans="1:27">
      <c r="A51" s="11">
        <v>50</v>
      </c>
      <c r="B51" s="12">
        <v>3</v>
      </c>
      <c r="C51" s="11">
        <v>4</v>
      </c>
      <c r="D51" s="11">
        <v>2</v>
      </c>
      <c r="E51" s="11">
        <v>3</v>
      </c>
      <c r="F51" s="11">
        <v>4</v>
      </c>
      <c r="G51" s="11">
        <v>3</v>
      </c>
      <c r="H51" s="11">
        <v>3</v>
      </c>
      <c r="I51" s="11">
        <v>3</v>
      </c>
      <c r="J51" s="11">
        <v>3</v>
      </c>
      <c r="K51" s="11">
        <v>3</v>
      </c>
      <c r="L51" s="11">
        <v>3</v>
      </c>
      <c r="M51" s="11">
        <v>3</v>
      </c>
      <c r="N51" s="11">
        <v>3</v>
      </c>
      <c r="O51" s="11">
        <v>3</v>
      </c>
      <c r="P51" s="11">
        <v>3</v>
      </c>
      <c r="Q51" s="11">
        <v>2</v>
      </c>
      <c r="R51" s="11">
        <v>3</v>
      </c>
      <c r="S51" s="11">
        <v>3</v>
      </c>
      <c r="T51" s="11">
        <v>3</v>
      </c>
      <c r="U51" s="10">
        <v>3</v>
      </c>
      <c r="V51" s="6">
        <f t="shared" ca="1" si="0"/>
        <v>4.0600910249406184</v>
      </c>
      <c r="W51" s="6">
        <f t="shared" ca="1" si="0"/>
        <v>3.888989563781454</v>
      </c>
      <c r="X51" s="6">
        <f t="shared" ca="1" si="0"/>
        <v>3.8955016603829913</v>
      </c>
      <c r="Y51" s="6">
        <f t="shared" ca="1" si="0"/>
        <v>4.1765925613360571</v>
      </c>
      <c r="Z51" s="6">
        <f t="shared" ca="1" si="1"/>
        <v>3.888989563781454</v>
      </c>
      <c r="AA51" s="6">
        <f t="shared" ca="1" si="3"/>
        <v>2</v>
      </c>
    </row>
    <row r="52" spans="1:27">
      <c r="A52" s="11">
        <v>51</v>
      </c>
      <c r="B52" s="12">
        <v>3</v>
      </c>
      <c r="C52" s="11">
        <v>2</v>
      </c>
      <c r="D52" s="11">
        <v>2</v>
      </c>
      <c r="E52" s="11">
        <v>1</v>
      </c>
      <c r="F52" s="11">
        <v>2</v>
      </c>
      <c r="G52" s="11">
        <v>4</v>
      </c>
      <c r="H52" s="11">
        <v>2</v>
      </c>
      <c r="I52" s="11">
        <v>3</v>
      </c>
      <c r="J52" s="11">
        <v>1</v>
      </c>
      <c r="K52" s="11">
        <v>3</v>
      </c>
      <c r="L52" s="11">
        <v>1</v>
      </c>
      <c r="M52" s="11">
        <v>1</v>
      </c>
      <c r="N52" s="11">
        <v>4</v>
      </c>
      <c r="O52" s="11">
        <v>1</v>
      </c>
      <c r="P52" s="11">
        <v>2</v>
      </c>
      <c r="Q52" s="11">
        <v>2</v>
      </c>
      <c r="R52" s="11">
        <v>5</v>
      </c>
      <c r="S52" s="11">
        <v>3</v>
      </c>
      <c r="T52" s="11">
        <v>5</v>
      </c>
      <c r="U52" s="10">
        <v>4</v>
      </c>
      <c r="V52" s="6">
        <f t="shared" ca="1" si="0"/>
        <v>36.86342000464542</v>
      </c>
      <c r="W52" s="6">
        <f t="shared" ca="1" si="0"/>
        <v>37.120178400522263</v>
      </c>
      <c r="X52" s="6">
        <f t="shared" ca="1" si="0"/>
        <v>36.718146001432629</v>
      </c>
      <c r="Y52" s="6">
        <f t="shared" ca="1" si="0"/>
        <v>36.940036936420213</v>
      </c>
      <c r="Z52" s="6">
        <f t="shared" ca="1" si="1"/>
        <v>36.718146001432629</v>
      </c>
      <c r="AA52" s="6">
        <f t="shared" ca="1" si="3"/>
        <v>3</v>
      </c>
    </row>
    <row r="53" spans="1:27">
      <c r="A53" s="11">
        <v>52</v>
      </c>
      <c r="B53" s="12">
        <v>1</v>
      </c>
      <c r="C53" s="11">
        <v>1</v>
      </c>
      <c r="D53" s="11">
        <v>1</v>
      </c>
      <c r="E53" s="11">
        <v>2</v>
      </c>
      <c r="F53" s="11">
        <v>2</v>
      </c>
      <c r="G53" s="11">
        <v>2</v>
      </c>
      <c r="H53" s="11">
        <v>2</v>
      </c>
      <c r="I53" s="11">
        <v>2</v>
      </c>
      <c r="J53" s="11">
        <v>3</v>
      </c>
      <c r="K53" s="11">
        <v>2</v>
      </c>
      <c r="L53" s="11">
        <v>2</v>
      </c>
      <c r="M53" s="11">
        <v>2</v>
      </c>
      <c r="N53" s="11">
        <v>4</v>
      </c>
      <c r="O53" s="11">
        <v>2</v>
      </c>
      <c r="P53" s="11">
        <v>2</v>
      </c>
      <c r="Q53" s="11">
        <v>2</v>
      </c>
      <c r="R53" s="11">
        <v>2</v>
      </c>
      <c r="S53" s="11">
        <v>3</v>
      </c>
      <c r="T53" s="11">
        <v>3</v>
      </c>
      <c r="U53" s="10">
        <v>4</v>
      </c>
      <c r="V53" s="6">
        <f t="shared" ca="1" si="0"/>
        <v>25.983199222776367</v>
      </c>
      <c r="W53" s="6">
        <f t="shared" ca="1" si="0"/>
        <v>26.267671725004021</v>
      </c>
      <c r="X53" s="6">
        <f t="shared" ca="1" si="0"/>
        <v>26.22169063319366</v>
      </c>
      <c r="Y53" s="6">
        <f t="shared" ca="1" si="0"/>
        <v>25.998377775288802</v>
      </c>
      <c r="Z53" s="6">
        <f t="shared" ca="1" si="1"/>
        <v>25.983199222776367</v>
      </c>
      <c r="AA53" s="6">
        <f t="shared" ca="1" si="3"/>
        <v>1</v>
      </c>
    </row>
    <row r="54" spans="1:27">
      <c r="A54" s="11">
        <v>53</v>
      </c>
      <c r="B54" s="12">
        <v>3</v>
      </c>
      <c r="C54" s="11">
        <v>3</v>
      </c>
      <c r="D54" s="11">
        <v>2</v>
      </c>
      <c r="E54" s="11">
        <v>4</v>
      </c>
      <c r="F54" s="11">
        <v>4</v>
      </c>
      <c r="G54" s="11">
        <v>2</v>
      </c>
      <c r="H54" s="11">
        <v>2</v>
      </c>
      <c r="I54" s="11">
        <v>2</v>
      </c>
      <c r="J54" s="11">
        <v>2</v>
      </c>
      <c r="K54" s="11">
        <v>3</v>
      </c>
      <c r="L54" s="11">
        <v>2</v>
      </c>
      <c r="M54" s="11">
        <v>2</v>
      </c>
      <c r="N54" s="11">
        <v>2</v>
      </c>
      <c r="O54" s="11">
        <v>4</v>
      </c>
      <c r="P54" s="11">
        <v>5</v>
      </c>
      <c r="Q54" s="11">
        <v>3</v>
      </c>
      <c r="R54" s="11">
        <v>2</v>
      </c>
      <c r="S54" s="11">
        <v>2</v>
      </c>
      <c r="T54" s="11">
        <v>3</v>
      </c>
      <c r="U54" s="10">
        <v>4</v>
      </c>
      <c r="V54" s="6">
        <f t="shared" ca="1" si="0"/>
        <v>18.079495182397274</v>
      </c>
      <c r="W54" s="6">
        <f t="shared" ca="1" si="0"/>
        <v>18.12353064987089</v>
      </c>
      <c r="X54" s="6">
        <f t="shared" ca="1" si="0"/>
        <v>18.074173803371188</v>
      </c>
      <c r="Y54" s="6">
        <f t="shared" ca="1" si="0"/>
        <v>18.173575672717387</v>
      </c>
      <c r="Z54" s="6">
        <f t="shared" ca="1" si="1"/>
        <v>18.074173803371188</v>
      </c>
      <c r="AA54" s="6">
        <f t="shared" ca="1" si="3"/>
        <v>3</v>
      </c>
    </row>
    <row r="55" spans="1:27">
      <c r="A55" s="11">
        <v>54</v>
      </c>
      <c r="B55" s="12">
        <v>2</v>
      </c>
      <c r="C55" s="11">
        <v>1</v>
      </c>
      <c r="D55" s="11">
        <v>1</v>
      </c>
      <c r="E55" s="11">
        <v>2</v>
      </c>
      <c r="F55" s="11">
        <v>1</v>
      </c>
      <c r="G55" s="11">
        <v>4</v>
      </c>
      <c r="H55" s="11">
        <v>3</v>
      </c>
      <c r="I55" s="11">
        <v>3</v>
      </c>
      <c r="J55" s="11">
        <v>2</v>
      </c>
      <c r="K55" s="11">
        <v>4</v>
      </c>
      <c r="L55" s="11">
        <v>2</v>
      </c>
      <c r="M55" s="11">
        <v>3</v>
      </c>
      <c r="N55" s="11">
        <v>3</v>
      </c>
      <c r="O55" s="11">
        <v>4</v>
      </c>
      <c r="P55" s="11">
        <v>5</v>
      </c>
      <c r="Q55" s="11">
        <v>1</v>
      </c>
      <c r="R55" s="11">
        <v>2</v>
      </c>
      <c r="S55" s="11">
        <v>2</v>
      </c>
      <c r="T55" s="11">
        <v>3</v>
      </c>
      <c r="U55" s="10">
        <v>1</v>
      </c>
      <c r="V55" s="6">
        <f t="shared" ca="1" si="0"/>
        <v>32.723803408172593</v>
      </c>
      <c r="W55" s="6">
        <f t="shared" ca="1" si="0"/>
        <v>33.252464037038926</v>
      </c>
      <c r="X55" s="6">
        <f t="shared" ca="1" si="0"/>
        <v>32.88318034494187</v>
      </c>
      <c r="Y55" s="6">
        <f t="shared" ca="1" si="0"/>
        <v>32.516542327563357</v>
      </c>
      <c r="Z55" s="6">
        <f t="shared" ca="1" si="1"/>
        <v>32.516542327563357</v>
      </c>
      <c r="AA55" s="6">
        <f t="shared" ca="1" si="3"/>
        <v>4</v>
      </c>
    </row>
    <row r="56" spans="1:27">
      <c r="A56" s="11">
        <v>55</v>
      </c>
      <c r="B56" s="12">
        <v>5</v>
      </c>
      <c r="C56" s="11">
        <v>1</v>
      </c>
      <c r="D56" s="11">
        <v>1</v>
      </c>
      <c r="E56" s="11">
        <v>1</v>
      </c>
      <c r="F56" s="11">
        <v>4</v>
      </c>
      <c r="G56" s="11">
        <v>2</v>
      </c>
      <c r="H56" s="11">
        <v>3</v>
      </c>
      <c r="I56" s="11">
        <v>1</v>
      </c>
      <c r="J56" s="11">
        <v>1</v>
      </c>
      <c r="K56" s="11">
        <v>1</v>
      </c>
      <c r="L56" s="11">
        <v>1</v>
      </c>
      <c r="M56" s="11">
        <v>1</v>
      </c>
      <c r="N56" s="11">
        <v>1</v>
      </c>
      <c r="O56" s="11">
        <v>4</v>
      </c>
      <c r="P56" s="11">
        <v>1</v>
      </c>
      <c r="Q56" s="11">
        <v>2</v>
      </c>
      <c r="R56" s="11">
        <v>4</v>
      </c>
      <c r="S56" s="11">
        <v>5</v>
      </c>
      <c r="T56" s="11">
        <v>1</v>
      </c>
      <c r="U56" s="10">
        <v>5</v>
      </c>
      <c r="V56" s="6">
        <f t="shared" ca="1" si="0"/>
        <v>61.202905541999485</v>
      </c>
      <c r="W56" s="6">
        <f t="shared" ca="1" si="0"/>
        <v>61.285000494454799</v>
      </c>
      <c r="X56" s="6">
        <f t="shared" ca="1" si="0"/>
        <v>60.610139087346944</v>
      </c>
      <c r="Y56" s="6">
        <f t="shared" ca="1" si="0"/>
        <v>61.499529957266752</v>
      </c>
      <c r="Z56" s="6">
        <f t="shared" ca="1" si="1"/>
        <v>60.610139087346944</v>
      </c>
      <c r="AA56" s="6">
        <f t="shared" ca="1" si="3"/>
        <v>3</v>
      </c>
    </row>
    <row r="57" spans="1:27">
      <c r="A57" s="11">
        <v>56</v>
      </c>
      <c r="B57" s="12">
        <v>2</v>
      </c>
      <c r="C57" s="11">
        <v>3</v>
      </c>
      <c r="D57" s="11">
        <v>3</v>
      </c>
      <c r="E57" s="11">
        <v>2</v>
      </c>
      <c r="F57" s="11">
        <v>4</v>
      </c>
      <c r="G57" s="11">
        <v>3</v>
      </c>
      <c r="H57" s="11">
        <v>3</v>
      </c>
      <c r="I57" s="11">
        <v>1</v>
      </c>
      <c r="J57" s="11">
        <v>1</v>
      </c>
      <c r="K57" s="11">
        <v>3</v>
      </c>
      <c r="L57" s="11">
        <v>3</v>
      </c>
      <c r="M57" s="11">
        <v>2</v>
      </c>
      <c r="N57" s="11">
        <v>4</v>
      </c>
      <c r="O57" s="11">
        <v>3</v>
      </c>
      <c r="P57" s="11">
        <v>2</v>
      </c>
      <c r="Q57" s="11">
        <v>4</v>
      </c>
      <c r="R57" s="11">
        <v>3</v>
      </c>
      <c r="S57" s="11">
        <v>4</v>
      </c>
      <c r="T57" s="11">
        <v>2</v>
      </c>
      <c r="U57" s="10">
        <v>5</v>
      </c>
      <c r="V57" s="6">
        <f t="shared" ca="1" si="0"/>
        <v>21.331928512160104</v>
      </c>
      <c r="W57" s="6">
        <f t="shared" ca="1" si="0"/>
        <v>20.997205071666862</v>
      </c>
      <c r="X57" s="6">
        <f t="shared" ca="1" si="0"/>
        <v>21.007117349098728</v>
      </c>
      <c r="Y57" s="6">
        <f t="shared" ca="1" si="0"/>
        <v>21.306351663803511</v>
      </c>
      <c r="Z57" s="6">
        <f t="shared" ca="1" si="1"/>
        <v>20.997205071666862</v>
      </c>
      <c r="AA57" s="6">
        <f t="shared" ca="1" si="3"/>
        <v>2</v>
      </c>
    </row>
    <row r="58" spans="1:27">
      <c r="A58" s="11">
        <v>57</v>
      </c>
      <c r="B58" s="12">
        <v>3</v>
      </c>
      <c r="C58" s="11">
        <v>2</v>
      </c>
      <c r="D58" s="11">
        <v>3</v>
      </c>
      <c r="E58" s="11">
        <v>3</v>
      </c>
      <c r="F58" s="11">
        <v>3</v>
      </c>
      <c r="G58" s="11">
        <v>4</v>
      </c>
      <c r="H58" s="11">
        <v>4</v>
      </c>
      <c r="I58" s="11">
        <v>3</v>
      </c>
      <c r="J58" s="11">
        <v>2</v>
      </c>
      <c r="K58" s="11">
        <v>2</v>
      </c>
      <c r="L58" s="11">
        <v>1</v>
      </c>
      <c r="M58" s="11">
        <v>2</v>
      </c>
      <c r="N58" s="11">
        <v>3</v>
      </c>
      <c r="O58" s="11">
        <v>1</v>
      </c>
      <c r="P58" s="11">
        <v>4</v>
      </c>
      <c r="Q58" s="11">
        <v>5</v>
      </c>
      <c r="R58" s="11">
        <v>1</v>
      </c>
      <c r="S58" s="11">
        <v>2</v>
      </c>
      <c r="T58" s="11">
        <v>1</v>
      </c>
      <c r="U58" s="10">
        <v>4</v>
      </c>
      <c r="V58" s="6">
        <f t="shared" ca="1" si="0"/>
        <v>29.291641372260681</v>
      </c>
      <c r="W58" s="6">
        <f t="shared" ca="1" si="0"/>
        <v>28.879355596820389</v>
      </c>
      <c r="X58" s="6">
        <f t="shared" ca="1" si="0"/>
        <v>29.453729076540363</v>
      </c>
      <c r="Y58" s="6">
        <f t="shared" ca="1" si="0"/>
        <v>28.969927928117375</v>
      </c>
      <c r="Z58" s="6">
        <f t="shared" ca="1" si="1"/>
        <v>28.879355596820389</v>
      </c>
      <c r="AA58" s="6">
        <f t="shared" ca="1" si="3"/>
        <v>2</v>
      </c>
    </row>
    <row r="59" spans="1:27">
      <c r="A59" s="11">
        <v>58</v>
      </c>
      <c r="B59" s="12">
        <v>3</v>
      </c>
      <c r="C59" s="11">
        <v>5</v>
      </c>
      <c r="D59" s="11">
        <v>5</v>
      </c>
      <c r="E59" s="11">
        <v>4</v>
      </c>
      <c r="F59" s="11">
        <v>5</v>
      </c>
      <c r="G59" s="11">
        <v>2</v>
      </c>
      <c r="H59" s="11">
        <v>3</v>
      </c>
      <c r="I59" s="11">
        <v>3</v>
      </c>
      <c r="J59" s="11">
        <v>4</v>
      </c>
      <c r="K59" s="11">
        <v>3</v>
      </c>
      <c r="L59" s="11">
        <v>3</v>
      </c>
      <c r="M59" s="11">
        <v>4</v>
      </c>
      <c r="N59" s="11">
        <v>4</v>
      </c>
      <c r="O59" s="11">
        <v>2</v>
      </c>
      <c r="P59" s="11">
        <v>2</v>
      </c>
      <c r="Q59" s="11">
        <v>3</v>
      </c>
      <c r="R59" s="11">
        <v>3</v>
      </c>
      <c r="S59" s="11">
        <v>5</v>
      </c>
      <c r="T59" s="11">
        <v>3</v>
      </c>
      <c r="U59" s="10">
        <v>2</v>
      </c>
      <c r="V59" s="6">
        <f t="shared" ca="1" si="0"/>
        <v>23.976985945297791</v>
      </c>
      <c r="W59" s="6">
        <f t="shared" ca="1" si="0"/>
        <v>23.658753682341548</v>
      </c>
      <c r="X59" s="6">
        <f t="shared" ca="1" si="0"/>
        <v>24.16748031740606</v>
      </c>
      <c r="Y59" s="6">
        <f t="shared" ca="1" si="0"/>
        <v>24.208846787566589</v>
      </c>
      <c r="Z59" s="6">
        <f t="shared" ca="1" si="1"/>
        <v>23.658753682341548</v>
      </c>
      <c r="AA59" s="6">
        <f t="shared" ca="1" si="3"/>
        <v>2</v>
      </c>
    </row>
    <row r="60" spans="1:27">
      <c r="A60" s="11">
        <v>59</v>
      </c>
      <c r="B60" s="12">
        <v>3</v>
      </c>
      <c r="C60" s="11">
        <v>2</v>
      </c>
      <c r="D60" s="11">
        <v>2</v>
      </c>
      <c r="E60" s="11">
        <v>2</v>
      </c>
      <c r="F60" s="11">
        <v>3</v>
      </c>
      <c r="G60" s="11">
        <v>2</v>
      </c>
      <c r="H60" s="11">
        <v>3</v>
      </c>
      <c r="I60" s="11">
        <v>2</v>
      </c>
      <c r="J60" s="11">
        <v>3</v>
      </c>
      <c r="K60" s="11">
        <v>3</v>
      </c>
      <c r="L60" s="11">
        <v>2</v>
      </c>
      <c r="M60" s="11">
        <v>4</v>
      </c>
      <c r="N60" s="11">
        <v>2</v>
      </c>
      <c r="O60" s="11">
        <v>3</v>
      </c>
      <c r="P60" s="11">
        <v>2</v>
      </c>
      <c r="Q60" s="11">
        <v>3</v>
      </c>
      <c r="R60" s="11">
        <v>2</v>
      </c>
      <c r="S60" s="11">
        <v>2</v>
      </c>
      <c r="T60" s="11">
        <v>2</v>
      </c>
      <c r="U60" s="10">
        <v>4</v>
      </c>
      <c r="V60" s="6">
        <f t="shared" ca="1" si="0"/>
        <v>13.234107759978798</v>
      </c>
      <c r="W60" s="6">
        <f t="shared" ca="1" si="0"/>
        <v>13.331572855269325</v>
      </c>
      <c r="X60" s="6">
        <f t="shared" ca="1" si="0"/>
        <v>13.212385785691101</v>
      </c>
      <c r="Y60" s="6">
        <f t="shared" ca="1" si="0"/>
        <v>13.093116665397362</v>
      </c>
      <c r="Z60" s="6">
        <f t="shared" ca="1" si="1"/>
        <v>13.093116665397362</v>
      </c>
      <c r="AA60" s="6">
        <f t="shared" ca="1" si="3"/>
        <v>4</v>
      </c>
    </row>
    <row r="61" spans="1:27">
      <c r="A61" s="11">
        <v>60</v>
      </c>
      <c r="B61" s="12">
        <v>3</v>
      </c>
      <c r="C61" s="11">
        <v>3</v>
      </c>
      <c r="D61" s="11">
        <v>2</v>
      </c>
      <c r="E61" s="11">
        <v>4</v>
      </c>
      <c r="F61" s="11">
        <v>1</v>
      </c>
      <c r="G61" s="11">
        <v>3</v>
      </c>
      <c r="H61" s="11">
        <v>3</v>
      </c>
      <c r="I61" s="11">
        <v>3</v>
      </c>
      <c r="J61" s="11">
        <v>1</v>
      </c>
      <c r="K61" s="11">
        <v>3</v>
      </c>
      <c r="L61" s="11">
        <v>2</v>
      </c>
      <c r="M61" s="11">
        <v>2</v>
      </c>
      <c r="N61" s="11">
        <v>3</v>
      </c>
      <c r="O61" s="11">
        <v>5</v>
      </c>
      <c r="P61" s="11">
        <v>3</v>
      </c>
      <c r="Q61" s="11">
        <v>2</v>
      </c>
      <c r="R61" s="11">
        <v>2</v>
      </c>
      <c r="S61" s="11">
        <v>4</v>
      </c>
      <c r="T61" s="11">
        <v>5</v>
      </c>
      <c r="U61" s="10">
        <v>3</v>
      </c>
      <c r="V61" s="6">
        <f t="shared" ca="1" si="0"/>
        <v>22.551768364565241</v>
      </c>
      <c r="W61" s="6">
        <f t="shared" ca="1" si="0"/>
        <v>23.275961961797108</v>
      </c>
      <c r="X61" s="6">
        <f t="shared" ca="1" si="0"/>
        <v>22.705249332967011</v>
      </c>
      <c r="Y61" s="6">
        <f t="shared" ca="1" si="0"/>
        <v>22.836162038928183</v>
      </c>
      <c r="Z61" s="6">
        <f t="shared" ca="1" si="1"/>
        <v>22.551768364565241</v>
      </c>
      <c r="AA61" s="6">
        <f t="shared" ca="1" si="3"/>
        <v>1</v>
      </c>
    </row>
    <row r="62" spans="1:27">
      <c r="A62" s="11">
        <v>61</v>
      </c>
      <c r="B62" s="12">
        <v>4</v>
      </c>
      <c r="C62" s="11">
        <v>1</v>
      </c>
      <c r="D62" s="11">
        <v>1</v>
      </c>
      <c r="E62" s="11">
        <v>3</v>
      </c>
      <c r="F62" s="11">
        <v>1</v>
      </c>
      <c r="G62" s="11">
        <v>5</v>
      </c>
      <c r="H62" s="11">
        <v>2</v>
      </c>
      <c r="I62" s="11">
        <v>1</v>
      </c>
      <c r="J62" s="11">
        <v>1</v>
      </c>
      <c r="K62" s="11">
        <v>4</v>
      </c>
      <c r="L62" s="11">
        <v>1</v>
      </c>
      <c r="M62" s="11">
        <v>1</v>
      </c>
      <c r="N62" s="11">
        <v>5</v>
      </c>
      <c r="O62" s="11">
        <v>5</v>
      </c>
      <c r="P62" s="11">
        <v>5</v>
      </c>
      <c r="Q62" s="11">
        <v>1</v>
      </c>
      <c r="R62" s="11">
        <v>1</v>
      </c>
      <c r="S62" s="11">
        <v>2</v>
      </c>
      <c r="T62" s="11">
        <v>1</v>
      </c>
      <c r="U62" s="10">
        <v>1</v>
      </c>
      <c r="V62" s="6">
        <f t="shared" ca="1" si="0"/>
        <v>63.954177458672149</v>
      </c>
      <c r="W62" s="6">
        <f t="shared" ca="1" si="0"/>
        <v>64.673990637590308</v>
      </c>
      <c r="X62" s="6">
        <f t="shared" ca="1" si="0"/>
        <v>63.658857576573105</v>
      </c>
      <c r="Y62" s="6">
        <f t="shared" ca="1" si="0"/>
        <v>63.479933328402723</v>
      </c>
      <c r="Z62" s="6">
        <f t="shared" ca="1" si="1"/>
        <v>63.479933328402723</v>
      </c>
      <c r="AA62" s="6">
        <f t="shared" ca="1" si="3"/>
        <v>4</v>
      </c>
    </row>
    <row r="63" spans="1:27">
      <c r="A63" s="11">
        <v>62</v>
      </c>
      <c r="B63" s="12">
        <v>3</v>
      </c>
      <c r="C63" s="11">
        <v>2</v>
      </c>
      <c r="D63" s="11">
        <v>1</v>
      </c>
      <c r="E63" s="11">
        <v>3</v>
      </c>
      <c r="F63" s="11">
        <v>4</v>
      </c>
      <c r="G63" s="11">
        <v>4</v>
      </c>
      <c r="H63" s="11">
        <v>4</v>
      </c>
      <c r="I63" s="11">
        <v>1</v>
      </c>
      <c r="J63" s="11">
        <v>1</v>
      </c>
      <c r="K63" s="11">
        <v>1</v>
      </c>
      <c r="L63" s="11">
        <v>1</v>
      </c>
      <c r="M63" s="11">
        <v>1</v>
      </c>
      <c r="N63" s="11">
        <v>1</v>
      </c>
      <c r="O63" s="11">
        <v>5</v>
      </c>
      <c r="P63" s="11">
        <v>1</v>
      </c>
      <c r="Q63" s="11">
        <v>5</v>
      </c>
      <c r="R63" s="11">
        <v>1</v>
      </c>
      <c r="S63" s="11">
        <v>5</v>
      </c>
      <c r="T63" s="11">
        <v>1</v>
      </c>
      <c r="U63" s="10">
        <v>1</v>
      </c>
      <c r="V63" s="6">
        <f t="shared" ca="1" si="0"/>
        <v>59.85744232928257</v>
      </c>
      <c r="W63" s="6">
        <f t="shared" ca="1" si="0"/>
        <v>59.585466591645499</v>
      </c>
      <c r="X63" s="6">
        <f t="shared" ca="1" si="0"/>
        <v>59.652793854201803</v>
      </c>
      <c r="Y63" s="6">
        <f t="shared" ca="1" si="0"/>
        <v>59.944634919366059</v>
      </c>
      <c r="Z63" s="6">
        <f t="shared" ca="1" si="1"/>
        <v>59.585466591645499</v>
      </c>
      <c r="AA63" s="6">
        <f t="shared" ca="1" si="3"/>
        <v>2</v>
      </c>
    </row>
    <row r="64" spans="1:27">
      <c r="A64" s="11">
        <v>63</v>
      </c>
      <c r="B64" s="12">
        <v>3</v>
      </c>
      <c r="C64" s="11">
        <v>3</v>
      </c>
      <c r="D64" s="11">
        <v>2</v>
      </c>
      <c r="E64" s="11">
        <v>4</v>
      </c>
      <c r="F64" s="11">
        <v>3</v>
      </c>
      <c r="G64" s="11">
        <v>4</v>
      </c>
      <c r="H64" s="11">
        <v>3</v>
      </c>
      <c r="I64" s="11">
        <v>2</v>
      </c>
      <c r="J64" s="11">
        <v>2</v>
      </c>
      <c r="K64" s="11">
        <v>4</v>
      </c>
      <c r="L64" s="11">
        <v>2</v>
      </c>
      <c r="M64" s="11">
        <v>2</v>
      </c>
      <c r="N64" s="11">
        <v>3</v>
      </c>
      <c r="O64" s="11">
        <v>4</v>
      </c>
      <c r="P64" s="11">
        <v>3</v>
      </c>
      <c r="Q64" s="11">
        <v>2</v>
      </c>
      <c r="R64" s="11">
        <v>2</v>
      </c>
      <c r="S64" s="11">
        <v>4</v>
      </c>
      <c r="T64" s="11">
        <v>3</v>
      </c>
      <c r="U64" s="10">
        <v>3</v>
      </c>
      <c r="V64" s="6">
        <f t="shared" ca="1" si="0"/>
        <v>11.928646668086877</v>
      </c>
      <c r="W64" s="6">
        <f t="shared" ca="1" si="0"/>
        <v>12.139929014836497</v>
      </c>
      <c r="X64" s="6">
        <f t="shared" ca="1" si="0"/>
        <v>11.830203282321719</v>
      </c>
      <c r="Y64" s="6">
        <f t="shared" ca="1" si="0"/>
        <v>11.993056571384729</v>
      </c>
      <c r="Z64" s="6">
        <f t="shared" ca="1" si="1"/>
        <v>11.830203282321719</v>
      </c>
      <c r="AA64" s="6">
        <f t="shared" ca="1" si="3"/>
        <v>3</v>
      </c>
    </row>
    <row r="65" spans="1:27">
      <c r="A65" s="11">
        <v>64</v>
      </c>
      <c r="B65" s="12">
        <v>1</v>
      </c>
      <c r="C65" s="11">
        <v>2</v>
      </c>
      <c r="D65" s="11">
        <v>2</v>
      </c>
      <c r="E65" s="11">
        <v>3</v>
      </c>
      <c r="F65" s="11">
        <v>2</v>
      </c>
      <c r="G65" s="11">
        <v>4</v>
      </c>
      <c r="H65" s="11">
        <v>1</v>
      </c>
      <c r="I65" s="11">
        <v>1</v>
      </c>
      <c r="J65" s="11">
        <v>1</v>
      </c>
      <c r="K65" s="11">
        <v>2</v>
      </c>
      <c r="L65" s="11">
        <v>1</v>
      </c>
      <c r="M65" s="11">
        <v>2</v>
      </c>
      <c r="N65" s="11">
        <v>1</v>
      </c>
      <c r="O65" s="11">
        <v>1</v>
      </c>
      <c r="P65" s="11">
        <v>4</v>
      </c>
      <c r="Q65" s="11">
        <v>1</v>
      </c>
      <c r="R65" s="11">
        <v>2</v>
      </c>
      <c r="S65" s="11">
        <v>2</v>
      </c>
      <c r="T65" s="11">
        <v>1</v>
      </c>
      <c r="U65" s="10">
        <v>4</v>
      </c>
      <c r="V65" s="6">
        <f t="shared" ca="1" si="0"/>
        <v>45.782711738733056</v>
      </c>
      <c r="W65" s="6">
        <f t="shared" ca="1" si="0"/>
        <v>45.946869883039284</v>
      </c>
      <c r="X65" s="6">
        <f t="shared" ca="1" si="0"/>
        <v>46.102032292412673</v>
      </c>
      <c r="Y65" s="6">
        <f t="shared" ref="Y65:Y128" ca="1" si="5">SUMXMY2($B65:$U65,AH$2:AH$21)</f>
        <v>46.356196869157287</v>
      </c>
      <c r="Z65" s="6">
        <f t="shared" ca="1" si="1"/>
        <v>45.782711738733056</v>
      </c>
      <c r="AA65" s="6">
        <f t="shared" ca="1" si="3"/>
        <v>1</v>
      </c>
    </row>
    <row r="66" spans="1:27">
      <c r="A66" s="11">
        <v>65</v>
      </c>
      <c r="B66" s="12">
        <v>5</v>
      </c>
      <c r="C66" s="11">
        <v>2</v>
      </c>
      <c r="D66" s="11">
        <v>2</v>
      </c>
      <c r="E66" s="11">
        <v>2</v>
      </c>
      <c r="F66" s="11">
        <v>3</v>
      </c>
      <c r="G66" s="11">
        <v>2</v>
      </c>
      <c r="H66" s="11">
        <v>2</v>
      </c>
      <c r="I66" s="11">
        <v>1</v>
      </c>
      <c r="J66" s="11">
        <v>1</v>
      </c>
      <c r="K66" s="11">
        <v>3</v>
      </c>
      <c r="L66" s="11">
        <v>1</v>
      </c>
      <c r="M66" s="11">
        <v>2</v>
      </c>
      <c r="N66" s="11">
        <v>1</v>
      </c>
      <c r="O66" s="11">
        <v>4</v>
      </c>
      <c r="P66" s="11">
        <v>3</v>
      </c>
      <c r="Q66" s="11">
        <v>2</v>
      </c>
      <c r="R66" s="11">
        <v>5</v>
      </c>
      <c r="S66" s="11">
        <v>3</v>
      </c>
      <c r="T66" s="11">
        <v>3</v>
      </c>
      <c r="U66" s="10">
        <v>2</v>
      </c>
      <c r="V66" s="6">
        <f t="shared" ref="V66:Y129" ca="1" si="6">SUMXMY2($B66:$U66,AE$2:AE$21)</f>
        <v>32.805535465736824</v>
      </c>
      <c r="W66" s="6">
        <f t="shared" ca="1" si="6"/>
        <v>33.193344643561936</v>
      </c>
      <c r="X66" s="6">
        <f t="shared" ca="1" si="6"/>
        <v>32.448458391144023</v>
      </c>
      <c r="Y66" s="6">
        <f t="shared" ca="1" si="5"/>
        <v>33.024118466746977</v>
      </c>
      <c r="Z66" s="6">
        <f t="shared" ref="Z66:Z129" ca="1" si="7">MIN(V66:Y66)</f>
        <v>32.448458391144023</v>
      </c>
      <c r="AA66" s="6">
        <f t="shared" ca="1" si="3"/>
        <v>3</v>
      </c>
    </row>
    <row r="67" spans="1:27">
      <c r="A67" s="11">
        <v>66</v>
      </c>
      <c r="B67" s="12">
        <v>3</v>
      </c>
      <c r="C67" s="11">
        <v>3</v>
      </c>
      <c r="D67" s="11">
        <v>1</v>
      </c>
      <c r="E67" s="11">
        <v>2</v>
      </c>
      <c r="F67" s="11">
        <v>3</v>
      </c>
      <c r="G67" s="11">
        <v>3</v>
      </c>
      <c r="H67" s="11">
        <v>3</v>
      </c>
      <c r="I67" s="11">
        <v>2</v>
      </c>
      <c r="J67" s="11">
        <v>1</v>
      </c>
      <c r="K67" s="11">
        <v>4</v>
      </c>
      <c r="L67" s="11">
        <v>3</v>
      </c>
      <c r="M67" s="11">
        <v>2</v>
      </c>
      <c r="N67" s="11">
        <v>3</v>
      </c>
      <c r="O67" s="11">
        <v>5</v>
      </c>
      <c r="P67" s="11">
        <v>4</v>
      </c>
      <c r="Q67" s="11">
        <v>3</v>
      </c>
      <c r="R67" s="11">
        <v>3</v>
      </c>
      <c r="S67" s="11">
        <v>3</v>
      </c>
      <c r="T67" s="11">
        <v>3</v>
      </c>
      <c r="U67" s="10">
        <v>1</v>
      </c>
      <c r="V67" s="6">
        <f t="shared" ca="1" si="6"/>
        <v>20.964780237471729</v>
      </c>
      <c r="W67" s="6">
        <f t="shared" ca="1" si="6"/>
        <v>20.958957849114135</v>
      </c>
      <c r="X67" s="6">
        <f t="shared" ca="1" si="6"/>
        <v>20.590221381011361</v>
      </c>
      <c r="Y67" s="6">
        <f t="shared" ca="1" si="5"/>
        <v>20.677573850866402</v>
      </c>
      <c r="Z67" s="6">
        <f t="shared" ca="1" si="7"/>
        <v>20.590221381011361</v>
      </c>
      <c r="AA67" s="6">
        <f t="shared" ref="AA67:AA130" ca="1" si="8">IF(Z67=V67,1,IF(Z67=W67,2,IF(Z67=X67,3,4)))</f>
        <v>3</v>
      </c>
    </row>
    <row r="68" spans="1:27">
      <c r="A68" s="11">
        <v>67</v>
      </c>
      <c r="B68" s="12">
        <v>2</v>
      </c>
      <c r="C68" s="11">
        <v>3</v>
      </c>
      <c r="D68" s="11">
        <v>4</v>
      </c>
      <c r="E68" s="11">
        <v>3</v>
      </c>
      <c r="F68" s="11">
        <v>2</v>
      </c>
      <c r="G68" s="11">
        <v>3</v>
      </c>
      <c r="H68" s="11">
        <v>4</v>
      </c>
      <c r="I68" s="11">
        <v>3</v>
      </c>
      <c r="J68" s="11">
        <v>2</v>
      </c>
      <c r="K68" s="11">
        <v>3</v>
      </c>
      <c r="L68" s="11">
        <v>3</v>
      </c>
      <c r="M68" s="11">
        <v>4</v>
      </c>
      <c r="N68" s="11">
        <v>2</v>
      </c>
      <c r="O68" s="11">
        <v>3</v>
      </c>
      <c r="P68" s="11">
        <v>4</v>
      </c>
      <c r="Q68" s="11">
        <v>3</v>
      </c>
      <c r="R68" s="11">
        <v>2</v>
      </c>
      <c r="S68" s="11">
        <v>1</v>
      </c>
      <c r="T68" s="11">
        <v>5</v>
      </c>
      <c r="U68" s="10">
        <v>3</v>
      </c>
      <c r="V68" s="6">
        <f t="shared" ca="1" si="6"/>
        <v>16.660529458461117</v>
      </c>
      <c r="W68" s="6">
        <f t="shared" ca="1" si="6"/>
        <v>16.996628884726782</v>
      </c>
      <c r="X68" s="6">
        <f t="shared" ca="1" si="6"/>
        <v>17.100182765156106</v>
      </c>
      <c r="Y68" s="6">
        <f t="shared" ca="1" si="5"/>
        <v>17.022190281414499</v>
      </c>
      <c r="Z68" s="6">
        <f t="shared" ca="1" si="7"/>
        <v>16.660529458461117</v>
      </c>
      <c r="AA68" s="6">
        <f t="shared" ca="1" si="8"/>
        <v>1</v>
      </c>
    </row>
    <row r="69" spans="1:27">
      <c r="A69" s="11">
        <v>68</v>
      </c>
      <c r="B69" s="12">
        <v>3</v>
      </c>
      <c r="C69" s="11">
        <v>3</v>
      </c>
      <c r="D69" s="11">
        <v>4</v>
      </c>
      <c r="E69" s="11">
        <v>4</v>
      </c>
      <c r="F69" s="11">
        <v>3</v>
      </c>
      <c r="G69" s="11">
        <v>4</v>
      </c>
      <c r="H69" s="11">
        <v>3</v>
      </c>
      <c r="I69" s="11">
        <v>2</v>
      </c>
      <c r="J69" s="11">
        <v>4</v>
      </c>
      <c r="K69" s="11">
        <v>3</v>
      </c>
      <c r="L69" s="11">
        <v>3</v>
      </c>
      <c r="M69" s="11">
        <v>4</v>
      </c>
      <c r="N69" s="11">
        <v>4</v>
      </c>
      <c r="O69" s="11">
        <v>4</v>
      </c>
      <c r="P69" s="11">
        <v>4</v>
      </c>
      <c r="Q69" s="11">
        <v>2</v>
      </c>
      <c r="R69" s="11">
        <v>3</v>
      </c>
      <c r="S69" s="11">
        <v>4</v>
      </c>
      <c r="T69" s="11">
        <v>4</v>
      </c>
      <c r="U69" s="10">
        <v>2</v>
      </c>
      <c r="V69" s="6">
        <f t="shared" ca="1" si="6"/>
        <v>12.733111055321714</v>
      </c>
      <c r="W69" s="6">
        <f t="shared" ca="1" si="6"/>
        <v>12.969924328487343</v>
      </c>
      <c r="X69" s="6">
        <f t="shared" ca="1" si="6"/>
        <v>12.900142266301289</v>
      </c>
      <c r="Y69" s="6">
        <f t="shared" ca="1" si="5"/>
        <v>12.985044294547462</v>
      </c>
      <c r="Z69" s="6">
        <f t="shared" ca="1" si="7"/>
        <v>12.733111055321714</v>
      </c>
      <c r="AA69" s="6">
        <f t="shared" ca="1" si="8"/>
        <v>1</v>
      </c>
    </row>
    <row r="70" spans="1:27">
      <c r="A70" s="11">
        <v>69</v>
      </c>
      <c r="B70" s="12">
        <v>3</v>
      </c>
      <c r="C70" s="11">
        <v>3</v>
      </c>
      <c r="D70" s="11">
        <v>2</v>
      </c>
      <c r="E70" s="11">
        <v>3</v>
      </c>
      <c r="F70" s="11">
        <v>3</v>
      </c>
      <c r="G70" s="11">
        <v>3</v>
      </c>
      <c r="H70" s="11">
        <v>4</v>
      </c>
      <c r="I70" s="11">
        <v>2</v>
      </c>
      <c r="J70" s="11">
        <v>1</v>
      </c>
      <c r="K70" s="11">
        <v>5</v>
      </c>
      <c r="L70" s="11">
        <v>2</v>
      </c>
      <c r="M70" s="11">
        <v>5</v>
      </c>
      <c r="N70" s="11">
        <v>5</v>
      </c>
      <c r="O70" s="11">
        <v>5</v>
      </c>
      <c r="P70" s="11">
        <v>3</v>
      </c>
      <c r="Q70" s="11">
        <v>3</v>
      </c>
      <c r="R70" s="11">
        <v>2</v>
      </c>
      <c r="S70" s="11">
        <v>2</v>
      </c>
      <c r="T70" s="11">
        <v>2</v>
      </c>
      <c r="U70" s="10">
        <v>4</v>
      </c>
      <c r="V70" s="6">
        <f t="shared" ca="1" si="6"/>
        <v>28.390742013331359</v>
      </c>
      <c r="W70" s="6">
        <f t="shared" ca="1" si="6"/>
        <v>28.50150780141847</v>
      </c>
      <c r="X70" s="6">
        <f t="shared" ca="1" si="6"/>
        <v>27.948083143366595</v>
      </c>
      <c r="Y70" s="6">
        <f t="shared" ca="1" si="5"/>
        <v>27.939146431806666</v>
      </c>
      <c r="Z70" s="6">
        <f t="shared" ca="1" si="7"/>
        <v>27.939146431806666</v>
      </c>
      <c r="AA70" s="6">
        <f t="shared" ca="1" si="8"/>
        <v>4</v>
      </c>
    </row>
    <row r="71" spans="1:27">
      <c r="A71" s="11">
        <v>70</v>
      </c>
      <c r="B71" s="12">
        <v>3</v>
      </c>
      <c r="C71" s="11">
        <v>4</v>
      </c>
      <c r="D71" s="11">
        <v>1</v>
      </c>
      <c r="E71" s="11">
        <v>1</v>
      </c>
      <c r="F71" s="11">
        <v>3</v>
      </c>
      <c r="G71" s="11">
        <v>3</v>
      </c>
      <c r="H71" s="11">
        <v>3</v>
      </c>
      <c r="I71" s="11">
        <v>1</v>
      </c>
      <c r="J71" s="11">
        <v>1</v>
      </c>
      <c r="K71" s="11">
        <v>1</v>
      </c>
      <c r="L71" s="11">
        <v>1</v>
      </c>
      <c r="M71" s="11">
        <v>3</v>
      </c>
      <c r="N71" s="11">
        <v>2</v>
      </c>
      <c r="O71" s="11">
        <v>1</v>
      </c>
      <c r="P71" s="11">
        <v>3</v>
      </c>
      <c r="Q71" s="11">
        <v>3</v>
      </c>
      <c r="R71" s="11">
        <v>3</v>
      </c>
      <c r="S71" s="11">
        <v>4</v>
      </c>
      <c r="T71" s="11">
        <v>3</v>
      </c>
      <c r="U71" s="10">
        <v>4</v>
      </c>
      <c r="V71" s="6">
        <f t="shared" ca="1" si="6"/>
        <v>32.010052597781886</v>
      </c>
      <c r="W71" s="6">
        <f t="shared" ca="1" si="6"/>
        <v>31.50960986966194</v>
      </c>
      <c r="X71" s="6">
        <f t="shared" ca="1" si="6"/>
        <v>31.935760523472648</v>
      </c>
      <c r="Y71" s="6">
        <f t="shared" ca="1" si="5"/>
        <v>32.253875954073806</v>
      </c>
      <c r="Z71" s="6">
        <f t="shared" ca="1" si="7"/>
        <v>31.50960986966194</v>
      </c>
      <c r="AA71" s="6">
        <f t="shared" ca="1" si="8"/>
        <v>2</v>
      </c>
    </row>
    <row r="72" spans="1:27">
      <c r="A72" s="11">
        <v>71</v>
      </c>
      <c r="B72" s="12">
        <v>2</v>
      </c>
      <c r="C72" s="11">
        <v>4</v>
      </c>
      <c r="D72" s="11">
        <v>4</v>
      </c>
      <c r="E72" s="11">
        <v>4</v>
      </c>
      <c r="F72" s="11">
        <v>5</v>
      </c>
      <c r="G72" s="11">
        <v>4</v>
      </c>
      <c r="H72" s="11">
        <v>4</v>
      </c>
      <c r="I72" s="11">
        <v>4</v>
      </c>
      <c r="J72" s="11">
        <v>2</v>
      </c>
      <c r="K72" s="11">
        <v>2</v>
      </c>
      <c r="L72" s="11">
        <v>2</v>
      </c>
      <c r="M72" s="11">
        <v>2</v>
      </c>
      <c r="N72" s="11">
        <v>3</v>
      </c>
      <c r="O72" s="11">
        <v>1</v>
      </c>
      <c r="P72" s="11">
        <v>4</v>
      </c>
      <c r="Q72" s="11">
        <v>4</v>
      </c>
      <c r="R72" s="11">
        <v>2</v>
      </c>
      <c r="S72" s="11">
        <v>4</v>
      </c>
      <c r="T72" s="11">
        <v>4</v>
      </c>
      <c r="U72" s="10">
        <v>5</v>
      </c>
      <c r="V72" s="6">
        <f t="shared" ca="1" si="6"/>
        <v>28.024476758404489</v>
      </c>
      <c r="W72" s="6">
        <f t="shared" ca="1" si="6"/>
        <v>27.4374174734414</v>
      </c>
      <c r="X72" s="6">
        <f t="shared" ca="1" si="6"/>
        <v>28.326918537453984</v>
      </c>
      <c r="Y72" s="6">
        <f t="shared" ca="1" si="5"/>
        <v>28.40905627895215</v>
      </c>
      <c r="Z72" s="6">
        <f t="shared" ca="1" si="7"/>
        <v>27.4374174734414</v>
      </c>
      <c r="AA72" s="6">
        <f t="shared" ca="1" si="8"/>
        <v>2</v>
      </c>
    </row>
    <row r="73" spans="1:27">
      <c r="A73" s="11">
        <v>72</v>
      </c>
      <c r="B73" s="12">
        <v>2</v>
      </c>
      <c r="C73" s="11">
        <v>1</v>
      </c>
      <c r="D73" s="11">
        <v>2</v>
      </c>
      <c r="E73" s="11">
        <v>2</v>
      </c>
      <c r="F73" s="11">
        <v>1</v>
      </c>
      <c r="G73" s="11">
        <v>2</v>
      </c>
      <c r="H73" s="11">
        <v>3</v>
      </c>
      <c r="I73" s="11">
        <v>3</v>
      </c>
      <c r="J73" s="11">
        <v>2</v>
      </c>
      <c r="K73" s="11">
        <v>4</v>
      </c>
      <c r="L73" s="11">
        <v>1</v>
      </c>
      <c r="M73" s="11">
        <v>4</v>
      </c>
      <c r="N73" s="11">
        <v>4</v>
      </c>
      <c r="O73" s="11">
        <v>5</v>
      </c>
      <c r="P73" s="11">
        <v>5</v>
      </c>
      <c r="Q73" s="11">
        <v>3</v>
      </c>
      <c r="R73" s="11">
        <v>1</v>
      </c>
      <c r="S73" s="11">
        <v>2</v>
      </c>
      <c r="T73" s="11">
        <v>1</v>
      </c>
      <c r="U73" s="10">
        <v>5</v>
      </c>
      <c r="V73" s="6">
        <f t="shared" ca="1" si="6"/>
        <v>41.391350893738931</v>
      </c>
      <c r="W73" s="6">
        <f t="shared" ca="1" si="6"/>
        <v>41.817185006172636</v>
      </c>
      <c r="X73" s="6">
        <f t="shared" ca="1" si="6"/>
        <v>41.554564428597203</v>
      </c>
      <c r="Y73" s="6">
        <f t="shared" ca="1" si="5"/>
        <v>40.705220420846622</v>
      </c>
      <c r="Z73" s="6">
        <f t="shared" ca="1" si="7"/>
        <v>40.705220420846622</v>
      </c>
      <c r="AA73" s="6">
        <f t="shared" ca="1" si="8"/>
        <v>4</v>
      </c>
    </row>
    <row r="74" spans="1:27">
      <c r="A74" s="11">
        <v>73</v>
      </c>
      <c r="B74" s="12">
        <v>2</v>
      </c>
      <c r="C74" s="11">
        <v>3</v>
      </c>
      <c r="D74" s="11">
        <v>2</v>
      </c>
      <c r="E74" s="11">
        <v>4</v>
      </c>
      <c r="F74" s="11">
        <v>3</v>
      </c>
      <c r="G74" s="11">
        <v>3</v>
      </c>
      <c r="H74" s="11">
        <v>3</v>
      </c>
      <c r="I74" s="11">
        <v>3</v>
      </c>
      <c r="J74" s="11">
        <v>4</v>
      </c>
      <c r="K74" s="11">
        <v>3</v>
      </c>
      <c r="L74" s="11">
        <v>3</v>
      </c>
      <c r="M74" s="11">
        <v>1</v>
      </c>
      <c r="N74" s="11">
        <v>2</v>
      </c>
      <c r="O74" s="11">
        <v>4</v>
      </c>
      <c r="P74" s="11">
        <v>3</v>
      </c>
      <c r="Q74" s="11">
        <v>3</v>
      </c>
      <c r="R74" s="11">
        <v>2</v>
      </c>
      <c r="S74" s="11">
        <v>3</v>
      </c>
      <c r="T74" s="11">
        <v>4</v>
      </c>
      <c r="U74" s="10">
        <v>3</v>
      </c>
      <c r="V74" s="6">
        <f t="shared" ca="1" si="6"/>
        <v>11.858477833275321</v>
      </c>
      <c r="W74" s="6">
        <f t="shared" ca="1" si="6"/>
        <v>12.007572045689127</v>
      </c>
      <c r="X74" s="6">
        <f t="shared" ca="1" si="6"/>
        <v>12.072076101897183</v>
      </c>
      <c r="Y74" s="6">
        <f t="shared" ca="1" si="5"/>
        <v>11.960615553496428</v>
      </c>
      <c r="Z74" s="6">
        <f t="shared" ca="1" si="7"/>
        <v>11.858477833275321</v>
      </c>
      <c r="AA74" s="6">
        <f t="shared" ca="1" si="8"/>
        <v>1</v>
      </c>
    </row>
    <row r="75" spans="1:27">
      <c r="A75" s="11">
        <v>74</v>
      </c>
      <c r="B75" s="12">
        <v>5</v>
      </c>
      <c r="C75" s="11">
        <v>5</v>
      </c>
      <c r="D75" s="11">
        <v>2</v>
      </c>
      <c r="E75" s="11">
        <v>3</v>
      </c>
      <c r="F75" s="11">
        <v>2</v>
      </c>
      <c r="G75" s="11">
        <v>5</v>
      </c>
      <c r="H75" s="11">
        <v>1</v>
      </c>
      <c r="I75" s="11">
        <v>3</v>
      </c>
      <c r="J75" s="11">
        <v>2</v>
      </c>
      <c r="K75" s="11">
        <v>3</v>
      </c>
      <c r="L75" s="11">
        <v>3</v>
      </c>
      <c r="M75" s="11">
        <v>2</v>
      </c>
      <c r="N75" s="11">
        <v>2</v>
      </c>
      <c r="O75" s="11">
        <v>5</v>
      </c>
      <c r="P75" s="11">
        <v>5</v>
      </c>
      <c r="Q75" s="11">
        <v>5</v>
      </c>
      <c r="R75" s="11">
        <v>1</v>
      </c>
      <c r="S75" s="11">
        <v>2</v>
      </c>
      <c r="T75" s="11">
        <v>3</v>
      </c>
      <c r="U75" s="10">
        <v>4</v>
      </c>
      <c r="V75" s="6">
        <f t="shared" ca="1" si="6"/>
        <v>39.270300921011007</v>
      </c>
      <c r="W75" s="6">
        <f t="shared" ca="1" si="6"/>
        <v>39.184955068647071</v>
      </c>
      <c r="X75" s="6">
        <f t="shared" ca="1" si="6"/>
        <v>38.986577026004099</v>
      </c>
      <c r="Y75" s="6">
        <f t="shared" ca="1" si="5"/>
        <v>38.726271836244031</v>
      </c>
      <c r="Z75" s="6">
        <f t="shared" ca="1" si="7"/>
        <v>38.726271836244031</v>
      </c>
      <c r="AA75" s="6">
        <f t="shared" ca="1" si="8"/>
        <v>4</v>
      </c>
    </row>
    <row r="76" spans="1:27">
      <c r="A76" s="11">
        <v>75</v>
      </c>
      <c r="B76" s="12">
        <v>1</v>
      </c>
      <c r="C76" s="11">
        <v>1</v>
      </c>
      <c r="D76" s="11">
        <v>1</v>
      </c>
      <c r="E76" s="11">
        <v>1</v>
      </c>
      <c r="F76" s="11">
        <v>5</v>
      </c>
      <c r="G76" s="11">
        <v>2</v>
      </c>
      <c r="H76" s="11">
        <v>3</v>
      </c>
      <c r="I76" s="11">
        <v>3</v>
      </c>
      <c r="J76" s="11">
        <v>1</v>
      </c>
      <c r="K76" s="11">
        <v>1</v>
      </c>
      <c r="L76" s="11">
        <v>1</v>
      </c>
      <c r="M76" s="11">
        <v>4</v>
      </c>
      <c r="N76" s="11">
        <v>1</v>
      </c>
      <c r="O76" s="11">
        <v>3</v>
      </c>
      <c r="P76" s="11">
        <v>3</v>
      </c>
      <c r="Q76" s="11">
        <v>3</v>
      </c>
      <c r="R76" s="11">
        <v>3</v>
      </c>
      <c r="S76" s="11">
        <v>3</v>
      </c>
      <c r="T76" s="11">
        <v>3</v>
      </c>
      <c r="U76" s="10">
        <v>3</v>
      </c>
      <c r="V76" s="6">
        <f t="shared" ca="1" si="6"/>
        <v>37.869685554248292</v>
      </c>
      <c r="W76" s="6">
        <f t="shared" ca="1" si="6"/>
        <v>37.576073199539067</v>
      </c>
      <c r="X76" s="6">
        <f t="shared" ca="1" si="6"/>
        <v>37.979442122572308</v>
      </c>
      <c r="Y76" s="6">
        <f t="shared" ca="1" si="5"/>
        <v>38.283357502861833</v>
      </c>
      <c r="Z76" s="6">
        <f t="shared" ca="1" si="7"/>
        <v>37.576073199539067</v>
      </c>
      <c r="AA76" s="6">
        <f t="shared" ca="1" si="8"/>
        <v>2</v>
      </c>
    </row>
    <row r="77" spans="1:27">
      <c r="A77" s="11">
        <v>76</v>
      </c>
      <c r="B77" s="12">
        <v>4</v>
      </c>
      <c r="C77" s="11">
        <v>2</v>
      </c>
      <c r="D77" s="11">
        <v>1</v>
      </c>
      <c r="E77" s="11">
        <v>3</v>
      </c>
      <c r="F77" s="11">
        <v>3</v>
      </c>
      <c r="G77" s="11">
        <v>3</v>
      </c>
      <c r="H77" s="11">
        <v>2</v>
      </c>
      <c r="I77" s="11">
        <v>2</v>
      </c>
      <c r="J77" s="11">
        <v>1</v>
      </c>
      <c r="K77" s="11">
        <v>3</v>
      </c>
      <c r="L77" s="11">
        <v>2</v>
      </c>
      <c r="M77" s="11">
        <v>2</v>
      </c>
      <c r="N77" s="11">
        <v>2</v>
      </c>
      <c r="O77" s="11">
        <v>5</v>
      </c>
      <c r="P77" s="11">
        <v>3</v>
      </c>
      <c r="Q77" s="11">
        <v>3</v>
      </c>
      <c r="R77" s="11">
        <v>2</v>
      </c>
      <c r="S77" s="11">
        <v>2</v>
      </c>
      <c r="T77" s="11">
        <v>3</v>
      </c>
      <c r="U77" s="10">
        <v>2</v>
      </c>
      <c r="V77" s="6">
        <f t="shared" ca="1" si="6"/>
        <v>21.91074142663901</v>
      </c>
      <c r="W77" s="6">
        <f t="shared" ca="1" si="6"/>
        <v>22.273592667123783</v>
      </c>
      <c r="X77" s="6">
        <f t="shared" ca="1" si="6"/>
        <v>21.604942346087363</v>
      </c>
      <c r="Y77" s="6">
        <f t="shared" ca="1" si="5"/>
        <v>21.847322188473527</v>
      </c>
      <c r="Z77" s="6">
        <f t="shared" ca="1" si="7"/>
        <v>21.604942346087363</v>
      </c>
      <c r="AA77" s="6">
        <f t="shared" ca="1" si="8"/>
        <v>3</v>
      </c>
    </row>
    <row r="78" spans="1:27">
      <c r="A78" s="11">
        <v>77</v>
      </c>
      <c r="B78" s="12">
        <v>3</v>
      </c>
      <c r="C78" s="11">
        <v>1</v>
      </c>
      <c r="D78" s="11">
        <v>1</v>
      </c>
      <c r="E78" s="11">
        <v>1</v>
      </c>
      <c r="F78" s="11">
        <v>1</v>
      </c>
      <c r="G78" s="11">
        <v>4</v>
      </c>
      <c r="H78" s="11">
        <v>2</v>
      </c>
      <c r="I78" s="11">
        <v>1</v>
      </c>
      <c r="J78" s="11">
        <v>1</v>
      </c>
      <c r="K78" s="11">
        <v>2</v>
      </c>
      <c r="L78" s="11">
        <v>3</v>
      </c>
      <c r="M78" s="11">
        <v>3</v>
      </c>
      <c r="N78" s="11">
        <v>4</v>
      </c>
      <c r="O78" s="11">
        <v>4</v>
      </c>
      <c r="P78" s="11">
        <v>5</v>
      </c>
      <c r="Q78" s="11">
        <v>2</v>
      </c>
      <c r="R78" s="11">
        <v>2</v>
      </c>
      <c r="S78" s="11">
        <v>2</v>
      </c>
      <c r="T78" s="11">
        <v>5</v>
      </c>
      <c r="U78" s="10">
        <v>5</v>
      </c>
      <c r="V78" s="6">
        <f t="shared" ca="1" si="6"/>
        <v>43.936909415925143</v>
      </c>
      <c r="W78" s="6">
        <f t="shared" ca="1" si="6"/>
        <v>44.450710369958749</v>
      </c>
      <c r="X78" s="6">
        <f t="shared" ca="1" si="6"/>
        <v>43.817773412098624</v>
      </c>
      <c r="Y78" s="6">
        <f t="shared" ca="1" si="5"/>
        <v>43.949751878385655</v>
      </c>
      <c r="Z78" s="6">
        <f t="shared" ca="1" si="7"/>
        <v>43.817773412098624</v>
      </c>
      <c r="AA78" s="6">
        <f t="shared" ca="1" si="8"/>
        <v>3</v>
      </c>
    </row>
    <row r="79" spans="1:27">
      <c r="A79" s="11">
        <v>78</v>
      </c>
      <c r="B79" s="12">
        <v>3</v>
      </c>
      <c r="C79" s="11">
        <v>2</v>
      </c>
      <c r="D79" s="11">
        <v>1</v>
      </c>
      <c r="E79" s="11">
        <v>3</v>
      </c>
      <c r="F79" s="11">
        <v>1</v>
      </c>
      <c r="G79" s="11">
        <v>3</v>
      </c>
      <c r="H79" s="11">
        <v>3</v>
      </c>
      <c r="I79" s="11">
        <v>1</v>
      </c>
      <c r="J79" s="11">
        <v>1</v>
      </c>
      <c r="K79" s="11">
        <v>2</v>
      </c>
      <c r="L79" s="11">
        <v>1</v>
      </c>
      <c r="M79" s="11">
        <v>3</v>
      </c>
      <c r="N79" s="11">
        <v>2</v>
      </c>
      <c r="O79" s="11">
        <v>4</v>
      </c>
      <c r="P79" s="11">
        <v>3</v>
      </c>
      <c r="Q79" s="11">
        <v>1</v>
      </c>
      <c r="R79" s="11">
        <v>5</v>
      </c>
      <c r="S79" s="11">
        <v>3</v>
      </c>
      <c r="T79" s="11">
        <v>3</v>
      </c>
      <c r="U79" s="10">
        <v>5</v>
      </c>
      <c r="V79" s="6">
        <f t="shared" ca="1" si="6"/>
        <v>35.767111287916009</v>
      </c>
      <c r="W79" s="6">
        <f t="shared" ca="1" si="6"/>
        <v>36.251234152312882</v>
      </c>
      <c r="X79" s="6">
        <f t="shared" ca="1" si="6"/>
        <v>35.531346979232929</v>
      </c>
      <c r="Y79" s="6">
        <f t="shared" ca="1" si="5"/>
        <v>36.316892683168469</v>
      </c>
      <c r="Z79" s="6">
        <f t="shared" ca="1" si="7"/>
        <v>35.531346979232929</v>
      </c>
      <c r="AA79" s="6">
        <f t="shared" ca="1" si="8"/>
        <v>3</v>
      </c>
    </row>
    <row r="80" spans="1:27">
      <c r="A80" s="11">
        <v>79</v>
      </c>
      <c r="B80" s="12">
        <v>3</v>
      </c>
      <c r="C80" s="11">
        <v>3</v>
      </c>
      <c r="D80" s="11">
        <v>2</v>
      </c>
      <c r="E80" s="11">
        <v>4</v>
      </c>
      <c r="F80" s="11">
        <v>3</v>
      </c>
      <c r="G80" s="11">
        <v>4</v>
      </c>
      <c r="H80" s="11">
        <v>3</v>
      </c>
      <c r="I80" s="11">
        <v>2</v>
      </c>
      <c r="J80" s="11">
        <v>2</v>
      </c>
      <c r="K80" s="11">
        <v>3</v>
      </c>
      <c r="L80" s="11">
        <v>2</v>
      </c>
      <c r="M80" s="11">
        <v>1</v>
      </c>
      <c r="N80" s="11">
        <v>2</v>
      </c>
      <c r="O80" s="11">
        <v>4</v>
      </c>
      <c r="P80" s="11">
        <v>3</v>
      </c>
      <c r="Q80" s="11">
        <v>3</v>
      </c>
      <c r="R80" s="11">
        <v>3</v>
      </c>
      <c r="S80" s="11">
        <v>3</v>
      </c>
      <c r="T80" s="11">
        <v>3</v>
      </c>
      <c r="U80" s="10">
        <v>3</v>
      </c>
      <c r="V80" s="6">
        <f t="shared" ca="1" si="6"/>
        <v>11.871925466352852</v>
      </c>
      <c r="W80" s="6">
        <f t="shared" ca="1" si="6"/>
        <v>11.963427487198478</v>
      </c>
      <c r="X80" s="6">
        <f t="shared" ca="1" si="6"/>
        <v>11.723838331417713</v>
      </c>
      <c r="Y80" s="6">
        <f t="shared" ca="1" si="5"/>
        <v>12.056836681032536</v>
      </c>
      <c r="Z80" s="6">
        <f t="shared" ca="1" si="7"/>
        <v>11.723838331417713</v>
      </c>
      <c r="AA80" s="6">
        <f t="shared" ca="1" si="8"/>
        <v>3</v>
      </c>
    </row>
    <row r="81" spans="1:27">
      <c r="A81" s="11">
        <v>80</v>
      </c>
      <c r="B81" s="12">
        <v>5</v>
      </c>
      <c r="C81" s="11">
        <v>5</v>
      </c>
      <c r="D81" s="11">
        <v>1</v>
      </c>
      <c r="E81" s="11">
        <v>1</v>
      </c>
      <c r="F81" s="11">
        <v>4</v>
      </c>
      <c r="G81" s="11">
        <v>5</v>
      </c>
      <c r="H81" s="11">
        <v>3</v>
      </c>
      <c r="I81" s="11">
        <v>2</v>
      </c>
      <c r="J81" s="11">
        <v>2</v>
      </c>
      <c r="K81" s="11">
        <v>3</v>
      </c>
      <c r="L81" s="11">
        <v>2</v>
      </c>
      <c r="M81" s="11">
        <v>2</v>
      </c>
      <c r="N81" s="11">
        <v>2</v>
      </c>
      <c r="O81" s="11">
        <v>2</v>
      </c>
      <c r="P81" s="11">
        <v>5</v>
      </c>
      <c r="Q81" s="11">
        <v>1</v>
      </c>
      <c r="R81" s="11">
        <v>3</v>
      </c>
      <c r="S81" s="11">
        <v>3</v>
      </c>
      <c r="T81" s="11">
        <v>3</v>
      </c>
      <c r="U81" s="10">
        <v>2</v>
      </c>
      <c r="V81" s="6">
        <f t="shared" ca="1" si="6"/>
        <v>36.072253886504114</v>
      </c>
      <c r="W81" s="6">
        <f t="shared" ca="1" si="6"/>
        <v>35.630806298710283</v>
      </c>
      <c r="X81" s="6">
        <f t="shared" ca="1" si="6"/>
        <v>35.654353717240774</v>
      </c>
      <c r="Y81" s="6">
        <f t="shared" ca="1" si="5"/>
        <v>36.065037311875557</v>
      </c>
      <c r="Z81" s="6">
        <f t="shared" ca="1" si="7"/>
        <v>35.630806298710283</v>
      </c>
      <c r="AA81" s="6">
        <f t="shared" ca="1" si="8"/>
        <v>2</v>
      </c>
    </row>
    <row r="82" spans="1:27">
      <c r="A82" s="11">
        <v>81</v>
      </c>
      <c r="B82" s="12">
        <v>3</v>
      </c>
      <c r="C82" s="11">
        <v>2</v>
      </c>
      <c r="D82" s="11">
        <v>1</v>
      </c>
      <c r="E82" s="11">
        <v>4</v>
      </c>
      <c r="F82" s="11">
        <v>3</v>
      </c>
      <c r="G82" s="11">
        <v>5</v>
      </c>
      <c r="H82" s="11">
        <v>4</v>
      </c>
      <c r="I82" s="11">
        <v>3</v>
      </c>
      <c r="J82" s="11">
        <v>2</v>
      </c>
      <c r="K82" s="11">
        <v>5</v>
      </c>
      <c r="L82" s="11">
        <v>1</v>
      </c>
      <c r="M82" s="11">
        <v>2</v>
      </c>
      <c r="N82" s="11">
        <v>3</v>
      </c>
      <c r="O82" s="11">
        <v>2</v>
      </c>
      <c r="P82" s="11">
        <v>3</v>
      </c>
      <c r="Q82" s="11">
        <v>4</v>
      </c>
      <c r="R82" s="11">
        <v>4</v>
      </c>
      <c r="S82" s="11">
        <v>1</v>
      </c>
      <c r="T82" s="11">
        <v>2</v>
      </c>
      <c r="U82" s="10">
        <v>1</v>
      </c>
      <c r="V82" s="6">
        <f t="shared" ca="1" si="6"/>
        <v>33.077987341684718</v>
      </c>
      <c r="W82" s="6">
        <f t="shared" ca="1" si="6"/>
        <v>32.819907493303035</v>
      </c>
      <c r="X82" s="6">
        <f t="shared" ca="1" si="6"/>
        <v>32.704109003613858</v>
      </c>
      <c r="Y82" s="6">
        <f t="shared" ca="1" si="5"/>
        <v>32.584895346241915</v>
      </c>
      <c r="Z82" s="6">
        <f t="shared" ca="1" si="7"/>
        <v>32.584895346241915</v>
      </c>
      <c r="AA82" s="6">
        <f t="shared" ca="1" si="8"/>
        <v>4</v>
      </c>
    </row>
    <row r="83" spans="1:27">
      <c r="A83" s="11">
        <v>82</v>
      </c>
      <c r="B83" s="12">
        <v>1</v>
      </c>
      <c r="C83" s="11">
        <v>1</v>
      </c>
      <c r="D83" s="11">
        <v>1</v>
      </c>
      <c r="E83" s="11">
        <v>1</v>
      </c>
      <c r="F83" s="11">
        <v>1</v>
      </c>
      <c r="G83" s="11">
        <v>1</v>
      </c>
      <c r="H83" s="11">
        <v>3</v>
      </c>
      <c r="I83" s="11">
        <v>3</v>
      </c>
      <c r="J83" s="11">
        <v>3</v>
      </c>
      <c r="K83" s="11">
        <v>3</v>
      </c>
      <c r="L83" s="11">
        <v>3</v>
      </c>
      <c r="M83" s="11">
        <v>1</v>
      </c>
      <c r="N83" s="11">
        <v>1</v>
      </c>
      <c r="O83" s="11">
        <v>2</v>
      </c>
      <c r="P83" s="11">
        <v>5</v>
      </c>
      <c r="Q83" s="11">
        <v>1</v>
      </c>
      <c r="R83" s="11">
        <v>3</v>
      </c>
      <c r="S83" s="11">
        <v>4</v>
      </c>
      <c r="T83" s="11">
        <v>3</v>
      </c>
      <c r="U83" s="10">
        <v>5</v>
      </c>
      <c r="V83" s="6">
        <f t="shared" ca="1" si="6"/>
        <v>45.969256230812746</v>
      </c>
      <c r="W83" s="6">
        <f t="shared" ca="1" si="6"/>
        <v>46.197697068369457</v>
      </c>
      <c r="X83" s="6">
        <f t="shared" ca="1" si="6"/>
        <v>46.428932388064325</v>
      </c>
      <c r="Y83" s="6">
        <f t="shared" ca="1" si="5"/>
        <v>46.012539602655366</v>
      </c>
      <c r="Z83" s="6">
        <f t="shared" ca="1" si="7"/>
        <v>45.969256230812746</v>
      </c>
      <c r="AA83" s="6">
        <f t="shared" ca="1" si="8"/>
        <v>1</v>
      </c>
    </row>
    <row r="84" spans="1:27">
      <c r="A84" s="11">
        <v>83</v>
      </c>
      <c r="B84" s="12">
        <v>3</v>
      </c>
      <c r="C84" s="11">
        <v>4</v>
      </c>
      <c r="D84" s="11">
        <v>2</v>
      </c>
      <c r="E84" s="11">
        <v>3</v>
      </c>
      <c r="F84" s="11">
        <v>4</v>
      </c>
      <c r="G84" s="11">
        <v>3</v>
      </c>
      <c r="H84" s="11">
        <v>3</v>
      </c>
      <c r="I84" s="11">
        <v>3</v>
      </c>
      <c r="J84" s="11">
        <v>3</v>
      </c>
      <c r="K84" s="11">
        <v>3</v>
      </c>
      <c r="L84" s="11">
        <v>3</v>
      </c>
      <c r="M84" s="11">
        <v>3</v>
      </c>
      <c r="N84" s="11">
        <v>3</v>
      </c>
      <c r="O84" s="11">
        <v>3</v>
      </c>
      <c r="P84" s="11">
        <v>3</v>
      </c>
      <c r="Q84" s="11">
        <v>2</v>
      </c>
      <c r="R84" s="11">
        <v>3</v>
      </c>
      <c r="S84" s="11">
        <v>3</v>
      </c>
      <c r="T84" s="11">
        <v>3</v>
      </c>
      <c r="U84" s="10">
        <v>3</v>
      </c>
      <c r="V84" s="6">
        <f t="shared" ca="1" si="6"/>
        <v>4.0600910249406184</v>
      </c>
      <c r="W84" s="6">
        <f t="shared" ca="1" si="6"/>
        <v>3.888989563781454</v>
      </c>
      <c r="X84" s="6">
        <f t="shared" ca="1" si="6"/>
        <v>3.8955016603829913</v>
      </c>
      <c r="Y84" s="6">
        <f t="shared" ca="1" si="5"/>
        <v>4.1765925613360571</v>
      </c>
      <c r="Z84" s="6">
        <f t="shared" ca="1" si="7"/>
        <v>3.888989563781454</v>
      </c>
      <c r="AA84" s="6">
        <f t="shared" ca="1" si="8"/>
        <v>2</v>
      </c>
    </row>
    <row r="85" spans="1:27">
      <c r="A85" s="11">
        <v>84</v>
      </c>
      <c r="B85" s="12">
        <v>2</v>
      </c>
      <c r="C85" s="11">
        <v>3</v>
      </c>
      <c r="D85" s="11">
        <v>2</v>
      </c>
      <c r="E85" s="11">
        <v>2</v>
      </c>
      <c r="F85" s="11">
        <v>4</v>
      </c>
      <c r="G85" s="11">
        <v>4</v>
      </c>
      <c r="H85" s="11">
        <v>3</v>
      </c>
      <c r="I85" s="11">
        <v>2</v>
      </c>
      <c r="J85" s="11">
        <v>2</v>
      </c>
      <c r="K85" s="11">
        <v>3</v>
      </c>
      <c r="L85" s="11">
        <v>4</v>
      </c>
      <c r="M85" s="11">
        <v>3</v>
      </c>
      <c r="N85" s="11">
        <v>1</v>
      </c>
      <c r="O85" s="11">
        <v>5</v>
      </c>
      <c r="P85" s="11">
        <v>3</v>
      </c>
      <c r="Q85" s="11">
        <v>1</v>
      </c>
      <c r="R85" s="11">
        <v>1</v>
      </c>
      <c r="S85" s="11">
        <v>5</v>
      </c>
      <c r="T85" s="11">
        <v>3</v>
      </c>
      <c r="U85" s="10">
        <v>5</v>
      </c>
      <c r="V85" s="6">
        <f t="shared" ca="1" si="6"/>
        <v>32.016411872603001</v>
      </c>
      <c r="W85" s="6">
        <f t="shared" ca="1" si="6"/>
        <v>32.090614140248178</v>
      </c>
      <c r="X85" s="6">
        <f t="shared" ca="1" si="6"/>
        <v>31.965528067875027</v>
      </c>
      <c r="Y85" s="6">
        <f t="shared" ca="1" si="5"/>
        <v>32.475580001170023</v>
      </c>
      <c r="Z85" s="6">
        <f t="shared" ca="1" si="7"/>
        <v>31.965528067875027</v>
      </c>
      <c r="AA85" s="6">
        <f t="shared" ca="1" si="8"/>
        <v>3</v>
      </c>
    </row>
    <row r="86" spans="1:27">
      <c r="A86" s="11">
        <v>85</v>
      </c>
      <c r="B86" s="12">
        <v>2</v>
      </c>
      <c r="C86" s="11">
        <v>2</v>
      </c>
      <c r="D86" s="11">
        <v>2</v>
      </c>
      <c r="E86" s="11">
        <v>5</v>
      </c>
      <c r="F86" s="11">
        <v>3</v>
      </c>
      <c r="G86" s="11">
        <v>5</v>
      </c>
      <c r="H86" s="11">
        <v>3</v>
      </c>
      <c r="I86" s="11">
        <v>2</v>
      </c>
      <c r="J86" s="11">
        <v>2</v>
      </c>
      <c r="K86" s="11">
        <v>2</v>
      </c>
      <c r="L86" s="11">
        <v>2</v>
      </c>
      <c r="M86" s="11">
        <v>2</v>
      </c>
      <c r="N86" s="11">
        <v>2</v>
      </c>
      <c r="O86" s="11">
        <v>5</v>
      </c>
      <c r="P86" s="11">
        <v>4</v>
      </c>
      <c r="Q86" s="11">
        <v>1</v>
      </c>
      <c r="R86" s="11">
        <v>2</v>
      </c>
      <c r="S86" s="11">
        <v>3</v>
      </c>
      <c r="T86" s="11">
        <v>3</v>
      </c>
      <c r="U86" s="10">
        <v>3</v>
      </c>
      <c r="V86" s="6">
        <f t="shared" ca="1" si="6"/>
        <v>26.565492726527765</v>
      </c>
      <c r="W86" s="6">
        <f t="shared" ca="1" si="6"/>
        <v>26.987463382548921</v>
      </c>
      <c r="X86" s="6">
        <f t="shared" ca="1" si="6"/>
        <v>26.645156749952911</v>
      </c>
      <c r="Y86" s="6">
        <f t="shared" ca="1" si="5"/>
        <v>27.290310456142663</v>
      </c>
      <c r="Z86" s="6">
        <f t="shared" ca="1" si="7"/>
        <v>26.565492726527765</v>
      </c>
      <c r="AA86" s="6">
        <f t="shared" ca="1" si="8"/>
        <v>1</v>
      </c>
    </row>
    <row r="87" spans="1:27">
      <c r="A87" s="11">
        <v>86</v>
      </c>
      <c r="B87" s="12">
        <v>1</v>
      </c>
      <c r="C87" s="11">
        <v>1</v>
      </c>
      <c r="D87" s="11">
        <v>3</v>
      </c>
      <c r="E87" s="11">
        <v>2</v>
      </c>
      <c r="F87" s="11">
        <v>2</v>
      </c>
      <c r="G87" s="11">
        <v>4</v>
      </c>
      <c r="H87" s="11">
        <v>5</v>
      </c>
      <c r="I87" s="11">
        <v>2</v>
      </c>
      <c r="J87" s="11">
        <v>1</v>
      </c>
      <c r="K87" s="11">
        <v>3</v>
      </c>
      <c r="L87" s="11">
        <v>1</v>
      </c>
      <c r="M87" s="11">
        <v>3</v>
      </c>
      <c r="N87" s="11">
        <v>3</v>
      </c>
      <c r="O87" s="11">
        <v>5</v>
      </c>
      <c r="P87" s="11">
        <v>4</v>
      </c>
      <c r="Q87" s="11">
        <v>1</v>
      </c>
      <c r="R87" s="11">
        <v>2</v>
      </c>
      <c r="S87" s="11">
        <v>3</v>
      </c>
      <c r="T87" s="11">
        <v>1</v>
      </c>
      <c r="U87" s="10">
        <v>5</v>
      </c>
      <c r="V87" s="6">
        <f t="shared" ca="1" si="6"/>
        <v>42.008419184662401</v>
      </c>
      <c r="W87" s="6">
        <f t="shared" ca="1" si="6"/>
        <v>42.415901054470865</v>
      </c>
      <c r="X87" s="6">
        <f t="shared" ca="1" si="6"/>
        <v>42.131405910539947</v>
      </c>
      <c r="Y87" s="6">
        <f t="shared" ca="1" si="5"/>
        <v>42.280354969544405</v>
      </c>
      <c r="Z87" s="6">
        <f t="shared" ca="1" si="7"/>
        <v>42.008419184662401</v>
      </c>
      <c r="AA87" s="6">
        <f t="shared" ca="1" si="8"/>
        <v>1</v>
      </c>
    </row>
    <row r="88" spans="1:27">
      <c r="A88" s="11">
        <v>87</v>
      </c>
      <c r="B88" s="12">
        <v>5</v>
      </c>
      <c r="C88" s="11">
        <v>2</v>
      </c>
      <c r="D88" s="11">
        <v>1</v>
      </c>
      <c r="E88" s="11">
        <v>3</v>
      </c>
      <c r="F88" s="11">
        <v>4</v>
      </c>
      <c r="G88" s="11">
        <v>3</v>
      </c>
      <c r="H88" s="11">
        <v>3</v>
      </c>
      <c r="I88" s="11">
        <v>2</v>
      </c>
      <c r="J88" s="11">
        <v>2</v>
      </c>
      <c r="K88" s="11">
        <v>2</v>
      </c>
      <c r="L88" s="11">
        <v>1</v>
      </c>
      <c r="M88" s="11">
        <v>2</v>
      </c>
      <c r="N88" s="11">
        <v>2</v>
      </c>
      <c r="O88" s="11">
        <v>4</v>
      </c>
      <c r="P88" s="11">
        <v>4</v>
      </c>
      <c r="Q88" s="11">
        <v>2</v>
      </c>
      <c r="R88" s="11">
        <v>4</v>
      </c>
      <c r="S88" s="11">
        <v>2</v>
      </c>
      <c r="T88" s="11">
        <v>4</v>
      </c>
      <c r="U88" s="10">
        <v>2</v>
      </c>
      <c r="V88" s="6">
        <f t="shared" ca="1" si="6"/>
        <v>25.807280400358099</v>
      </c>
      <c r="W88" s="6">
        <f t="shared" ca="1" si="6"/>
        <v>25.997786676305122</v>
      </c>
      <c r="X88" s="6">
        <f t="shared" ca="1" si="6"/>
        <v>25.457395823636912</v>
      </c>
      <c r="Y88" s="6">
        <f t="shared" ca="1" si="5"/>
        <v>26.061856828084224</v>
      </c>
      <c r="Z88" s="6">
        <f t="shared" ca="1" si="7"/>
        <v>25.457395823636912</v>
      </c>
      <c r="AA88" s="6">
        <f t="shared" ca="1" si="8"/>
        <v>3</v>
      </c>
    </row>
    <row r="89" spans="1:27">
      <c r="A89" s="11">
        <v>88</v>
      </c>
      <c r="B89" s="12">
        <v>2</v>
      </c>
      <c r="C89" s="11">
        <v>2</v>
      </c>
      <c r="D89" s="11">
        <v>2</v>
      </c>
      <c r="E89" s="11">
        <v>2</v>
      </c>
      <c r="F89" s="11">
        <v>2</v>
      </c>
      <c r="G89" s="11">
        <v>4</v>
      </c>
      <c r="H89" s="11">
        <v>3</v>
      </c>
      <c r="I89" s="11">
        <v>2</v>
      </c>
      <c r="J89" s="11">
        <v>4</v>
      </c>
      <c r="K89" s="11">
        <v>1</v>
      </c>
      <c r="L89" s="11">
        <v>2</v>
      </c>
      <c r="M89" s="11">
        <v>2</v>
      </c>
      <c r="N89" s="11">
        <v>4</v>
      </c>
      <c r="O89" s="11">
        <v>4</v>
      </c>
      <c r="P89" s="11">
        <v>3</v>
      </c>
      <c r="Q89" s="11">
        <v>4</v>
      </c>
      <c r="R89" s="11">
        <v>2</v>
      </c>
      <c r="S89" s="11">
        <v>1</v>
      </c>
      <c r="T89" s="11">
        <v>2</v>
      </c>
      <c r="U89" s="10">
        <v>4</v>
      </c>
      <c r="V89" s="6">
        <f t="shared" ca="1" si="6"/>
        <v>24.183250018069149</v>
      </c>
      <c r="W89" s="6">
        <f t="shared" ca="1" si="6"/>
        <v>24.217685617211341</v>
      </c>
      <c r="X89" s="6">
        <f t="shared" ca="1" si="6"/>
        <v>24.195556059962957</v>
      </c>
      <c r="Y89" s="6">
        <f t="shared" ca="1" si="5"/>
        <v>23.950612993043137</v>
      </c>
      <c r="Z89" s="6">
        <f t="shared" ca="1" si="7"/>
        <v>23.950612993043137</v>
      </c>
      <c r="AA89" s="6">
        <f t="shared" ca="1" si="8"/>
        <v>4</v>
      </c>
    </row>
    <row r="90" spans="1:27">
      <c r="A90" s="11">
        <v>89</v>
      </c>
      <c r="B90" s="12">
        <v>4</v>
      </c>
      <c r="C90" s="11">
        <v>2</v>
      </c>
      <c r="D90" s="11">
        <v>2</v>
      </c>
      <c r="E90" s="11">
        <v>5</v>
      </c>
      <c r="F90" s="11">
        <v>1</v>
      </c>
      <c r="G90" s="11">
        <v>3</v>
      </c>
      <c r="H90" s="11">
        <v>4</v>
      </c>
      <c r="I90" s="11">
        <v>2</v>
      </c>
      <c r="J90" s="11">
        <v>1</v>
      </c>
      <c r="K90" s="11">
        <v>2</v>
      </c>
      <c r="L90" s="11">
        <v>1</v>
      </c>
      <c r="M90" s="11">
        <v>3</v>
      </c>
      <c r="N90" s="11">
        <v>2</v>
      </c>
      <c r="O90" s="11">
        <v>5</v>
      </c>
      <c r="P90" s="11">
        <v>4</v>
      </c>
      <c r="Q90" s="11">
        <v>1</v>
      </c>
      <c r="R90" s="11">
        <v>3</v>
      </c>
      <c r="S90" s="11">
        <v>4</v>
      </c>
      <c r="T90" s="11">
        <v>1</v>
      </c>
      <c r="U90" s="10">
        <v>4</v>
      </c>
      <c r="V90" s="6">
        <f t="shared" ca="1" si="6"/>
        <v>37.757055826496156</v>
      </c>
      <c r="W90" s="6">
        <f t="shared" ca="1" si="6"/>
        <v>38.325761442223069</v>
      </c>
      <c r="X90" s="6">
        <f t="shared" ca="1" si="6"/>
        <v>37.674111419022211</v>
      </c>
      <c r="Y90" s="6">
        <f t="shared" ca="1" si="5"/>
        <v>38.238657710355561</v>
      </c>
      <c r="Z90" s="6">
        <f t="shared" ca="1" si="7"/>
        <v>37.674111419022211</v>
      </c>
      <c r="AA90" s="6">
        <f t="shared" ca="1" si="8"/>
        <v>3</v>
      </c>
    </row>
    <row r="91" spans="1:27">
      <c r="A91" s="11">
        <v>90</v>
      </c>
      <c r="B91" s="12">
        <v>2</v>
      </c>
      <c r="C91" s="11">
        <v>2</v>
      </c>
      <c r="D91" s="11">
        <v>2</v>
      </c>
      <c r="E91" s="11">
        <v>2</v>
      </c>
      <c r="F91" s="11">
        <v>2</v>
      </c>
      <c r="G91" s="11">
        <v>3</v>
      </c>
      <c r="H91" s="11">
        <v>2</v>
      </c>
      <c r="I91" s="11">
        <v>2</v>
      </c>
      <c r="J91" s="11">
        <v>2</v>
      </c>
      <c r="K91" s="11">
        <v>3</v>
      </c>
      <c r="L91" s="11">
        <v>2</v>
      </c>
      <c r="M91" s="11">
        <v>2</v>
      </c>
      <c r="N91" s="11">
        <v>2</v>
      </c>
      <c r="O91" s="11">
        <v>1</v>
      </c>
      <c r="P91" s="11">
        <v>4</v>
      </c>
      <c r="Q91" s="11">
        <v>2</v>
      </c>
      <c r="R91" s="11">
        <v>1</v>
      </c>
      <c r="S91" s="11">
        <v>2</v>
      </c>
      <c r="T91" s="11">
        <v>4</v>
      </c>
      <c r="U91" s="10">
        <v>3</v>
      </c>
      <c r="V91" s="6">
        <f t="shared" ca="1" si="6"/>
        <v>22.80180392636008</v>
      </c>
      <c r="W91" s="6">
        <f t="shared" ca="1" si="6"/>
        <v>23.067935509185723</v>
      </c>
      <c r="X91" s="6">
        <f t="shared" ca="1" si="6"/>
        <v>23.245607543388807</v>
      </c>
      <c r="Y91" s="6">
        <f t="shared" ca="1" si="5"/>
        <v>22.905444002521008</v>
      </c>
      <c r="Z91" s="6">
        <f t="shared" ca="1" si="7"/>
        <v>22.80180392636008</v>
      </c>
      <c r="AA91" s="6">
        <f t="shared" ca="1" si="8"/>
        <v>1</v>
      </c>
    </row>
    <row r="92" spans="1:27">
      <c r="A92" s="11">
        <v>91</v>
      </c>
      <c r="B92" s="12">
        <v>2</v>
      </c>
      <c r="C92" s="11">
        <v>2</v>
      </c>
      <c r="D92" s="11">
        <v>4</v>
      </c>
      <c r="E92" s="11">
        <v>4</v>
      </c>
      <c r="F92" s="11">
        <v>5</v>
      </c>
      <c r="G92" s="11">
        <v>3</v>
      </c>
      <c r="H92" s="11">
        <v>4</v>
      </c>
      <c r="I92" s="11">
        <v>3</v>
      </c>
      <c r="J92" s="11">
        <v>4</v>
      </c>
      <c r="K92" s="11">
        <v>4</v>
      </c>
      <c r="L92" s="11">
        <v>4</v>
      </c>
      <c r="M92" s="11">
        <v>3</v>
      </c>
      <c r="N92" s="11">
        <v>4</v>
      </c>
      <c r="O92" s="11">
        <v>2</v>
      </c>
      <c r="P92" s="11">
        <v>2</v>
      </c>
      <c r="Q92" s="11">
        <v>3</v>
      </c>
      <c r="R92" s="11">
        <v>4</v>
      </c>
      <c r="S92" s="11">
        <v>2</v>
      </c>
      <c r="T92" s="11">
        <v>4</v>
      </c>
      <c r="U92" s="10">
        <v>3</v>
      </c>
      <c r="V92" s="6">
        <f t="shared" ca="1" si="6"/>
        <v>18.036389840286798</v>
      </c>
      <c r="W92" s="6">
        <f t="shared" ca="1" si="6"/>
        <v>17.940092189656074</v>
      </c>
      <c r="X92" s="6">
        <f t="shared" ca="1" si="6"/>
        <v>17.988446790368265</v>
      </c>
      <c r="Y92" s="6">
        <f t="shared" ca="1" si="5"/>
        <v>18.228502654272543</v>
      </c>
      <c r="Z92" s="6">
        <f t="shared" ca="1" si="7"/>
        <v>17.940092189656074</v>
      </c>
      <c r="AA92" s="6">
        <f t="shared" ca="1" si="8"/>
        <v>2</v>
      </c>
    </row>
    <row r="93" spans="1:27">
      <c r="A93" s="11">
        <v>92</v>
      </c>
      <c r="B93" s="12">
        <v>5</v>
      </c>
      <c r="C93" s="11">
        <v>1</v>
      </c>
      <c r="D93" s="11">
        <v>1</v>
      </c>
      <c r="E93" s="11">
        <v>1</v>
      </c>
      <c r="F93" s="11">
        <v>2</v>
      </c>
      <c r="G93" s="11">
        <v>3</v>
      </c>
      <c r="H93" s="11">
        <v>3</v>
      </c>
      <c r="I93" s="11">
        <v>1</v>
      </c>
      <c r="J93" s="11">
        <v>2</v>
      </c>
      <c r="K93" s="11">
        <v>2</v>
      </c>
      <c r="L93" s="11">
        <v>2</v>
      </c>
      <c r="M93" s="11">
        <v>1</v>
      </c>
      <c r="N93" s="11">
        <v>5</v>
      </c>
      <c r="O93" s="11">
        <v>5</v>
      </c>
      <c r="P93" s="11">
        <v>5</v>
      </c>
      <c r="Q93" s="11">
        <v>1</v>
      </c>
      <c r="R93" s="11">
        <v>1</v>
      </c>
      <c r="S93" s="11">
        <v>2</v>
      </c>
      <c r="T93" s="11">
        <v>5</v>
      </c>
      <c r="U93" s="10">
        <v>1</v>
      </c>
      <c r="V93" s="6">
        <f t="shared" ca="1" si="6"/>
        <v>56.754265468741679</v>
      </c>
      <c r="W93" s="6">
        <f t="shared" ca="1" si="6"/>
        <v>57.549306898065574</v>
      </c>
      <c r="X93" s="6">
        <f t="shared" ca="1" si="6"/>
        <v>56.625468043058952</v>
      </c>
      <c r="Y93" s="6">
        <f t="shared" ca="1" si="5"/>
        <v>56.585131378944048</v>
      </c>
      <c r="Z93" s="6">
        <f t="shared" ca="1" si="7"/>
        <v>56.585131378944048</v>
      </c>
      <c r="AA93" s="6">
        <f t="shared" ca="1" si="8"/>
        <v>4</v>
      </c>
    </row>
    <row r="94" spans="1:27">
      <c r="A94" s="11">
        <v>93</v>
      </c>
      <c r="B94" s="12">
        <v>3</v>
      </c>
      <c r="C94" s="11">
        <v>4</v>
      </c>
      <c r="D94" s="11">
        <v>2</v>
      </c>
      <c r="E94" s="11">
        <v>2</v>
      </c>
      <c r="F94" s="11">
        <v>3</v>
      </c>
      <c r="G94" s="11">
        <v>2</v>
      </c>
      <c r="H94" s="11">
        <v>2</v>
      </c>
      <c r="I94" s="11">
        <v>1</v>
      </c>
      <c r="J94" s="11">
        <v>1</v>
      </c>
      <c r="K94" s="11">
        <v>1</v>
      </c>
      <c r="L94" s="11">
        <v>2</v>
      </c>
      <c r="M94" s="11">
        <v>3</v>
      </c>
      <c r="N94" s="11">
        <v>1</v>
      </c>
      <c r="O94" s="11">
        <v>4</v>
      </c>
      <c r="P94" s="11">
        <v>5</v>
      </c>
      <c r="Q94" s="11">
        <v>2</v>
      </c>
      <c r="R94" s="11">
        <v>3</v>
      </c>
      <c r="S94" s="11">
        <v>1</v>
      </c>
      <c r="T94" s="11">
        <v>1</v>
      </c>
      <c r="U94" s="10">
        <v>5</v>
      </c>
      <c r="V94" s="6">
        <f t="shared" ca="1" si="6"/>
        <v>40.123586396836018</v>
      </c>
      <c r="W94" s="6">
        <f t="shared" ca="1" si="6"/>
        <v>40.057247342413682</v>
      </c>
      <c r="X94" s="6">
        <f t="shared" ca="1" si="6"/>
        <v>39.940002835879952</v>
      </c>
      <c r="Y94" s="6">
        <f t="shared" ca="1" si="5"/>
        <v>40.564949663961265</v>
      </c>
      <c r="Z94" s="6">
        <f t="shared" ca="1" si="7"/>
        <v>39.940002835879952</v>
      </c>
      <c r="AA94" s="6">
        <f t="shared" ca="1" si="8"/>
        <v>3</v>
      </c>
    </row>
    <row r="95" spans="1:27">
      <c r="A95" s="11">
        <v>94</v>
      </c>
      <c r="B95" s="12">
        <v>3</v>
      </c>
      <c r="C95" s="11">
        <v>3</v>
      </c>
      <c r="D95" s="11">
        <v>1</v>
      </c>
      <c r="E95" s="11">
        <v>3</v>
      </c>
      <c r="F95" s="11">
        <v>4</v>
      </c>
      <c r="G95" s="11">
        <v>3</v>
      </c>
      <c r="H95" s="11">
        <v>3</v>
      </c>
      <c r="I95" s="11">
        <v>2</v>
      </c>
      <c r="J95" s="11">
        <v>2</v>
      </c>
      <c r="K95" s="11">
        <v>3</v>
      </c>
      <c r="L95" s="11">
        <v>3</v>
      </c>
      <c r="M95" s="11">
        <v>1</v>
      </c>
      <c r="N95" s="11">
        <v>1</v>
      </c>
      <c r="O95" s="11">
        <v>5</v>
      </c>
      <c r="P95" s="11">
        <v>5</v>
      </c>
      <c r="Q95" s="11">
        <v>1</v>
      </c>
      <c r="R95" s="11">
        <v>1</v>
      </c>
      <c r="S95" s="11">
        <v>4</v>
      </c>
      <c r="T95" s="11">
        <v>3</v>
      </c>
      <c r="U95" s="10">
        <v>1</v>
      </c>
      <c r="V95" s="6">
        <f t="shared" ca="1" si="6"/>
        <v>35.724236968007709</v>
      </c>
      <c r="W95" s="6">
        <f t="shared" ca="1" si="6"/>
        <v>35.853266784564937</v>
      </c>
      <c r="X95" s="6">
        <f t="shared" ca="1" si="6"/>
        <v>35.743421027104787</v>
      </c>
      <c r="Y95" s="6">
        <f t="shared" ca="1" si="5"/>
        <v>35.997908892360051</v>
      </c>
      <c r="Z95" s="6">
        <f t="shared" ca="1" si="7"/>
        <v>35.724236968007709</v>
      </c>
      <c r="AA95" s="6">
        <f t="shared" ca="1" si="8"/>
        <v>1</v>
      </c>
    </row>
    <row r="96" spans="1:27">
      <c r="A96" s="11">
        <v>95</v>
      </c>
      <c r="B96" s="12">
        <v>2</v>
      </c>
      <c r="C96" s="11">
        <v>3</v>
      </c>
      <c r="D96" s="11">
        <v>2</v>
      </c>
      <c r="E96" s="11">
        <v>4</v>
      </c>
      <c r="F96" s="11">
        <v>3</v>
      </c>
      <c r="G96" s="11">
        <v>4</v>
      </c>
      <c r="H96" s="11">
        <v>3</v>
      </c>
      <c r="I96" s="11">
        <v>2</v>
      </c>
      <c r="J96" s="11">
        <v>2</v>
      </c>
      <c r="K96" s="11">
        <v>2</v>
      </c>
      <c r="L96" s="11">
        <v>2</v>
      </c>
      <c r="M96" s="11">
        <v>3</v>
      </c>
      <c r="N96" s="11">
        <v>4</v>
      </c>
      <c r="O96" s="11">
        <v>4</v>
      </c>
      <c r="P96" s="11">
        <v>4</v>
      </c>
      <c r="Q96" s="11">
        <v>4</v>
      </c>
      <c r="R96" s="11">
        <v>3</v>
      </c>
      <c r="S96" s="11">
        <v>2</v>
      </c>
      <c r="T96" s="11">
        <v>2</v>
      </c>
      <c r="U96" s="10">
        <v>2</v>
      </c>
      <c r="V96" s="6">
        <f t="shared" ca="1" si="6"/>
        <v>14.939092993704744</v>
      </c>
      <c r="W96" s="6">
        <f t="shared" ca="1" si="6"/>
        <v>14.728706772310147</v>
      </c>
      <c r="X96" s="6">
        <f t="shared" ca="1" si="6"/>
        <v>14.797022343665981</v>
      </c>
      <c r="Y96" s="6">
        <f t="shared" ca="1" si="5"/>
        <v>14.934413392453209</v>
      </c>
      <c r="Z96" s="6">
        <f t="shared" ca="1" si="7"/>
        <v>14.728706772310147</v>
      </c>
      <c r="AA96" s="6">
        <f t="shared" ca="1" si="8"/>
        <v>2</v>
      </c>
    </row>
    <row r="97" spans="1:27">
      <c r="A97" s="11">
        <v>96</v>
      </c>
      <c r="B97" s="12">
        <v>2</v>
      </c>
      <c r="C97" s="11">
        <v>2</v>
      </c>
      <c r="D97" s="11">
        <v>1</v>
      </c>
      <c r="E97" s="11">
        <v>4</v>
      </c>
      <c r="F97" s="11">
        <v>5</v>
      </c>
      <c r="G97" s="11">
        <v>4</v>
      </c>
      <c r="H97" s="11">
        <v>3</v>
      </c>
      <c r="I97" s="11">
        <v>1</v>
      </c>
      <c r="J97" s="11">
        <v>1</v>
      </c>
      <c r="K97" s="11">
        <v>4</v>
      </c>
      <c r="L97" s="11">
        <v>1</v>
      </c>
      <c r="M97" s="11">
        <v>1</v>
      </c>
      <c r="N97" s="11">
        <v>3</v>
      </c>
      <c r="O97" s="11">
        <v>5</v>
      </c>
      <c r="P97" s="11">
        <v>3</v>
      </c>
      <c r="Q97" s="11">
        <v>2</v>
      </c>
      <c r="R97" s="11">
        <v>1</v>
      </c>
      <c r="S97" s="11">
        <v>4</v>
      </c>
      <c r="T97" s="11">
        <v>2</v>
      </c>
      <c r="U97" s="10">
        <v>1</v>
      </c>
      <c r="V97" s="6">
        <f t="shared" ca="1" si="6"/>
        <v>43.875557335785423</v>
      </c>
      <c r="W97" s="6">
        <f t="shared" ca="1" si="6"/>
        <v>43.95063469358589</v>
      </c>
      <c r="X97" s="6">
        <f t="shared" ca="1" si="6"/>
        <v>43.679755549494551</v>
      </c>
      <c r="Y97" s="6">
        <f t="shared" ca="1" si="5"/>
        <v>43.962799477647557</v>
      </c>
      <c r="Z97" s="6">
        <f t="shared" ca="1" si="7"/>
        <v>43.679755549494551</v>
      </c>
      <c r="AA97" s="6">
        <f t="shared" ca="1" si="8"/>
        <v>3</v>
      </c>
    </row>
    <row r="98" spans="1:27">
      <c r="A98" s="11">
        <v>97</v>
      </c>
      <c r="B98" s="12">
        <v>4</v>
      </c>
      <c r="C98" s="11">
        <v>1</v>
      </c>
      <c r="D98" s="11">
        <v>5</v>
      </c>
      <c r="E98" s="11">
        <v>4</v>
      </c>
      <c r="F98" s="11">
        <v>3</v>
      </c>
      <c r="G98" s="11">
        <v>5</v>
      </c>
      <c r="H98" s="11">
        <v>2</v>
      </c>
      <c r="I98" s="11">
        <v>2</v>
      </c>
      <c r="J98" s="11">
        <v>2</v>
      </c>
      <c r="K98" s="11">
        <v>5</v>
      </c>
      <c r="L98" s="11">
        <v>2</v>
      </c>
      <c r="M98" s="11">
        <v>2</v>
      </c>
      <c r="N98" s="11">
        <v>2</v>
      </c>
      <c r="O98" s="11">
        <v>4</v>
      </c>
      <c r="P98" s="11">
        <v>2</v>
      </c>
      <c r="Q98" s="11">
        <v>2</v>
      </c>
      <c r="R98" s="11">
        <v>4</v>
      </c>
      <c r="S98" s="11">
        <v>4</v>
      </c>
      <c r="T98" s="11">
        <v>5</v>
      </c>
      <c r="U98" s="10">
        <v>3</v>
      </c>
      <c r="V98" s="6">
        <f t="shared" ca="1" si="6"/>
        <v>32.616219605190054</v>
      </c>
      <c r="W98" s="6">
        <f t="shared" ca="1" si="6"/>
        <v>33.447580047048305</v>
      </c>
      <c r="X98" s="6">
        <f t="shared" ca="1" si="6"/>
        <v>32.623468098621565</v>
      </c>
      <c r="Y98" s="6">
        <f t="shared" ca="1" si="5"/>
        <v>33.010368638025852</v>
      </c>
      <c r="Z98" s="6">
        <f t="shared" ca="1" si="7"/>
        <v>32.616219605190054</v>
      </c>
      <c r="AA98" s="6">
        <f t="shared" ca="1" si="8"/>
        <v>1</v>
      </c>
    </row>
    <row r="99" spans="1:27">
      <c r="A99" s="11">
        <v>98</v>
      </c>
      <c r="B99" s="12">
        <v>2</v>
      </c>
      <c r="C99" s="11">
        <v>2</v>
      </c>
      <c r="D99" s="11">
        <v>4</v>
      </c>
      <c r="E99" s="11">
        <v>1</v>
      </c>
      <c r="F99" s="11">
        <v>4</v>
      </c>
      <c r="G99" s="11">
        <v>4</v>
      </c>
      <c r="H99" s="11">
        <v>3</v>
      </c>
      <c r="I99" s="11">
        <v>1</v>
      </c>
      <c r="J99" s="11">
        <v>2</v>
      </c>
      <c r="K99" s="11">
        <v>2</v>
      </c>
      <c r="L99" s="11">
        <v>2</v>
      </c>
      <c r="M99" s="11">
        <v>3</v>
      </c>
      <c r="N99" s="11">
        <v>2</v>
      </c>
      <c r="O99" s="11">
        <v>5</v>
      </c>
      <c r="P99" s="11">
        <v>3</v>
      </c>
      <c r="Q99" s="11">
        <v>2</v>
      </c>
      <c r="R99" s="11">
        <v>3</v>
      </c>
      <c r="S99" s="11">
        <v>4</v>
      </c>
      <c r="T99" s="11">
        <v>1</v>
      </c>
      <c r="U99" s="10">
        <v>5</v>
      </c>
      <c r="V99" s="6">
        <f t="shared" ca="1" si="6"/>
        <v>31.138708704621379</v>
      </c>
      <c r="W99" s="6">
        <f t="shared" ca="1" si="6"/>
        <v>31.176571496099399</v>
      </c>
      <c r="X99" s="6">
        <f t="shared" ca="1" si="6"/>
        <v>31.042226910088218</v>
      </c>
      <c r="Y99" s="6">
        <f t="shared" ca="1" si="5"/>
        <v>31.528412505127989</v>
      </c>
      <c r="Z99" s="6">
        <f t="shared" ca="1" si="7"/>
        <v>31.042226910088218</v>
      </c>
      <c r="AA99" s="6">
        <f t="shared" ca="1" si="8"/>
        <v>3</v>
      </c>
    </row>
    <row r="100" spans="1:27">
      <c r="A100" s="11">
        <v>99</v>
      </c>
      <c r="B100" s="12">
        <v>2</v>
      </c>
      <c r="C100" s="11">
        <v>2</v>
      </c>
      <c r="D100" s="11">
        <v>1</v>
      </c>
      <c r="E100" s="11">
        <v>5</v>
      </c>
      <c r="F100" s="11">
        <v>5</v>
      </c>
      <c r="G100" s="11">
        <v>2</v>
      </c>
      <c r="H100" s="11">
        <v>1</v>
      </c>
      <c r="I100" s="11">
        <v>1</v>
      </c>
      <c r="J100" s="11">
        <v>1</v>
      </c>
      <c r="K100" s="11">
        <v>2</v>
      </c>
      <c r="L100" s="11">
        <v>1</v>
      </c>
      <c r="M100" s="11">
        <v>1</v>
      </c>
      <c r="N100" s="11">
        <v>2</v>
      </c>
      <c r="O100" s="11">
        <v>5</v>
      </c>
      <c r="P100" s="11">
        <v>3</v>
      </c>
      <c r="Q100" s="11">
        <v>4</v>
      </c>
      <c r="R100" s="11">
        <v>1</v>
      </c>
      <c r="S100" s="11">
        <v>4</v>
      </c>
      <c r="T100" s="11">
        <v>2</v>
      </c>
      <c r="U100" s="10">
        <v>4</v>
      </c>
      <c r="V100" s="6">
        <f t="shared" ca="1" si="6"/>
        <v>49.035614618067015</v>
      </c>
      <c r="W100" s="6">
        <f t="shared" ca="1" si="6"/>
        <v>49.028097057423878</v>
      </c>
      <c r="X100" s="6">
        <f t="shared" ca="1" si="6"/>
        <v>48.964133843016455</v>
      </c>
      <c r="Y100" s="6">
        <f t="shared" ca="1" si="5"/>
        <v>49.263937249775502</v>
      </c>
      <c r="Z100" s="6">
        <f t="shared" ca="1" si="7"/>
        <v>48.964133843016455</v>
      </c>
      <c r="AA100" s="6">
        <f t="shared" ca="1" si="8"/>
        <v>3</v>
      </c>
    </row>
    <row r="101" spans="1:27">
      <c r="A101" s="11">
        <v>100</v>
      </c>
      <c r="B101" s="12">
        <v>2</v>
      </c>
      <c r="C101" s="11">
        <v>2</v>
      </c>
      <c r="D101" s="11">
        <v>2</v>
      </c>
      <c r="E101" s="11">
        <v>3</v>
      </c>
      <c r="F101" s="11">
        <v>4</v>
      </c>
      <c r="G101" s="11">
        <v>2</v>
      </c>
      <c r="H101" s="11">
        <v>3</v>
      </c>
      <c r="I101" s="11">
        <v>1</v>
      </c>
      <c r="J101" s="11">
        <v>1</v>
      </c>
      <c r="K101" s="11">
        <v>3</v>
      </c>
      <c r="L101" s="11">
        <v>1</v>
      </c>
      <c r="M101" s="11">
        <v>3</v>
      </c>
      <c r="N101" s="11">
        <v>2</v>
      </c>
      <c r="O101" s="11">
        <v>3</v>
      </c>
      <c r="P101" s="11">
        <v>4</v>
      </c>
      <c r="Q101" s="11">
        <v>3</v>
      </c>
      <c r="R101" s="11">
        <v>3</v>
      </c>
      <c r="S101" s="11">
        <v>2</v>
      </c>
      <c r="T101" s="11">
        <v>2</v>
      </c>
      <c r="U101" s="10">
        <v>1</v>
      </c>
      <c r="V101" s="6">
        <f t="shared" ca="1" si="6"/>
        <v>24.828428440547022</v>
      </c>
      <c r="W101" s="6">
        <f t="shared" ca="1" si="6"/>
        <v>24.74417070212613</v>
      </c>
      <c r="X101" s="6">
        <f t="shared" ca="1" si="6"/>
        <v>24.851815543387673</v>
      </c>
      <c r="Y101" s="6">
        <f t="shared" ca="1" si="5"/>
        <v>24.99839260870619</v>
      </c>
      <c r="Z101" s="6">
        <f t="shared" ca="1" si="7"/>
        <v>24.74417070212613</v>
      </c>
      <c r="AA101" s="6">
        <f t="shared" ca="1" si="8"/>
        <v>2</v>
      </c>
    </row>
    <row r="102" spans="1:27">
      <c r="A102" s="11">
        <v>101</v>
      </c>
      <c r="B102" s="12">
        <v>3</v>
      </c>
      <c r="C102" s="11">
        <v>2</v>
      </c>
      <c r="D102" s="11">
        <v>2</v>
      </c>
      <c r="E102" s="11">
        <v>3</v>
      </c>
      <c r="F102" s="11">
        <v>3</v>
      </c>
      <c r="G102" s="11">
        <v>3</v>
      </c>
      <c r="H102" s="11">
        <v>3</v>
      </c>
      <c r="I102" s="11">
        <v>3</v>
      </c>
      <c r="J102" s="11">
        <v>3</v>
      </c>
      <c r="K102" s="11">
        <v>3</v>
      </c>
      <c r="L102" s="11">
        <v>2</v>
      </c>
      <c r="M102" s="11">
        <v>2</v>
      </c>
      <c r="N102" s="11">
        <v>2</v>
      </c>
      <c r="O102" s="11">
        <v>4</v>
      </c>
      <c r="P102" s="11">
        <v>4</v>
      </c>
      <c r="Q102" s="11">
        <v>3</v>
      </c>
      <c r="R102" s="11">
        <v>3</v>
      </c>
      <c r="S102" s="11">
        <v>3</v>
      </c>
      <c r="T102" s="11">
        <v>3</v>
      </c>
      <c r="U102" s="10">
        <v>4</v>
      </c>
      <c r="V102" s="6">
        <f t="shared" ca="1" si="6"/>
        <v>8.0682236699709886</v>
      </c>
      <c r="W102" s="6">
        <f t="shared" ca="1" si="6"/>
        <v>8.1572003303461393</v>
      </c>
      <c r="X102" s="6">
        <f t="shared" ca="1" si="6"/>
        <v>8.065037692665225</v>
      </c>
      <c r="Y102" s="6">
        <f t="shared" ca="1" si="5"/>
        <v>8.0031219052857736</v>
      </c>
      <c r="Z102" s="6">
        <f t="shared" ca="1" si="7"/>
        <v>8.0031219052857736</v>
      </c>
      <c r="AA102" s="6">
        <f t="shared" ca="1" si="8"/>
        <v>4</v>
      </c>
    </row>
    <row r="103" spans="1:27">
      <c r="A103" s="11">
        <v>102</v>
      </c>
      <c r="B103" s="12">
        <v>2</v>
      </c>
      <c r="C103" s="11">
        <v>1</v>
      </c>
      <c r="D103" s="11">
        <v>1</v>
      </c>
      <c r="E103" s="11">
        <v>2</v>
      </c>
      <c r="F103" s="11">
        <v>2</v>
      </c>
      <c r="G103" s="11">
        <v>4</v>
      </c>
      <c r="H103" s="11">
        <v>2</v>
      </c>
      <c r="I103" s="11">
        <v>2</v>
      </c>
      <c r="J103" s="11">
        <v>2</v>
      </c>
      <c r="K103" s="11">
        <v>2</v>
      </c>
      <c r="L103" s="11">
        <v>1</v>
      </c>
      <c r="M103" s="11">
        <v>3</v>
      </c>
      <c r="N103" s="11">
        <v>3</v>
      </c>
      <c r="O103" s="11">
        <v>2</v>
      </c>
      <c r="P103" s="11">
        <v>4</v>
      </c>
      <c r="Q103" s="11">
        <v>2</v>
      </c>
      <c r="R103" s="11">
        <v>1</v>
      </c>
      <c r="S103" s="11">
        <v>2</v>
      </c>
      <c r="T103" s="11">
        <v>1</v>
      </c>
      <c r="U103" s="10">
        <v>1</v>
      </c>
      <c r="V103" s="6">
        <f t="shared" ca="1" si="6"/>
        <v>35.863829673662387</v>
      </c>
      <c r="W103" s="6">
        <f t="shared" ca="1" si="6"/>
        <v>35.974380860468216</v>
      </c>
      <c r="X103" s="6">
        <f t="shared" ca="1" si="6"/>
        <v>36.067748455184002</v>
      </c>
      <c r="Y103" s="6">
        <f t="shared" ca="1" si="5"/>
        <v>35.725530008925951</v>
      </c>
      <c r="Z103" s="6">
        <f t="shared" ca="1" si="7"/>
        <v>35.725530008925951</v>
      </c>
      <c r="AA103" s="6">
        <f t="shared" ca="1" si="8"/>
        <v>4</v>
      </c>
    </row>
    <row r="104" spans="1:27">
      <c r="A104" s="11">
        <v>103</v>
      </c>
      <c r="B104" s="12">
        <v>5</v>
      </c>
      <c r="C104" s="11">
        <v>2</v>
      </c>
      <c r="D104" s="11">
        <v>2</v>
      </c>
      <c r="E104" s="11">
        <v>3</v>
      </c>
      <c r="F104" s="11">
        <v>3</v>
      </c>
      <c r="G104" s="11">
        <v>2</v>
      </c>
      <c r="H104" s="11">
        <v>3</v>
      </c>
      <c r="I104" s="11">
        <v>2</v>
      </c>
      <c r="J104" s="11">
        <v>1</v>
      </c>
      <c r="K104" s="11">
        <v>4</v>
      </c>
      <c r="L104" s="11">
        <v>1</v>
      </c>
      <c r="M104" s="11">
        <v>3</v>
      </c>
      <c r="N104" s="11">
        <v>2</v>
      </c>
      <c r="O104" s="11">
        <v>2</v>
      </c>
      <c r="P104" s="11">
        <v>5</v>
      </c>
      <c r="Q104" s="11">
        <v>1</v>
      </c>
      <c r="R104" s="11">
        <v>2</v>
      </c>
      <c r="S104" s="11">
        <v>1</v>
      </c>
      <c r="T104" s="11">
        <v>3</v>
      </c>
      <c r="U104" s="10">
        <v>5</v>
      </c>
      <c r="V104" s="6">
        <f t="shared" ca="1" si="6"/>
        <v>36.172434346832922</v>
      </c>
      <c r="W104" s="6">
        <f t="shared" ca="1" si="6"/>
        <v>36.572537842892402</v>
      </c>
      <c r="X104" s="6">
        <f t="shared" ca="1" si="6"/>
        <v>36.067957871672554</v>
      </c>
      <c r="Y104" s="6">
        <f t="shared" ca="1" si="5"/>
        <v>36.233221022946971</v>
      </c>
      <c r="Z104" s="6">
        <f t="shared" ca="1" si="7"/>
        <v>36.067957871672554</v>
      </c>
      <c r="AA104" s="6">
        <f t="shared" ca="1" si="8"/>
        <v>3</v>
      </c>
    </row>
    <row r="105" spans="1:27">
      <c r="A105" s="11">
        <v>104</v>
      </c>
      <c r="B105" s="12">
        <v>2</v>
      </c>
      <c r="C105" s="11">
        <v>1</v>
      </c>
      <c r="D105" s="11">
        <v>1</v>
      </c>
      <c r="E105" s="11">
        <v>2</v>
      </c>
      <c r="F105" s="11">
        <v>2</v>
      </c>
      <c r="G105" s="11">
        <v>4</v>
      </c>
      <c r="H105" s="11">
        <v>2</v>
      </c>
      <c r="I105" s="11">
        <v>2</v>
      </c>
      <c r="J105" s="11">
        <v>2</v>
      </c>
      <c r="K105" s="11">
        <v>2</v>
      </c>
      <c r="L105" s="11">
        <v>1</v>
      </c>
      <c r="M105" s="11">
        <v>3</v>
      </c>
      <c r="N105" s="11">
        <v>3</v>
      </c>
      <c r="O105" s="11">
        <v>2</v>
      </c>
      <c r="P105" s="11">
        <v>4</v>
      </c>
      <c r="Q105" s="11">
        <v>2</v>
      </c>
      <c r="R105" s="11">
        <v>1</v>
      </c>
      <c r="S105" s="11">
        <v>2</v>
      </c>
      <c r="T105" s="11">
        <v>1</v>
      </c>
      <c r="U105" s="10">
        <v>1</v>
      </c>
      <c r="V105" s="6">
        <f t="shared" ca="1" si="6"/>
        <v>35.863829673662387</v>
      </c>
      <c r="W105" s="6">
        <f t="shared" ca="1" si="6"/>
        <v>35.974380860468216</v>
      </c>
      <c r="X105" s="6">
        <f t="shared" ca="1" si="6"/>
        <v>36.067748455184002</v>
      </c>
      <c r="Y105" s="6">
        <f t="shared" ca="1" si="5"/>
        <v>35.725530008925951</v>
      </c>
      <c r="Z105" s="6">
        <f t="shared" ca="1" si="7"/>
        <v>35.725530008925951</v>
      </c>
      <c r="AA105" s="6">
        <f t="shared" ca="1" si="8"/>
        <v>4</v>
      </c>
    </row>
    <row r="106" spans="1:27">
      <c r="A106" s="11">
        <v>105</v>
      </c>
      <c r="B106" s="12">
        <v>2</v>
      </c>
      <c r="C106" s="11">
        <v>2</v>
      </c>
      <c r="D106" s="11">
        <v>3</v>
      </c>
      <c r="E106" s="11">
        <v>3</v>
      </c>
      <c r="F106" s="11">
        <v>3</v>
      </c>
      <c r="G106" s="11">
        <v>2</v>
      </c>
      <c r="H106" s="11">
        <v>3</v>
      </c>
      <c r="I106" s="11">
        <v>2</v>
      </c>
      <c r="J106" s="11">
        <v>2</v>
      </c>
      <c r="K106" s="11">
        <v>3</v>
      </c>
      <c r="L106" s="11">
        <v>4</v>
      </c>
      <c r="M106" s="11">
        <v>2</v>
      </c>
      <c r="N106" s="11">
        <v>3</v>
      </c>
      <c r="O106" s="11">
        <v>4</v>
      </c>
      <c r="P106" s="11">
        <v>4</v>
      </c>
      <c r="Q106" s="11">
        <v>3</v>
      </c>
      <c r="R106" s="11">
        <v>3</v>
      </c>
      <c r="S106" s="11">
        <v>4</v>
      </c>
      <c r="T106" s="11">
        <v>4</v>
      </c>
      <c r="U106" s="10">
        <v>3</v>
      </c>
      <c r="V106" s="6">
        <f t="shared" ca="1" si="6"/>
        <v>10.829005803150393</v>
      </c>
      <c r="W106" s="6">
        <f t="shared" ca="1" si="6"/>
        <v>10.991375669541817</v>
      </c>
      <c r="X106" s="6">
        <f t="shared" ca="1" si="6"/>
        <v>10.928168955078938</v>
      </c>
      <c r="Y106" s="6">
        <f t="shared" ca="1" si="5"/>
        <v>11.0239698332418</v>
      </c>
      <c r="Z106" s="6">
        <f t="shared" ca="1" si="7"/>
        <v>10.829005803150393</v>
      </c>
      <c r="AA106" s="6">
        <f t="shared" ca="1" si="8"/>
        <v>1</v>
      </c>
    </row>
    <row r="107" spans="1:27">
      <c r="A107" s="11">
        <v>106</v>
      </c>
      <c r="B107" s="12">
        <v>4</v>
      </c>
      <c r="C107" s="11">
        <v>4</v>
      </c>
      <c r="D107" s="11">
        <v>4</v>
      </c>
      <c r="E107" s="11">
        <v>2</v>
      </c>
      <c r="F107" s="11">
        <v>4</v>
      </c>
      <c r="G107" s="11">
        <v>4</v>
      </c>
      <c r="H107" s="11">
        <v>3</v>
      </c>
      <c r="I107" s="11">
        <v>2</v>
      </c>
      <c r="J107" s="11">
        <v>2</v>
      </c>
      <c r="K107" s="11">
        <v>3</v>
      </c>
      <c r="L107" s="11">
        <v>2</v>
      </c>
      <c r="M107" s="11">
        <v>2</v>
      </c>
      <c r="N107" s="11">
        <v>2</v>
      </c>
      <c r="O107" s="11">
        <v>4</v>
      </c>
      <c r="P107" s="11">
        <v>3</v>
      </c>
      <c r="Q107" s="11">
        <v>2</v>
      </c>
      <c r="R107" s="11">
        <v>2</v>
      </c>
      <c r="S107" s="11">
        <v>4</v>
      </c>
      <c r="T107" s="11">
        <v>3</v>
      </c>
      <c r="U107" s="10">
        <v>2</v>
      </c>
      <c r="V107" s="6">
        <f t="shared" ca="1" si="6"/>
        <v>15.85972854519196</v>
      </c>
      <c r="W107" s="6">
        <f t="shared" ca="1" si="6"/>
        <v>15.978952600212663</v>
      </c>
      <c r="X107" s="6">
        <f t="shared" ca="1" si="6"/>
        <v>15.85112727097715</v>
      </c>
      <c r="Y107" s="6">
        <f t="shared" ca="1" si="5"/>
        <v>16.116593963747402</v>
      </c>
      <c r="Z107" s="6">
        <f t="shared" ca="1" si="7"/>
        <v>15.85112727097715</v>
      </c>
      <c r="AA107" s="6">
        <f t="shared" ca="1" si="8"/>
        <v>3</v>
      </c>
    </row>
    <row r="108" spans="1:27">
      <c r="A108" s="11">
        <v>107</v>
      </c>
      <c r="B108" s="12">
        <v>1</v>
      </c>
      <c r="C108" s="11">
        <v>3</v>
      </c>
      <c r="D108" s="11">
        <v>2</v>
      </c>
      <c r="E108" s="11">
        <v>4</v>
      </c>
      <c r="F108" s="11">
        <v>3</v>
      </c>
      <c r="G108" s="11">
        <v>4</v>
      </c>
      <c r="H108" s="11">
        <v>3</v>
      </c>
      <c r="I108" s="11">
        <v>3</v>
      </c>
      <c r="J108" s="11">
        <v>3</v>
      </c>
      <c r="K108" s="11">
        <v>4</v>
      </c>
      <c r="L108" s="11">
        <v>2</v>
      </c>
      <c r="M108" s="11">
        <v>2</v>
      </c>
      <c r="N108" s="11">
        <v>2</v>
      </c>
      <c r="O108" s="11">
        <v>5</v>
      </c>
      <c r="P108" s="11">
        <v>5</v>
      </c>
      <c r="Q108" s="11">
        <v>3</v>
      </c>
      <c r="R108" s="11">
        <v>2</v>
      </c>
      <c r="S108" s="11">
        <v>4</v>
      </c>
      <c r="T108" s="11">
        <v>2</v>
      </c>
      <c r="U108" s="10">
        <v>4</v>
      </c>
      <c r="V108" s="6">
        <f t="shared" ca="1" si="6"/>
        <v>23.082228158081357</v>
      </c>
      <c r="W108" s="6">
        <f t="shared" ca="1" si="6"/>
        <v>22.976123147032567</v>
      </c>
      <c r="X108" s="6">
        <f t="shared" ca="1" si="6"/>
        <v>23.255373657970615</v>
      </c>
      <c r="Y108" s="6">
        <f t="shared" ca="1" si="5"/>
        <v>22.965261390077842</v>
      </c>
      <c r="Z108" s="6">
        <f t="shared" ca="1" si="7"/>
        <v>22.965261390077842</v>
      </c>
      <c r="AA108" s="6">
        <f t="shared" ca="1" si="8"/>
        <v>4</v>
      </c>
    </row>
    <row r="109" spans="1:27">
      <c r="A109" s="11">
        <v>108</v>
      </c>
      <c r="B109" s="12">
        <v>3</v>
      </c>
      <c r="C109" s="11">
        <v>2</v>
      </c>
      <c r="D109" s="11">
        <v>1</v>
      </c>
      <c r="E109" s="11">
        <v>1</v>
      </c>
      <c r="F109" s="11">
        <v>4</v>
      </c>
      <c r="G109" s="11">
        <v>3</v>
      </c>
      <c r="H109" s="11">
        <v>3</v>
      </c>
      <c r="I109" s="11">
        <v>2</v>
      </c>
      <c r="J109" s="11">
        <v>2</v>
      </c>
      <c r="K109" s="11">
        <v>3</v>
      </c>
      <c r="L109" s="11">
        <v>2</v>
      </c>
      <c r="M109" s="11">
        <v>2</v>
      </c>
      <c r="N109" s="11">
        <v>1</v>
      </c>
      <c r="O109" s="11">
        <v>4</v>
      </c>
      <c r="P109" s="11">
        <v>4</v>
      </c>
      <c r="Q109" s="11">
        <v>1</v>
      </c>
      <c r="R109" s="11">
        <v>1</v>
      </c>
      <c r="S109" s="11">
        <v>5</v>
      </c>
      <c r="T109" s="11">
        <v>2</v>
      </c>
      <c r="U109" s="10">
        <v>4</v>
      </c>
      <c r="V109" s="6">
        <f t="shared" ca="1" si="6"/>
        <v>34.145238307234735</v>
      </c>
      <c r="W109" s="6">
        <f t="shared" ca="1" si="6"/>
        <v>34.141588446599997</v>
      </c>
      <c r="X109" s="6">
        <f t="shared" ca="1" si="6"/>
        <v>34.11688278088576</v>
      </c>
      <c r="Y109" s="6">
        <f t="shared" ca="1" si="5"/>
        <v>34.194096125547162</v>
      </c>
      <c r="Z109" s="6">
        <f t="shared" ca="1" si="7"/>
        <v>34.11688278088576</v>
      </c>
      <c r="AA109" s="6">
        <f t="shared" ca="1" si="8"/>
        <v>3</v>
      </c>
    </row>
    <row r="110" spans="1:27">
      <c r="A110" s="11">
        <v>109</v>
      </c>
      <c r="B110" s="12">
        <v>1</v>
      </c>
      <c r="C110" s="11">
        <v>3</v>
      </c>
      <c r="D110" s="11">
        <v>3</v>
      </c>
      <c r="E110" s="11">
        <v>3</v>
      </c>
      <c r="F110" s="11">
        <v>2</v>
      </c>
      <c r="G110" s="11">
        <v>2</v>
      </c>
      <c r="H110" s="11">
        <v>3</v>
      </c>
      <c r="I110" s="11">
        <v>3</v>
      </c>
      <c r="J110" s="11">
        <v>2</v>
      </c>
      <c r="K110" s="11">
        <v>1</v>
      </c>
      <c r="L110" s="11">
        <v>1</v>
      </c>
      <c r="M110" s="11">
        <v>1</v>
      </c>
      <c r="N110" s="11">
        <v>1</v>
      </c>
      <c r="O110" s="11">
        <v>3</v>
      </c>
      <c r="P110" s="11">
        <v>3</v>
      </c>
      <c r="Q110" s="11">
        <v>2</v>
      </c>
      <c r="R110" s="11">
        <v>1</v>
      </c>
      <c r="S110" s="11">
        <v>3</v>
      </c>
      <c r="T110" s="11">
        <v>2</v>
      </c>
      <c r="U110" s="10">
        <v>5</v>
      </c>
      <c r="V110" s="6">
        <f t="shared" ca="1" si="6"/>
        <v>32.792988155137209</v>
      </c>
      <c r="W110" s="6">
        <f t="shared" ca="1" si="6"/>
        <v>33.099903305236573</v>
      </c>
      <c r="X110" s="6">
        <f t="shared" ca="1" si="6"/>
        <v>33.414681587806726</v>
      </c>
      <c r="Y110" s="6">
        <f t="shared" ca="1" si="5"/>
        <v>33.383089332011068</v>
      </c>
      <c r="Z110" s="6">
        <f t="shared" ca="1" si="7"/>
        <v>32.792988155137209</v>
      </c>
      <c r="AA110" s="6">
        <f t="shared" ca="1" si="8"/>
        <v>1</v>
      </c>
    </row>
    <row r="111" spans="1:27">
      <c r="A111" s="11">
        <v>110</v>
      </c>
      <c r="B111" s="12">
        <v>2</v>
      </c>
      <c r="C111" s="11">
        <v>2</v>
      </c>
      <c r="D111" s="11">
        <v>2</v>
      </c>
      <c r="E111" s="11">
        <v>3</v>
      </c>
      <c r="F111" s="11">
        <v>2</v>
      </c>
      <c r="G111" s="11">
        <v>4</v>
      </c>
      <c r="H111" s="11">
        <v>4</v>
      </c>
      <c r="I111" s="11">
        <v>1</v>
      </c>
      <c r="J111" s="11">
        <v>2</v>
      </c>
      <c r="K111" s="11">
        <v>2</v>
      </c>
      <c r="L111" s="11">
        <v>2</v>
      </c>
      <c r="M111" s="11">
        <v>2</v>
      </c>
      <c r="N111" s="11">
        <v>3</v>
      </c>
      <c r="O111" s="11">
        <v>4</v>
      </c>
      <c r="P111" s="11">
        <v>4</v>
      </c>
      <c r="Q111" s="11">
        <v>1</v>
      </c>
      <c r="R111" s="11">
        <v>2</v>
      </c>
      <c r="S111" s="11">
        <v>4</v>
      </c>
      <c r="T111" s="11">
        <v>3</v>
      </c>
      <c r="U111" s="10">
        <v>4</v>
      </c>
      <c r="V111" s="6">
        <f t="shared" ca="1" si="6"/>
        <v>22.760311017031054</v>
      </c>
      <c r="W111" s="6">
        <f t="shared" ca="1" si="6"/>
        <v>23.084578060345905</v>
      </c>
      <c r="X111" s="6">
        <f t="shared" ca="1" si="6"/>
        <v>22.888604174182692</v>
      </c>
      <c r="Y111" s="6">
        <f t="shared" ca="1" si="5"/>
        <v>23.229037622322423</v>
      </c>
      <c r="Z111" s="6">
        <f t="shared" ca="1" si="7"/>
        <v>22.760311017031054</v>
      </c>
      <c r="AA111" s="6">
        <f t="shared" ca="1" si="8"/>
        <v>1</v>
      </c>
    </row>
    <row r="112" spans="1:27">
      <c r="A112" s="11">
        <v>111</v>
      </c>
      <c r="B112" s="12">
        <v>2</v>
      </c>
      <c r="C112" s="11">
        <v>3</v>
      </c>
      <c r="D112" s="11">
        <v>2</v>
      </c>
      <c r="E112" s="11">
        <v>2</v>
      </c>
      <c r="F112" s="11">
        <v>3</v>
      </c>
      <c r="G112" s="11">
        <v>3</v>
      </c>
      <c r="H112" s="11">
        <v>4</v>
      </c>
      <c r="I112" s="11">
        <v>2</v>
      </c>
      <c r="J112" s="11">
        <v>3</v>
      </c>
      <c r="K112" s="11">
        <v>4</v>
      </c>
      <c r="L112" s="11">
        <v>3</v>
      </c>
      <c r="M112" s="11">
        <v>2</v>
      </c>
      <c r="N112" s="11">
        <v>4</v>
      </c>
      <c r="O112" s="11">
        <v>2</v>
      </c>
      <c r="P112" s="11">
        <v>2</v>
      </c>
      <c r="Q112" s="11">
        <v>2</v>
      </c>
      <c r="R112" s="11">
        <v>3</v>
      </c>
      <c r="S112" s="11">
        <v>2</v>
      </c>
      <c r="T112" s="11">
        <v>4</v>
      </c>
      <c r="U112" s="10">
        <v>2</v>
      </c>
      <c r="V112" s="6">
        <f t="shared" ca="1" si="6"/>
        <v>13.953110311435134</v>
      </c>
      <c r="W112" s="6">
        <f t="shared" ca="1" si="6"/>
        <v>14.002501062611795</v>
      </c>
      <c r="X112" s="6">
        <f t="shared" ca="1" si="6"/>
        <v>13.901145653198306</v>
      </c>
      <c r="Y112" s="6">
        <f t="shared" ca="1" si="5"/>
        <v>13.910719984600533</v>
      </c>
      <c r="Z112" s="6">
        <f t="shared" ca="1" si="7"/>
        <v>13.901145653198306</v>
      </c>
      <c r="AA112" s="6">
        <f t="shared" ca="1" si="8"/>
        <v>3</v>
      </c>
    </row>
    <row r="113" spans="1:27">
      <c r="A113" s="11">
        <v>112</v>
      </c>
      <c r="B113" s="12">
        <v>5</v>
      </c>
      <c r="C113" s="11">
        <v>2</v>
      </c>
      <c r="D113" s="11">
        <v>1</v>
      </c>
      <c r="E113" s="11">
        <v>3</v>
      </c>
      <c r="F113" s="11">
        <v>2</v>
      </c>
      <c r="G113" s="11">
        <v>1</v>
      </c>
      <c r="H113" s="11">
        <v>5</v>
      </c>
      <c r="I113" s="11">
        <v>2</v>
      </c>
      <c r="J113" s="11">
        <v>2</v>
      </c>
      <c r="K113" s="11">
        <v>2</v>
      </c>
      <c r="L113" s="11">
        <v>1</v>
      </c>
      <c r="M113" s="11">
        <v>1</v>
      </c>
      <c r="N113" s="11">
        <v>1</v>
      </c>
      <c r="O113" s="11">
        <v>4</v>
      </c>
      <c r="P113" s="11">
        <v>2</v>
      </c>
      <c r="Q113" s="11">
        <v>3</v>
      </c>
      <c r="R113" s="11">
        <v>2</v>
      </c>
      <c r="S113" s="11">
        <v>2</v>
      </c>
      <c r="T113" s="11">
        <v>3</v>
      </c>
      <c r="U113" s="10">
        <v>5</v>
      </c>
      <c r="V113" s="6">
        <f t="shared" ca="1" si="6"/>
        <v>41.091812433271144</v>
      </c>
      <c r="W113" s="6">
        <f t="shared" ca="1" si="6"/>
        <v>41.524926014578305</v>
      </c>
      <c r="X113" s="6">
        <f t="shared" ca="1" si="6"/>
        <v>40.949264928781226</v>
      </c>
      <c r="Y113" s="6">
        <f t="shared" ca="1" si="5"/>
        <v>41.160984129464374</v>
      </c>
      <c r="Z113" s="6">
        <f t="shared" ca="1" si="7"/>
        <v>40.949264928781226</v>
      </c>
      <c r="AA113" s="6">
        <f t="shared" ca="1" si="8"/>
        <v>3</v>
      </c>
    </row>
    <row r="114" spans="1:27">
      <c r="A114" s="11">
        <v>113</v>
      </c>
      <c r="B114" s="12">
        <v>3</v>
      </c>
      <c r="C114" s="11">
        <v>2</v>
      </c>
      <c r="D114" s="11">
        <v>2</v>
      </c>
      <c r="E114" s="11">
        <v>2</v>
      </c>
      <c r="F114" s="11">
        <v>3</v>
      </c>
      <c r="G114" s="11">
        <v>2</v>
      </c>
      <c r="H114" s="11">
        <v>3</v>
      </c>
      <c r="I114" s="11">
        <v>2</v>
      </c>
      <c r="J114" s="11">
        <v>2</v>
      </c>
      <c r="K114" s="11">
        <v>3</v>
      </c>
      <c r="L114" s="11">
        <v>3</v>
      </c>
      <c r="M114" s="11">
        <v>3</v>
      </c>
      <c r="N114" s="11">
        <v>2</v>
      </c>
      <c r="O114" s="11">
        <v>3</v>
      </c>
      <c r="P114" s="11">
        <v>4</v>
      </c>
      <c r="Q114" s="11">
        <v>2</v>
      </c>
      <c r="R114" s="11">
        <v>3</v>
      </c>
      <c r="S114" s="11">
        <v>4</v>
      </c>
      <c r="T114" s="11">
        <v>3</v>
      </c>
      <c r="U114" s="10">
        <v>4</v>
      </c>
      <c r="V114" s="6">
        <f t="shared" ca="1" si="6"/>
        <v>11.03569867599008</v>
      </c>
      <c r="W114" s="6">
        <f t="shared" ca="1" si="6"/>
        <v>11.083568048556085</v>
      </c>
      <c r="X114" s="6">
        <f t="shared" ca="1" si="6"/>
        <v>11.012645859201131</v>
      </c>
      <c r="Y114" s="6">
        <f t="shared" ca="1" si="5"/>
        <v>11.152222984325705</v>
      </c>
      <c r="Z114" s="6">
        <f t="shared" ca="1" si="7"/>
        <v>11.012645859201131</v>
      </c>
      <c r="AA114" s="6">
        <f t="shared" ca="1" si="8"/>
        <v>3</v>
      </c>
    </row>
    <row r="115" spans="1:27">
      <c r="A115" s="11">
        <v>114</v>
      </c>
      <c r="B115" s="12">
        <v>3</v>
      </c>
      <c r="C115" s="11">
        <v>2</v>
      </c>
      <c r="D115" s="11">
        <v>1</v>
      </c>
      <c r="E115" s="11">
        <v>3</v>
      </c>
      <c r="F115" s="11">
        <v>4</v>
      </c>
      <c r="G115" s="11">
        <v>4</v>
      </c>
      <c r="H115" s="11">
        <v>4</v>
      </c>
      <c r="I115" s="11">
        <v>1</v>
      </c>
      <c r="J115" s="11">
        <v>1</v>
      </c>
      <c r="K115" s="11">
        <v>1</v>
      </c>
      <c r="L115" s="11">
        <v>1</v>
      </c>
      <c r="M115" s="11">
        <v>1</v>
      </c>
      <c r="N115" s="11">
        <v>1</v>
      </c>
      <c r="O115" s="11">
        <v>5</v>
      </c>
      <c r="P115" s="11">
        <v>1</v>
      </c>
      <c r="Q115" s="11">
        <v>5</v>
      </c>
      <c r="R115" s="11">
        <v>1</v>
      </c>
      <c r="S115" s="11">
        <v>5</v>
      </c>
      <c r="T115" s="11">
        <v>1</v>
      </c>
      <c r="U115" s="10">
        <v>1</v>
      </c>
      <c r="V115" s="6">
        <f t="shared" ca="1" si="6"/>
        <v>59.85744232928257</v>
      </c>
      <c r="W115" s="6">
        <f t="shared" ca="1" si="6"/>
        <v>59.585466591645499</v>
      </c>
      <c r="X115" s="6">
        <f t="shared" ca="1" si="6"/>
        <v>59.652793854201803</v>
      </c>
      <c r="Y115" s="6">
        <f t="shared" ca="1" si="5"/>
        <v>59.944634919366059</v>
      </c>
      <c r="Z115" s="6">
        <f t="shared" ca="1" si="7"/>
        <v>59.585466591645499</v>
      </c>
      <c r="AA115" s="6">
        <f t="shared" ca="1" si="8"/>
        <v>2</v>
      </c>
    </row>
    <row r="116" spans="1:27">
      <c r="A116" s="11">
        <v>115</v>
      </c>
      <c r="B116" s="12">
        <v>3</v>
      </c>
      <c r="C116" s="11">
        <v>4</v>
      </c>
      <c r="D116" s="11">
        <v>2</v>
      </c>
      <c r="E116" s="11">
        <v>3</v>
      </c>
      <c r="F116" s="11">
        <v>2</v>
      </c>
      <c r="G116" s="11">
        <v>3</v>
      </c>
      <c r="H116" s="11">
        <v>3</v>
      </c>
      <c r="I116" s="11">
        <v>2</v>
      </c>
      <c r="J116" s="11">
        <v>2</v>
      </c>
      <c r="K116" s="11">
        <v>4</v>
      </c>
      <c r="L116" s="11">
        <v>2</v>
      </c>
      <c r="M116" s="11">
        <v>1</v>
      </c>
      <c r="N116" s="11">
        <v>2</v>
      </c>
      <c r="O116" s="11">
        <v>2</v>
      </c>
      <c r="P116" s="11">
        <v>4</v>
      </c>
      <c r="Q116" s="11">
        <v>2</v>
      </c>
      <c r="R116" s="11">
        <v>2</v>
      </c>
      <c r="S116" s="11">
        <v>2</v>
      </c>
      <c r="T116" s="11">
        <v>4</v>
      </c>
      <c r="U116" s="10">
        <v>2</v>
      </c>
      <c r="V116" s="6">
        <f t="shared" ca="1" si="6"/>
        <v>18.784006900097097</v>
      </c>
      <c r="W116" s="6">
        <f t="shared" ca="1" si="6"/>
        <v>18.98131073731161</v>
      </c>
      <c r="X116" s="6">
        <f t="shared" ca="1" si="6"/>
        <v>18.96635434339413</v>
      </c>
      <c r="Y116" s="6">
        <f t="shared" ca="1" si="5"/>
        <v>18.828223852507897</v>
      </c>
      <c r="Z116" s="6">
        <f t="shared" ca="1" si="7"/>
        <v>18.784006900097097</v>
      </c>
      <c r="AA116" s="6">
        <f t="shared" ca="1" si="8"/>
        <v>1</v>
      </c>
    </row>
    <row r="117" spans="1:27">
      <c r="A117" s="11">
        <v>116</v>
      </c>
      <c r="B117" s="12">
        <v>4</v>
      </c>
      <c r="C117" s="11">
        <v>2</v>
      </c>
      <c r="D117" s="11">
        <v>2</v>
      </c>
      <c r="E117" s="11">
        <v>3</v>
      </c>
      <c r="F117" s="11">
        <v>4</v>
      </c>
      <c r="G117" s="11">
        <v>2</v>
      </c>
      <c r="H117" s="11">
        <v>3</v>
      </c>
      <c r="I117" s="11">
        <v>4</v>
      </c>
      <c r="J117" s="11">
        <v>3</v>
      </c>
      <c r="K117" s="11">
        <v>2</v>
      </c>
      <c r="L117" s="11">
        <v>3</v>
      </c>
      <c r="M117" s="11">
        <v>3</v>
      </c>
      <c r="N117" s="11">
        <v>2</v>
      </c>
      <c r="O117" s="11">
        <v>2</v>
      </c>
      <c r="P117" s="11">
        <v>5</v>
      </c>
      <c r="Q117" s="11">
        <v>1</v>
      </c>
      <c r="R117" s="11">
        <v>3</v>
      </c>
      <c r="S117" s="11">
        <v>4</v>
      </c>
      <c r="T117" s="11">
        <v>3</v>
      </c>
      <c r="U117" s="10">
        <v>4</v>
      </c>
      <c r="V117" s="6">
        <f t="shared" ca="1" si="6"/>
        <v>19.008542811085213</v>
      </c>
      <c r="W117" s="6">
        <f t="shared" ca="1" si="6"/>
        <v>18.952941326147993</v>
      </c>
      <c r="X117" s="6">
        <f t="shared" ca="1" si="6"/>
        <v>19.065343185089535</v>
      </c>
      <c r="Y117" s="6">
        <f t="shared" ca="1" si="5"/>
        <v>19.307827671265063</v>
      </c>
      <c r="Z117" s="6">
        <f t="shared" ca="1" si="7"/>
        <v>18.952941326147993</v>
      </c>
      <c r="AA117" s="6">
        <f t="shared" ca="1" si="8"/>
        <v>2</v>
      </c>
    </row>
    <row r="118" spans="1:27">
      <c r="A118" s="11">
        <v>117</v>
      </c>
      <c r="B118" s="12">
        <v>2</v>
      </c>
      <c r="C118" s="11">
        <v>1</v>
      </c>
      <c r="D118" s="11">
        <v>5</v>
      </c>
      <c r="E118" s="11">
        <v>3</v>
      </c>
      <c r="F118" s="11">
        <v>2</v>
      </c>
      <c r="G118" s="11">
        <v>3</v>
      </c>
      <c r="H118" s="11">
        <v>3</v>
      </c>
      <c r="I118" s="11">
        <v>2</v>
      </c>
      <c r="J118" s="11">
        <v>1</v>
      </c>
      <c r="K118" s="11">
        <v>2</v>
      </c>
      <c r="L118" s="11">
        <v>3</v>
      </c>
      <c r="M118" s="11">
        <v>2</v>
      </c>
      <c r="N118" s="11">
        <v>1</v>
      </c>
      <c r="O118" s="11">
        <v>3</v>
      </c>
      <c r="P118" s="11">
        <v>5</v>
      </c>
      <c r="Q118" s="11">
        <v>3</v>
      </c>
      <c r="R118" s="11">
        <v>1</v>
      </c>
      <c r="S118" s="11">
        <v>1</v>
      </c>
      <c r="T118" s="11">
        <v>2</v>
      </c>
      <c r="U118" s="10">
        <v>5</v>
      </c>
      <c r="V118" s="6">
        <f t="shared" ca="1" si="6"/>
        <v>37.872435896505792</v>
      </c>
      <c r="W118" s="6">
        <f t="shared" ca="1" si="6"/>
        <v>38.324012725829363</v>
      </c>
      <c r="X118" s="6">
        <f t="shared" ca="1" si="6"/>
        <v>38.344455737125834</v>
      </c>
      <c r="Y118" s="6">
        <f t="shared" ca="1" si="5"/>
        <v>38.347302902369265</v>
      </c>
      <c r="Z118" s="6">
        <f t="shared" ca="1" si="7"/>
        <v>37.872435896505792</v>
      </c>
      <c r="AA118" s="6">
        <f t="shared" ca="1" si="8"/>
        <v>1</v>
      </c>
    </row>
    <row r="119" spans="1:27">
      <c r="A119" s="11">
        <v>118</v>
      </c>
      <c r="B119" s="12">
        <v>4</v>
      </c>
      <c r="C119" s="11">
        <v>2</v>
      </c>
      <c r="D119" s="11">
        <v>3</v>
      </c>
      <c r="E119" s="11">
        <v>2</v>
      </c>
      <c r="F119" s="11">
        <v>2</v>
      </c>
      <c r="G119" s="11">
        <v>2</v>
      </c>
      <c r="H119" s="11">
        <v>2</v>
      </c>
      <c r="I119" s="11">
        <v>2</v>
      </c>
      <c r="J119" s="11">
        <v>2</v>
      </c>
      <c r="K119" s="11">
        <v>2</v>
      </c>
      <c r="L119" s="11">
        <v>2</v>
      </c>
      <c r="M119" s="11">
        <v>3</v>
      </c>
      <c r="N119" s="11">
        <v>2</v>
      </c>
      <c r="O119" s="11">
        <v>4</v>
      </c>
      <c r="P119" s="11">
        <v>4</v>
      </c>
      <c r="Q119" s="11">
        <v>2</v>
      </c>
      <c r="R119" s="11">
        <v>4</v>
      </c>
      <c r="S119" s="11">
        <v>3</v>
      </c>
      <c r="T119" s="11">
        <v>4</v>
      </c>
      <c r="U119" s="10">
        <v>4</v>
      </c>
      <c r="V119" s="6">
        <f t="shared" ca="1" si="6"/>
        <v>16.809491319718553</v>
      </c>
      <c r="W119" s="6">
        <f t="shared" ca="1" si="6"/>
        <v>17.324241732231428</v>
      </c>
      <c r="X119" s="6">
        <f t="shared" ca="1" si="6"/>
        <v>16.847206388532726</v>
      </c>
      <c r="Y119" s="6">
        <f t="shared" ca="1" si="5"/>
        <v>17.120449604620237</v>
      </c>
      <c r="Z119" s="6">
        <f t="shared" ca="1" si="7"/>
        <v>16.809491319718553</v>
      </c>
      <c r="AA119" s="6">
        <f t="shared" ca="1" si="8"/>
        <v>1</v>
      </c>
    </row>
    <row r="120" spans="1:27">
      <c r="A120" s="11">
        <v>119</v>
      </c>
      <c r="B120" s="12">
        <v>5</v>
      </c>
      <c r="C120" s="11">
        <v>2</v>
      </c>
      <c r="D120" s="11">
        <v>1</v>
      </c>
      <c r="E120" s="11">
        <v>2</v>
      </c>
      <c r="F120" s="11">
        <v>4</v>
      </c>
      <c r="G120" s="11">
        <v>4</v>
      </c>
      <c r="H120" s="11">
        <v>2</v>
      </c>
      <c r="I120" s="11">
        <v>1</v>
      </c>
      <c r="J120" s="11">
        <v>1</v>
      </c>
      <c r="K120" s="11">
        <v>4</v>
      </c>
      <c r="L120" s="11">
        <v>1</v>
      </c>
      <c r="M120" s="11">
        <v>1</v>
      </c>
      <c r="N120" s="11">
        <v>4</v>
      </c>
      <c r="O120" s="11">
        <v>5</v>
      </c>
      <c r="P120" s="11">
        <v>5</v>
      </c>
      <c r="Q120" s="11">
        <v>1</v>
      </c>
      <c r="R120" s="11">
        <v>1</v>
      </c>
      <c r="S120" s="11">
        <v>2</v>
      </c>
      <c r="T120" s="11">
        <v>2</v>
      </c>
      <c r="U120" s="10">
        <v>4</v>
      </c>
      <c r="V120" s="6">
        <f t="shared" ca="1" si="6"/>
        <v>50.370566357896408</v>
      </c>
      <c r="W120" s="6">
        <f t="shared" ca="1" si="6"/>
        <v>50.725733407820222</v>
      </c>
      <c r="X120" s="6">
        <f t="shared" ca="1" si="6"/>
        <v>49.815817124689815</v>
      </c>
      <c r="Y120" s="6">
        <f t="shared" ca="1" si="5"/>
        <v>50.027925670139247</v>
      </c>
      <c r="Z120" s="6">
        <f t="shared" ca="1" si="7"/>
        <v>49.815817124689815</v>
      </c>
      <c r="AA120" s="6">
        <f t="shared" ca="1" si="8"/>
        <v>3</v>
      </c>
    </row>
    <row r="121" spans="1:27">
      <c r="A121" s="11">
        <v>120</v>
      </c>
      <c r="B121" s="12">
        <v>5</v>
      </c>
      <c r="C121" s="11">
        <v>2</v>
      </c>
      <c r="D121" s="11">
        <v>1</v>
      </c>
      <c r="E121" s="11">
        <v>2</v>
      </c>
      <c r="F121" s="11">
        <v>1</v>
      </c>
      <c r="G121" s="11">
        <v>2</v>
      </c>
      <c r="H121" s="11">
        <v>3</v>
      </c>
      <c r="I121" s="11">
        <v>2</v>
      </c>
      <c r="J121" s="11">
        <v>2</v>
      </c>
      <c r="K121" s="11">
        <v>2</v>
      </c>
      <c r="L121" s="11">
        <v>3</v>
      </c>
      <c r="M121" s="11">
        <v>2</v>
      </c>
      <c r="N121" s="11">
        <v>3</v>
      </c>
      <c r="O121" s="11">
        <v>4</v>
      </c>
      <c r="P121" s="11">
        <v>2</v>
      </c>
      <c r="Q121" s="11">
        <v>1</v>
      </c>
      <c r="R121" s="11">
        <v>1</v>
      </c>
      <c r="S121" s="11">
        <v>1</v>
      </c>
      <c r="T121" s="11">
        <v>3</v>
      </c>
      <c r="U121" s="10">
        <v>1</v>
      </c>
      <c r="V121" s="6">
        <f t="shared" ca="1" si="6"/>
        <v>36.758371562996444</v>
      </c>
      <c r="W121" s="6">
        <f t="shared" ca="1" si="6"/>
        <v>37.60285563383605</v>
      </c>
      <c r="X121" s="6">
        <f t="shared" ca="1" si="6"/>
        <v>36.600746837067391</v>
      </c>
      <c r="Y121" s="6">
        <f t="shared" ca="1" si="5"/>
        <v>36.771133989664143</v>
      </c>
      <c r="Z121" s="6">
        <f t="shared" ca="1" si="7"/>
        <v>36.600746837067391</v>
      </c>
      <c r="AA121" s="6">
        <f t="shared" ca="1" si="8"/>
        <v>3</v>
      </c>
    </row>
    <row r="122" spans="1:27">
      <c r="A122" s="11">
        <v>121</v>
      </c>
      <c r="B122" s="12">
        <v>2</v>
      </c>
      <c r="C122" s="11">
        <v>1</v>
      </c>
      <c r="D122" s="11">
        <v>2</v>
      </c>
      <c r="E122" s="11">
        <v>3</v>
      </c>
      <c r="F122" s="11">
        <v>3</v>
      </c>
      <c r="G122" s="11">
        <v>3</v>
      </c>
      <c r="H122" s="11">
        <v>4</v>
      </c>
      <c r="I122" s="11">
        <v>2</v>
      </c>
      <c r="J122" s="11">
        <v>2</v>
      </c>
      <c r="K122" s="11">
        <v>3</v>
      </c>
      <c r="L122" s="11">
        <v>2</v>
      </c>
      <c r="M122" s="11">
        <v>2</v>
      </c>
      <c r="N122" s="11">
        <v>2</v>
      </c>
      <c r="O122" s="11">
        <v>4</v>
      </c>
      <c r="P122" s="11">
        <v>4</v>
      </c>
      <c r="Q122" s="11">
        <v>3</v>
      </c>
      <c r="R122" s="11">
        <v>3</v>
      </c>
      <c r="S122" s="11">
        <v>2</v>
      </c>
      <c r="T122" s="11">
        <v>3</v>
      </c>
      <c r="U122" s="10">
        <v>2</v>
      </c>
      <c r="V122" s="6">
        <f t="shared" ca="1" si="6"/>
        <v>15.802404731436733</v>
      </c>
      <c r="W122" s="6">
        <f t="shared" ca="1" si="6"/>
        <v>15.968223290387273</v>
      </c>
      <c r="X122" s="6">
        <f t="shared" ca="1" si="6"/>
        <v>15.855659712667896</v>
      </c>
      <c r="Y122" s="6">
        <f t="shared" ca="1" si="5"/>
        <v>15.918636253536222</v>
      </c>
      <c r="Z122" s="6">
        <f t="shared" ca="1" si="7"/>
        <v>15.802404731436733</v>
      </c>
      <c r="AA122" s="6">
        <f t="shared" ca="1" si="8"/>
        <v>1</v>
      </c>
    </row>
    <row r="123" spans="1:27">
      <c r="A123" s="11">
        <v>122</v>
      </c>
      <c r="B123" s="12">
        <v>3</v>
      </c>
      <c r="C123" s="11">
        <v>3</v>
      </c>
      <c r="D123" s="11">
        <v>2</v>
      </c>
      <c r="E123" s="11">
        <v>3</v>
      </c>
      <c r="F123" s="11">
        <v>1</v>
      </c>
      <c r="G123" s="11">
        <v>2</v>
      </c>
      <c r="H123" s="11">
        <v>2</v>
      </c>
      <c r="I123" s="11">
        <v>3</v>
      </c>
      <c r="J123" s="11">
        <v>2</v>
      </c>
      <c r="K123" s="11">
        <v>2</v>
      </c>
      <c r="L123" s="11">
        <v>3</v>
      </c>
      <c r="M123" s="11">
        <v>1</v>
      </c>
      <c r="N123" s="11">
        <v>2</v>
      </c>
      <c r="O123" s="11">
        <v>3</v>
      </c>
      <c r="P123" s="11">
        <v>4</v>
      </c>
      <c r="Q123" s="11">
        <v>2</v>
      </c>
      <c r="R123" s="11">
        <v>3</v>
      </c>
      <c r="S123" s="11">
        <v>2</v>
      </c>
      <c r="T123" s="11">
        <v>1</v>
      </c>
      <c r="U123" s="10">
        <v>3</v>
      </c>
      <c r="V123" s="6">
        <f t="shared" ca="1" si="6"/>
        <v>20.930087416573887</v>
      </c>
      <c r="W123" s="6">
        <f t="shared" ca="1" si="6"/>
        <v>21.190232126894482</v>
      </c>
      <c r="X123" s="6">
        <f t="shared" ca="1" si="6"/>
        <v>20.953892518072443</v>
      </c>
      <c r="Y123" s="6">
        <f t="shared" ca="1" si="5"/>
        <v>21.007720308284924</v>
      </c>
      <c r="Z123" s="6">
        <f t="shared" ca="1" si="7"/>
        <v>20.930087416573887</v>
      </c>
      <c r="AA123" s="6">
        <f t="shared" ca="1" si="8"/>
        <v>1</v>
      </c>
    </row>
    <row r="124" spans="1:27">
      <c r="A124" s="11">
        <v>123</v>
      </c>
      <c r="B124" s="12">
        <v>3</v>
      </c>
      <c r="C124" s="11">
        <v>3</v>
      </c>
      <c r="D124" s="11">
        <v>1</v>
      </c>
      <c r="E124" s="11">
        <v>2</v>
      </c>
      <c r="F124" s="11">
        <v>2</v>
      </c>
      <c r="G124" s="11">
        <v>4</v>
      </c>
      <c r="H124" s="11">
        <v>3</v>
      </c>
      <c r="I124" s="11">
        <v>2</v>
      </c>
      <c r="J124" s="11">
        <v>2</v>
      </c>
      <c r="K124" s="11">
        <v>3</v>
      </c>
      <c r="L124" s="11">
        <v>2</v>
      </c>
      <c r="M124" s="11">
        <v>2</v>
      </c>
      <c r="N124" s="11">
        <v>3</v>
      </c>
      <c r="O124" s="11">
        <v>3</v>
      </c>
      <c r="P124" s="11">
        <v>4</v>
      </c>
      <c r="Q124" s="11">
        <v>3</v>
      </c>
      <c r="R124" s="11">
        <v>3</v>
      </c>
      <c r="S124" s="11">
        <v>2</v>
      </c>
      <c r="T124" s="11">
        <v>3</v>
      </c>
      <c r="U124" s="10">
        <v>3</v>
      </c>
      <c r="V124" s="6">
        <f t="shared" ca="1" si="6"/>
        <v>13.058232822779031</v>
      </c>
      <c r="W124" s="6">
        <f t="shared" ca="1" si="6"/>
        <v>12.987113918541912</v>
      </c>
      <c r="X124" s="6">
        <f t="shared" ca="1" si="6"/>
        <v>12.856573351879161</v>
      </c>
      <c r="Y124" s="6">
        <f t="shared" ca="1" si="5"/>
        <v>12.823886513772891</v>
      </c>
      <c r="Z124" s="6">
        <f t="shared" ca="1" si="7"/>
        <v>12.823886513772891</v>
      </c>
      <c r="AA124" s="6">
        <f t="shared" ca="1" si="8"/>
        <v>4</v>
      </c>
    </row>
    <row r="125" spans="1:27">
      <c r="A125" s="11">
        <v>124</v>
      </c>
      <c r="B125" s="12">
        <v>2</v>
      </c>
      <c r="C125" s="11">
        <v>4</v>
      </c>
      <c r="D125" s="11">
        <v>3</v>
      </c>
      <c r="E125" s="11">
        <v>4</v>
      </c>
      <c r="F125" s="11">
        <v>5</v>
      </c>
      <c r="G125" s="11">
        <v>4</v>
      </c>
      <c r="H125" s="11">
        <v>4</v>
      </c>
      <c r="I125" s="11">
        <v>3</v>
      </c>
      <c r="J125" s="11">
        <v>2</v>
      </c>
      <c r="K125" s="11">
        <v>3</v>
      </c>
      <c r="L125" s="11">
        <v>4</v>
      </c>
      <c r="M125" s="11">
        <v>3</v>
      </c>
      <c r="N125" s="11">
        <v>3</v>
      </c>
      <c r="O125" s="11">
        <v>1</v>
      </c>
      <c r="P125" s="11">
        <v>2</v>
      </c>
      <c r="Q125" s="11">
        <v>3</v>
      </c>
      <c r="R125" s="11">
        <v>4</v>
      </c>
      <c r="S125" s="11">
        <v>3</v>
      </c>
      <c r="T125" s="11">
        <v>4</v>
      </c>
      <c r="U125" s="10">
        <v>5</v>
      </c>
      <c r="V125" s="6">
        <f t="shared" ca="1" si="6"/>
        <v>22.071855652328303</v>
      </c>
      <c r="W125" s="6">
        <f t="shared" ca="1" si="6"/>
        <v>21.531283588071155</v>
      </c>
      <c r="X125" s="6">
        <f t="shared" ca="1" si="6"/>
        <v>21.838743469132574</v>
      </c>
      <c r="Y125" s="6">
        <f t="shared" ca="1" si="5"/>
        <v>22.601392257586095</v>
      </c>
      <c r="Z125" s="6">
        <f t="shared" ca="1" si="7"/>
        <v>21.531283588071155</v>
      </c>
      <c r="AA125" s="6">
        <f t="shared" ca="1" si="8"/>
        <v>2</v>
      </c>
    </row>
    <row r="126" spans="1:27">
      <c r="A126" s="11">
        <v>125</v>
      </c>
      <c r="B126" s="12">
        <v>2</v>
      </c>
      <c r="C126" s="11">
        <v>2</v>
      </c>
      <c r="D126" s="11">
        <v>4</v>
      </c>
      <c r="E126" s="11">
        <v>2</v>
      </c>
      <c r="F126" s="11">
        <v>5</v>
      </c>
      <c r="G126" s="11">
        <v>3</v>
      </c>
      <c r="H126" s="11">
        <v>3</v>
      </c>
      <c r="I126" s="11">
        <v>2</v>
      </c>
      <c r="J126" s="11">
        <v>2</v>
      </c>
      <c r="K126" s="11">
        <v>3</v>
      </c>
      <c r="L126" s="11">
        <v>4</v>
      </c>
      <c r="M126" s="11">
        <v>2</v>
      </c>
      <c r="N126" s="11">
        <v>3</v>
      </c>
      <c r="O126" s="11">
        <v>4</v>
      </c>
      <c r="P126" s="11">
        <v>3</v>
      </c>
      <c r="Q126" s="11">
        <v>2</v>
      </c>
      <c r="R126" s="11">
        <v>3</v>
      </c>
      <c r="S126" s="11">
        <v>4</v>
      </c>
      <c r="T126" s="11">
        <v>3</v>
      </c>
      <c r="U126" s="10">
        <v>5</v>
      </c>
      <c r="V126" s="6">
        <f t="shared" ca="1" si="6"/>
        <v>19.126753785016774</v>
      </c>
      <c r="W126" s="6">
        <f t="shared" ca="1" si="6"/>
        <v>19.149215836263568</v>
      </c>
      <c r="X126" s="6">
        <f t="shared" ca="1" si="6"/>
        <v>18.996697612763519</v>
      </c>
      <c r="Y126" s="6">
        <f t="shared" ca="1" si="5"/>
        <v>19.528322548583986</v>
      </c>
      <c r="Z126" s="6">
        <f t="shared" ca="1" si="7"/>
        <v>18.996697612763519</v>
      </c>
      <c r="AA126" s="6">
        <f t="shared" ca="1" si="8"/>
        <v>3</v>
      </c>
    </row>
    <row r="127" spans="1:27">
      <c r="A127" s="11">
        <v>126</v>
      </c>
      <c r="B127" s="12">
        <v>4</v>
      </c>
      <c r="C127" s="11">
        <v>1</v>
      </c>
      <c r="D127" s="11">
        <v>1</v>
      </c>
      <c r="E127" s="11">
        <v>2</v>
      </c>
      <c r="F127" s="11">
        <v>2</v>
      </c>
      <c r="G127" s="11">
        <v>2</v>
      </c>
      <c r="H127" s="11">
        <v>4</v>
      </c>
      <c r="I127" s="11">
        <v>2</v>
      </c>
      <c r="J127" s="11">
        <v>2</v>
      </c>
      <c r="K127" s="11">
        <v>2</v>
      </c>
      <c r="L127" s="11">
        <v>1</v>
      </c>
      <c r="M127" s="11">
        <v>4</v>
      </c>
      <c r="N127" s="11">
        <v>4</v>
      </c>
      <c r="O127" s="11">
        <v>4</v>
      </c>
      <c r="P127" s="11">
        <v>1</v>
      </c>
      <c r="Q127" s="11">
        <v>2</v>
      </c>
      <c r="R127" s="11">
        <v>3</v>
      </c>
      <c r="S127" s="11">
        <v>2</v>
      </c>
      <c r="T127" s="11">
        <v>3</v>
      </c>
      <c r="U127" s="10">
        <v>4</v>
      </c>
      <c r="V127" s="6">
        <f t="shared" ca="1" si="6"/>
        <v>30.056008457576624</v>
      </c>
      <c r="W127" s="6">
        <f t="shared" ca="1" si="6"/>
        <v>30.5949694751396</v>
      </c>
      <c r="X127" s="6">
        <f t="shared" ca="1" si="6"/>
        <v>29.754067568626798</v>
      </c>
      <c r="Y127" s="6">
        <f t="shared" ca="1" si="5"/>
        <v>30.057680990596374</v>
      </c>
      <c r="Z127" s="6">
        <f t="shared" ca="1" si="7"/>
        <v>29.754067568626798</v>
      </c>
      <c r="AA127" s="6">
        <f t="shared" ca="1" si="8"/>
        <v>3</v>
      </c>
    </row>
    <row r="128" spans="1:27">
      <c r="A128" s="11">
        <v>127</v>
      </c>
      <c r="B128" s="12">
        <v>1</v>
      </c>
      <c r="C128" s="11">
        <v>1</v>
      </c>
      <c r="D128" s="11">
        <v>1</v>
      </c>
      <c r="E128" s="11">
        <v>4</v>
      </c>
      <c r="F128" s="11">
        <v>3</v>
      </c>
      <c r="G128" s="11">
        <v>2</v>
      </c>
      <c r="H128" s="11">
        <v>2</v>
      </c>
      <c r="I128" s="11">
        <v>2</v>
      </c>
      <c r="J128" s="11">
        <v>2</v>
      </c>
      <c r="K128" s="11">
        <v>2</v>
      </c>
      <c r="L128" s="11">
        <v>2</v>
      </c>
      <c r="M128" s="11">
        <v>2</v>
      </c>
      <c r="N128" s="11">
        <v>3</v>
      </c>
      <c r="O128" s="11">
        <v>4</v>
      </c>
      <c r="P128" s="11">
        <v>3</v>
      </c>
      <c r="Q128" s="11">
        <v>4</v>
      </c>
      <c r="R128" s="11">
        <v>4</v>
      </c>
      <c r="S128" s="11">
        <v>3</v>
      </c>
      <c r="T128" s="11">
        <v>2</v>
      </c>
      <c r="U128" s="10">
        <v>4</v>
      </c>
      <c r="V128" s="6">
        <f t="shared" ca="1" si="6"/>
        <v>25.018500954219096</v>
      </c>
      <c r="W128" s="6">
        <f t="shared" ca="1" si="6"/>
        <v>24.984637978471902</v>
      </c>
      <c r="X128" s="6">
        <f t="shared" ca="1" si="6"/>
        <v>24.912950177806859</v>
      </c>
      <c r="Y128" s="6">
        <f t="shared" ca="1" si="5"/>
        <v>25.090842072052034</v>
      </c>
      <c r="Z128" s="6">
        <f t="shared" ca="1" si="7"/>
        <v>24.912950177806859</v>
      </c>
      <c r="AA128" s="6">
        <f t="shared" ca="1" si="8"/>
        <v>3</v>
      </c>
    </row>
    <row r="129" spans="1:27">
      <c r="A129" s="11">
        <v>128</v>
      </c>
      <c r="B129" s="12">
        <v>1</v>
      </c>
      <c r="C129" s="11">
        <v>3</v>
      </c>
      <c r="D129" s="11">
        <v>2</v>
      </c>
      <c r="E129" s="11">
        <v>3</v>
      </c>
      <c r="F129" s="11">
        <v>4</v>
      </c>
      <c r="G129" s="11">
        <v>4</v>
      </c>
      <c r="H129" s="11">
        <v>3</v>
      </c>
      <c r="I129" s="11">
        <v>3</v>
      </c>
      <c r="J129" s="11">
        <v>3</v>
      </c>
      <c r="K129" s="11">
        <v>3</v>
      </c>
      <c r="L129" s="11">
        <v>3</v>
      </c>
      <c r="M129" s="11">
        <v>3</v>
      </c>
      <c r="N129" s="11">
        <v>2</v>
      </c>
      <c r="O129" s="11">
        <v>3</v>
      </c>
      <c r="P129" s="11">
        <v>3</v>
      </c>
      <c r="Q129" s="11">
        <v>3</v>
      </c>
      <c r="R129" s="11">
        <v>4</v>
      </c>
      <c r="S129" s="11">
        <v>2</v>
      </c>
      <c r="T129" s="11">
        <v>3</v>
      </c>
      <c r="U129" s="10">
        <v>4</v>
      </c>
      <c r="V129" s="6">
        <f t="shared" ca="1" si="6"/>
        <v>11.047651172693969</v>
      </c>
      <c r="W129" s="6">
        <f t="shared" ca="1" si="6"/>
        <v>10.72481501196342</v>
      </c>
      <c r="X129" s="6">
        <f t="shared" ca="1" si="6"/>
        <v>10.952737091505416</v>
      </c>
      <c r="Y129" s="6">
        <f t="shared" ca="1" si="6"/>
        <v>11.276569548661403</v>
      </c>
      <c r="Z129" s="6">
        <f t="shared" ca="1" si="7"/>
        <v>10.72481501196342</v>
      </c>
      <c r="AA129" s="6">
        <f t="shared" ca="1" si="8"/>
        <v>2</v>
      </c>
    </row>
    <row r="130" spans="1:27">
      <c r="A130" s="11">
        <v>129</v>
      </c>
      <c r="B130" s="12">
        <v>2</v>
      </c>
      <c r="C130" s="11">
        <v>3</v>
      </c>
      <c r="D130" s="11">
        <v>4</v>
      </c>
      <c r="E130" s="11">
        <v>2</v>
      </c>
      <c r="F130" s="11">
        <v>3</v>
      </c>
      <c r="G130" s="11">
        <v>2</v>
      </c>
      <c r="H130" s="11">
        <v>4</v>
      </c>
      <c r="I130" s="11">
        <v>3</v>
      </c>
      <c r="J130" s="11">
        <v>3</v>
      </c>
      <c r="K130" s="11">
        <v>4</v>
      </c>
      <c r="L130" s="11">
        <v>2</v>
      </c>
      <c r="M130" s="11">
        <v>3</v>
      </c>
      <c r="N130" s="11">
        <v>4</v>
      </c>
      <c r="O130" s="11">
        <v>4</v>
      </c>
      <c r="P130" s="11">
        <v>2</v>
      </c>
      <c r="Q130" s="11">
        <v>4</v>
      </c>
      <c r="R130" s="11">
        <v>2</v>
      </c>
      <c r="S130" s="11">
        <v>3</v>
      </c>
      <c r="T130" s="11">
        <v>2</v>
      </c>
      <c r="U130" s="10">
        <v>4</v>
      </c>
      <c r="V130" s="6">
        <f t="shared" ref="V130:Y193" ca="1" si="9">SUMXMY2($B130:$U130,AE$2:AE$21)</f>
        <v>14.327009464355433</v>
      </c>
      <c r="W130" s="6">
        <f t="shared" ca="1" si="9"/>
        <v>14.375619129126459</v>
      </c>
      <c r="X130" s="6">
        <f t="shared" ca="1" si="9"/>
        <v>14.444038971568286</v>
      </c>
      <c r="Y130" s="6">
        <f t="shared" ca="1" si="9"/>
        <v>13.923614663624873</v>
      </c>
      <c r="Z130" s="6">
        <f t="shared" ref="Z130:Z193" ca="1" si="10">MIN(V130:Y130)</f>
        <v>13.923614663624873</v>
      </c>
      <c r="AA130" s="6">
        <f t="shared" ca="1" si="8"/>
        <v>4</v>
      </c>
    </row>
    <row r="131" spans="1:27">
      <c r="A131" s="11">
        <v>130</v>
      </c>
      <c r="B131" s="12">
        <v>2</v>
      </c>
      <c r="C131" s="11">
        <v>2</v>
      </c>
      <c r="D131" s="11">
        <v>2</v>
      </c>
      <c r="E131" s="11">
        <v>2</v>
      </c>
      <c r="F131" s="11">
        <v>3</v>
      </c>
      <c r="G131" s="11">
        <v>2</v>
      </c>
      <c r="H131" s="11">
        <v>3</v>
      </c>
      <c r="I131" s="11">
        <v>2</v>
      </c>
      <c r="J131" s="11">
        <v>2</v>
      </c>
      <c r="K131" s="11">
        <v>3</v>
      </c>
      <c r="L131" s="11">
        <v>2</v>
      </c>
      <c r="M131" s="11">
        <v>2</v>
      </c>
      <c r="N131" s="11">
        <v>3</v>
      </c>
      <c r="O131" s="11">
        <v>4</v>
      </c>
      <c r="P131" s="11">
        <v>3</v>
      </c>
      <c r="Q131" s="11">
        <v>2</v>
      </c>
      <c r="R131" s="11">
        <v>2</v>
      </c>
      <c r="S131" s="11">
        <v>2</v>
      </c>
      <c r="T131" s="11">
        <v>2</v>
      </c>
      <c r="U131" s="10">
        <v>4</v>
      </c>
      <c r="V131" s="6">
        <f t="shared" ca="1" si="9"/>
        <v>15.134683579875654</v>
      </c>
      <c r="W131" s="6">
        <f t="shared" ca="1" si="9"/>
        <v>15.401860992551324</v>
      </c>
      <c r="X131" s="6">
        <f t="shared" ca="1" si="9"/>
        <v>15.112786420222021</v>
      </c>
      <c r="Y131" s="6">
        <f t="shared" ca="1" si="9"/>
        <v>15.139420158129342</v>
      </c>
      <c r="Z131" s="6">
        <f t="shared" ca="1" si="10"/>
        <v>15.112786420222021</v>
      </c>
      <c r="AA131" s="6">
        <f t="shared" ref="AA131:AA194" ca="1" si="11">IF(Z131=V131,1,IF(Z131=W131,2,IF(Z131=X131,3,4)))</f>
        <v>3</v>
      </c>
    </row>
    <row r="132" spans="1:27">
      <c r="A132" s="11">
        <v>131</v>
      </c>
      <c r="B132" s="12">
        <v>3</v>
      </c>
      <c r="C132" s="11">
        <v>4</v>
      </c>
      <c r="D132" s="11">
        <v>2</v>
      </c>
      <c r="E132" s="11">
        <v>2</v>
      </c>
      <c r="F132" s="11">
        <v>5</v>
      </c>
      <c r="G132" s="11">
        <v>5</v>
      </c>
      <c r="H132" s="11">
        <v>5</v>
      </c>
      <c r="I132" s="11">
        <v>5</v>
      </c>
      <c r="J132" s="11">
        <v>4</v>
      </c>
      <c r="K132" s="11">
        <v>4</v>
      </c>
      <c r="L132" s="11">
        <v>1</v>
      </c>
      <c r="M132" s="11">
        <v>1</v>
      </c>
      <c r="N132" s="11">
        <v>3</v>
      </c>
      <c r="O132" s="11">
        <v>4</v>
      </c>
      <c r="P132" s="11">
        <v>4</v>
      </c>
      <c r="Q132" s="11">
        <v>3</v>
      </c>
      <c r="R132" s="11">
        <v>4</v>
      </c>
      <c r="S132" s="11">
        <v>4</v>
      </c>
      <c r="T132" s="11">
        <v>3</v>
      </c>
      <c r="U132" s="10">
        <v>5</v>
      </c>
      <c r="V132" s="6">
        <f t="shared" ca="1" si="9"/>
        <v>37.457393169295543</v>
      </c>
      <c r="W132" s="6">
        <f t="shared" ca="1" si="9"/>
        <v>36.86147789659281</v>
      </c>
      <c r="X132" s="6">
        <f t="shared" ca="1" si="9"/>
        <v>37.170647797960179</v>
      </c>
      <c r="Y132" s="6">
        <f t="shared" ca="1" si="9"/>
        <v>37.084731541734193</v>
      </c>
      <c r="Z132" s="6">
        <f t="shared" ca="1" si="10"/>
        <v>36.86147789659281</v>
      </c>
      <c r="AA132" s="6">
        <f t="shared" ca="1" si="11"/>
        <v>2</v>
      </c>
    </row>
    <row r="133" spans="1:27">
      <c r="A133" s="11">
        <v>132</v>
      </c>
      <c r="B133" s="12">
        <v>2</v>
      </c>
      <c r="C133" s="11">
        <v>2</v>
      </c>
      <c r="D133" s="11">
        <v>2</v>
      </c>
      <c r="E133" s="11">
        <v>2</v>
      </c>
      <c r="F133" s="11">
        <v>3</v>
      </c>
      <c r="G133" s="11">
        <v>5</v>
      </c>
      <c r="H133" s="11">
        <v>4</v>
      </c>
      <c r="I133" s="11">
        <v>2</v>
      </c>
      <c r="J133" s="11">
        <v>1</v>
      </c>
      <c r="K133" s="11">
        <v>4</v>
      </c>
      <c r="L133" s="11">
        <v>2</v>
      </c>
      <c r="M133" s="11">
        <v>2</v>
      </c>
      <c r="N133" s="11">
        <v>2</v>
      </c>
      <c r="O133" s="11">
        <v>4</v>
      </c>
      <c r="P133" s="11">
        <v>4</v>
      </c>
      <c r="Q133" s="11">
        <v>2</v>
      </c>
      <c r="R133" s="11">
        <v>3</v>
      </c>
      <c r="S133" s="11">
        <v>5</v>
      </c>
      <c r="T133" s="11">
        <v>3</v>
      </c>
      <c r="U133" s="10">
        <v>2</v>
      </c>
      <c r="V133" s="6">
        <f t="shared" ca="1" si="9"/>
        <v>25.781198140470611</v>
      </c>
      <c r="W133" s="6">
        <f t="shared" ca="1" si="9"/>
        <v>25.759636389475272</v>
      </c>
      <c r="X133" s="6">
        <f t="shared" ca="1" si="9"/>
        <v>25.723953315296349</v>
      </c>
      <c r="Y133" s="6">
        <f t="shared" ca="1" si="9"/>
        <v>25.891396033516266</v>
      </c>
      <c r="Z133" s="6">
        <f t="shared" ca="1" si="10"/>
        <v>25.723953315296349</v>
      </c>
      <c r="AA133" s="6">
        <f t="shared" ca="1" si="11"/>
        <v>3</v>
      </c>
    </row>
    <row r="134" spans="1:27">
      <c r="A134" s="11">
        <v>133</v>
      </c>
      <c r="B134" s="12">
        <v>2</v>
      </c>
      <c r="C134" s="11">
        <v>1</v>
      </c>
      <c r="D134" s="11">
        <v>1</v>
      </c>
      <c r="E134" s="11">
        <v>3</v>
      </c>
      <c r="F134" s="11">
        <v>3</v>
      </c>
      <c r="G134" s="11">
        <v>4</v>
      </c>
      <c r="H134" s="11">
        <v>3</v>
      </c>
      <c r="I134" s="11">
        <v>2</v>
      </c>
      <c r="J134" s="11">
        <v>4</v>
      </c>
      <c r="K134" s="11">
        <v>3</v>
      </c>
      <c r="L134" s="11">
        <v>1</v>
      </c>
      <c r="M134" s="11">
        <v>1</v>
      </c>
      <c r="N134" s="11">
        <v>4</v>
      </c>
      <c r="O134" s="11">
        <v>2</v>
      </c>
      <c r="P134" s="11">
        <v>3</v>
      </c>
      <c r="Q134" s="11">
        <v>2</v>
      </c>
      <c r="R134" s="11">
        <v>3</v>
      </c>
      <c r="S134" s="11">
        <v>2</v>
      </c>
      <c r="T134" s="11">
        <v>3</v>
      </c>
      <c r="U134" s="10">
        <v>4</v>
      </c>
      <c r="V134" s="6">
        <f t="shared" ca="1" si="9"/>
        <v>25.11066532421707</v>
      </c>
      <c r="W134" s="6">
        <f t="shared" ca="1" si="9"/>
        <v>25.212528476238138</v>
      </c>
      <c r="X134" s="6">
        <f t="shared" ca="1" si="9"/>
        <v>25.101288247966732</v>
      </c>
      <c r="Y134" s="6">
        <f t="shared" ca="1" si="9"/>
        <v>24.995961577487616</v>
      </c>
      <c r="Z134" s="6">
        <f t="shared" ca="1" si="10"/>
        <v>24.995961577487616</v>
      </c>
      <c r="AA134" s="6">
        <f t="shared" ca="1" si="11"/>
        <v>4</v>
      </c>
    </row>
    <row r="135" spans="1:27">
      <c r="A135" s="11">
        <v>134</v>
      </c>
      <c r="B135" s="12">
        <v>5</v>
      </c>
      <c r="C135" s="11">
        <v>2</v>
      </c>
      <c r="D135" s="11">
        <v>1</v>
      </c>
      <c r="E135" s="11">
        <v>3</v>
      </c>
      <c r="F135" s="11">
        <v>4</v>
      </c>
      <c r="G135" s="11">
        <v>3</v>
      </c>
      <c r="H135" s="11">
        <v>3</v>
      </c>
      <c r="I135" s="11">
        <v>2</v>
      </c>
      <c r="J135" s="11">
        <v>2</v>
      </c>
      <c r="K135" s="11">
        <v>2</v>
      </c>
      <c r="L135" s="11">
        <v>1</v>
      </c>
      <c r="M135" s="11">
        <v>2</v>
      </c>
      <c r="N135" s="11">
        <v>2</v>
      </c>
      <c r="O135" s="11">
        <v>4</v>
      </c>
      <c r="P135" s="11">
        <v>4</v>
      </c>
      <c r="Q135" s="11">
        <v>2</v>
      </c>
      <c r="R135" s="11">
        <v>4</v>
      </c>
      <c r="S135" s="11">
        <v>2</v>
      </c>
      <c r="T135" s="11">
        <v>4</v>
      </c>
      <c r="U135" s="10">
        <v>2</v>
      </c>
      <c r="V135" s="6">
        <f t="shared" ca="1" si="9"/>
        <v>25.807280400358099</v>
      </c>
      <c r="W135" s="6">
        <f t="shared" ca="1" si="9"/>
        <v>25.997786676305122</v>
      </c>
      <c r="X135" s="6">
        <f t="shared" ca="1" si="9"/>
        <v>25.457395823636912</v>
      </c>
      <c r="Y135" s="6">
        <f t="shared" ca="1" si="9"/>
        <v>26.061856828084224</v>
      </c>
      <c r="Z135" s="6">
        <f t="shared" ca="1" si="10"/>
        <v>25.457395823636912</v>
      </c>
      <c r="AA135" s="6">
        <f t="shared" ca="1" si="11"/>
        <v>3</v>
      </c>
    </row>
    <row r="136" spans="1:27">
      <c r="A136" s="11">
        <v>135</v>
      </c>
      <c r="B136" s="12">
        <v>5</v>
      </c>
      <c r="C136" s="11">
        <v>1</v>
      </c>
      <c r="D136" s="11">
        <v>1</v>
      </c>
      <c r="E136" s="11">
        <v>3</v>
      </c>
      <c r="F136" s="11">
        <v>3</v>
      </c>
      <c r="G136" s="11">
        <v>3</v>
      </c>
      <c r="H136" s="11">
        <v>3</v>
      </c>
      <c r="I136" s="11">
        <v>2</v>
      </c>
      <c r="J136" s="11">
        <v>1</v>
      </c>
      <c r="K136" s="11">
        <v>3</v>
      </c>
      <c r="L136" s="11">
        <v>3</v>
      </c>
      <c r="M136" s="11">
        <v>3</v>
      </c>
      <c r="N136" s="11">
        <v>4</v>
      </c>
      <c r="O136" s="11">
        <v>4</v>
      </c>
      <c r="P136" s="11">
        <v>3</v>
      </c>
      <c r="Q136" s="11">
        <v>5</v>
      </c>
      <c r="R136" s="11">
        <v>5</v>
      </c>
      <c r="S136" s="11">
        <v>2</v>
      </c>
      <c r="T136" s="11">
        <v>2</v>
      </c>
      <c r="U136" s="10">
        <v>3</v>
      </c>
      <c r="V136" s="6">
        <f t="shared" ca="1" si="9"/>
        <v>29.321176002849494</v>
      </c>
      <c r="W136" s="6">
        <f t="shared" ca="1" si="9"/>
        <v>29.169829213009944</v>
      </c>
      <c r="X136" s="6">
        <f t="shared" ca="1" si="9"/>
        <v>28.444035826006893</v>
      </c>
      <c r="Y136" s="6">
        <f t="shared" ca="1" si="9"/>
        <v>28.817727970475033</v>
      </c>
      <c r="Z136" s="6">
        <f t="shared" ca="1" si="10"/>
        <v>28.444035826006893</v>
      </c>
      <c r="AA136" s="6">
        <f t="shared" ca="1" si="11"/>
        <v>3</v>
      </c>
    </row>
    <row r="137" spans="1:27">
      <c r="A137" s="11">
        <v>136</v>
      </c>
      <c r="B137" s="12">
        <v>2</v>
      </c>
      <c r="C137" s="11">
        <v>2</v>
      </c>
      <c r="D137" s="11">
        <v>3</v>
      </c>
      <c r="E137" s="11">
        <v>4</v>
      </c>
      <c r="F137" s="11">
        <v>3</v>
      </c>
      <c r="G137" s="11">
        <v>2</v>
      </c>
      <c r="H137" s="11">
        <v>4</v>
      </c>
      <c r="I137" s="11">
        <v>3</v>
      </c>
      <c r="J137" s="11">
        <v>2</v>
      </c>
      <c r="K137" s="11">
        <v>1</v>
      </c>
      <c r="L137" s="11">
        <v>2</v>
      </c>
      <c r="M137" s="11">
        <v>5</v>
      </c>
      <c r="N137" s="11">
        <v>3</v>
      </c>
      <c r="O137" s="11">
        <v>4</v>
      </c>
      <c r="P137" s="11">
        <v>2</v>
      </c>
      <c r="Q137" s="11">
        <v>1</v>
      </c>
      <c r="R137" s="11">
        <v>3</v>
      </c>
      <c r="S137" s="11">
        <v>4</v>
      </c>
      <c r="T137" s="11">
        <v>5</v>
      </c>
      <c r="U137" s="10">
        <v>5</v>
      </c>
      <c r="V137" s="6">
        <f t="shared" ca="1" si="9"/>
        <v>29.56340989289534</v>
      </c>
      <c r="W137" s="6">
        <f t="shared" ca="1" si="9"/>
        <v>30.103854862595604</v>
      </c>
      <c r="X137" s="6">
        <f t="shared" ca="1" si="9"/>
        <v>29.851318145945932</v>
      </c>
      <c r="Y137" s="6">
        <f t="shared" ca="1" si="9"/>
        <v>30.56814849494603</v>
      </c>
      <c r="Z137" s="6">
        <f t="shared" ca="1" si="10"/>
        <v>29.56340989289534</v>
      </c>
      <c r="AA137" s="6">
        <f t="shared" ca="1" si="11"/>
        <v>1</v>
      </c>
    </row>
    <row r="138" spans="1:27">
      <c r="A138" s="11">
        <v>137</v>
      </c>
      <c r="B138" s="12">
        <v>5</v>
      </c>
      <c r="C138" s="11">
        <v>3</v>
      </c>
      <c r="D138" s="11">
        <v>1</v>
      </c>
      <c r="E138" s="11">
        <v>3</v>
      </c>
      <c r="F138" s="11">
        <v>2</v>
      </c>
      <c r="G138" s="11">
        <v>3</v>
      </c>
      <c r="H138" s="11">
        <v>3</v>
      </c>
      <c r="I138" s="11">
        <v>2</v>
      </c>
      <c r="J138" s="11">
        <v>4</v>
      </c>
      <c r="K138" s="11">
        <v>4</v>
      </c>
      <c r="L138" s="11">
        <v>1</v>
      </c>
      <c r="M138" s="11">
        <v>3</v>
      </c>
      <c r="N138" s="11">
        <v>2</v>
      </c>
      <c r="O138" s="11">
        <v>4</v>
      </c>
      <c r="P138" s="11">
        <v>4</v>
      </c>
      <c r="Q138" s="11">
        <v>4</v>
      </c>
      <c r="R138" s="11">
        <v>3</v>
      </c>
      <c r="S138" s="11">
        <v>1</v>
      </c>
      <c r="T138" s="11">
        <v>3</v>
      </c>
      <c r="U138" s="10">
        <v>1</v>
      </c>
      <c r="V138" s="6">
        <f t="shared" ca="1" si="9"/>
        <v>28.08731744609555</v>
      </c>
      <c r="W138" s="6">
        <f t="shared" ca="1" si="9"/>
        <v>28.192133942715152</v>
      </c>
      <c r="X138" s="6">
        <f t="shared" ca="1" si="9"/>
        <v>27.902538850391693</v>
      </c>
      <c r="Y138" s="6">
        <f t="shared" ca="1" si="9"/>
        <v>27.429808153363787</v>
      </c>
      <c r="Z138" s="6">
        <f t="shared" ca="1" si="10"/>
        <v>27.429808153363787</v>
      </c>
      <c r="AA138" s="6">
        <f t="shared" ca="1" si="11"/>
        <v>4</v>
      </c>
    </row>
    <row r="139" spans="1:27">
      <c r="A139" s="11">
        <v>138</v>
      </c>
      <c r="B139" s="12">
        <v>2</v>
      </c>
      <c r="C139" s="11">
        <v>1</v>
      </c>
      <c r="D139" s="11">
        <v>1</v>
      </c>
      <c r="E139" s="11">
        <v>5</v>
      </c>
      <c r="F139" s="11">
        <v>3</v>
      </c>
      <c r="G139" s="11">
        <v>2</v>
      </c>
      <c r="H139" s="11">
        <v>3</v>
      </c>
      <c r="I139" s="11">
        <v>5</v>
      </c>
      <c r="J139" s="11">
        <v>3</v>
      </c>
      <c r="K139" s="11">
        <v>2</v>
      </c>
      <c r="L139" s="11">
        <v>2</v>
      </c>
      <c r="M139" s="11">
        <v>1</v>
      </c>
      <c r="N139" s="11">
        <v>5</v>
      </c>
      <c r="O139" s="11">
        <v>4</v>
      </c>
      <c r="P139" s="11">
        <v>4</v>
      </c>
      <c r="Q139" s="11">
        <v>5</v>
      </c>
      <c r="R139" s="11">
        <v>1</v>
      </c>
      <c r="S139" s="11">
        <v>4</v>
      </c>
      <c r="T139" s="11">
        <v>5</v>
      </c>
      <c r="U139" s="10">
        <v>3</v>
      </c>
      <c r="V139" s="6">
        <f t="shared" ca="1" si="9"/>
        <v>42.905187813016987</v>
      </c>
      <c r="W139" s="6">
        <f t="shared" ca="1" si="9"/>
        <v>43.022772046451159</v>
      </c>
      <c r="X139" s="6">
        <f t="shared" ca="1" si="9"/>
        <v>43.233452334784424</v>
      </c>
      <c r="Y139" s="6">
        <f t="shared" ca="1" si="9"/>
        <v>42.552866679777019</v>
      </c>
      <c r="Z139" s="6">
        <f t="shared" ca="1" si="10"/>
        <v>42.552866679777019</v>
      </c>
      <c r="AA139" s="6">
        <f t="shared" ca="1" si="11"/>
        <v>4</v>
      </c>
    </row>
    <row r="140" spans="1:27">
      <c r="A140" s="11">
        <v>139</v>
      </c>
      <c r="B140" s="12">
        <v>3</v>
      </c>
      <c r="C140" s="11">
        <v>2</v>
      </c>
      <c r="D140" s="11">
        <v>1</v>
      </c>
      <c r="E140" s="11">
        <v>2</v>
      </c>
      <c r="F140" s="11">
        <v>2</v>
      </c>
      <c r="G140" s="11">
        <v>1</v>
      </c>
      <c r="H140" s="11">
        <v>3</v>
      </c>
      <c r="I140" s="11">
        <v>2</v>
      </c>
      <c r="J140" s="11">
        <v>2</v>
      </c>
      <c r="K140" s="11">
        <v>2</v>
      </c>
      <c r="L140" s="11">
        <v>3</v>
      </c>
      <c r="M140" s="11">
        <v>3</v>
      </c>
      <c r="N140" s="11">
        <v>3</v>
      </c>
      <c r="O140" s="11">
        <v>4</v>
      </c>
      <c r="P140" s="11">
        <v>4</v>
      </c>
      <c r="Q140" s="11">
        <v>1</v>
      </c>
      <c r="R140" s="11">
        <v>2</v>
      </c>
      <c r="S140" s="11">
        <v>1</v>
      </c>
      <c r="T140" s="11">
        <v>3</v>
      </c>
      <c r="U140" s="10">
        <v>3</v>
      </c>
      <c r="V140" s="6">
        <f t="shared" ca="1" si="9"/>
        <v>24.914194188809333</v>
      </c>
      <c r="W140" s="6">
        <f t="shared" ca="1" si="9"/>
        <v>25.411460003743507</v>
      </c>
      <c r="X140" s="6">
        <f t="shared" ca="1" si="9"/>
        <v>24.88437944869008</v>
      </c>
      <c r="Y140" s="6">
        <f t="shared" ca="1" si="9"/>
        <v>25.074340487525731</v>
      </c>
      <c r="Z140" s="6">
        <f t="shared" ca="1" si="10"/>
        <v>24.88437944869008</v>
      </c>
      <c r="AA140" s="6">
        <f t="shared" ca="1" si="11"/>
        <v>3</v>
      </c>
    </row>
    <row r="141" spans="1:27">
      <c r="A141" s="11">
        <v>140</v>
      </c>
      <c r="B141" s="12">
        <v>5</v>
      </c>
      <c r="C141" s="11">
        <v>1</v>
      </c>
      <c r="D141" s="11">
        <v>1</v>
      </c>
      <c r="E141" s="11">
        <v>1</v>
      </c>
      <c r="F141" s="11">
        <v>1</v>
      </c>
      <c r="G141" s="11">
        <v>5</v>
      </c>
      <c r="H141" s="11">
        <v>5</v>
      </c>
      <c r="I141" s="11">
        <v>1</v>
      </c>
      <c r="J141" s="11">
        <v>1</v>
      </c>
      <c r="K141" s="11">
        <v>5</v>
      </c>
      <c r="L141" s="11">
        <v>3</v>
      </c>
      <c r="M141" s="11">
        <v>5</v>
      </c>
      <c r="N141" s="11">
        <v>5</v>
      </c>
      <c r="O141" s="11">
        <v>5</v>
      </c>
      <c r="P141" s="11">
        <v>4</v>
      </c>
      <c r="Q141" s="11">
        <v>3</v>
      </c>
      <c r="R141" s="11">
        <v>5</v>
      </c>
      <c r="S141" s="11">
        <v>1</v>
      </c>
      <c r="T141" s="11">
        <v>5</v>
      </c>
      <c r="U141" s="10">
        <v>5</v>
      </c>
      <c r="V141" s="6">
        <f t="shared" ca="1" si="9"/>
        <v>69.310966270411399</v>
      </c>
      <c r="W141" s="6">
        <f t="shared" ca="1" si="9"/>
        <v>69.662273172410977</v>
      </c>
      <c r="X141" s="6">
        <f t="shared" ca="1" si="9"/>
        <v>68.409585468692583</v>
      </c>
      <c r="Y141" s="6">
        <f t="shared" ca="1" si="9"/>
        <v>68.743349133703688</v>
      </c>
      <c r="Z141" s="6">
        <f t="shared" ca="1" si="10"/>
        <v>68.409585468692583</v>
      </c>
      <c r="AA141" s="6">
        <f t="shared" ca="1" si="11"/>
        <v>3</v>
      </c>
    </row>
    <row r="142" spans="1:27">
      <c r="A142" s="11">
        <v>141</v>
      </c>
      <c r="B142" s="12">
        <v>4</v>
      </c>
      <c r="C142" s="11">
        <v>2</v>
      </c>
      <c r="D142" s="11">
        <v>3</v>
      </c>
      <c r="E142" s="11">
        <v>1</v>
      </c>
      <c r="F142" s="11">
        <v>4</v>
      </c>
      <c r="G142" s="11">
        <v>2</v>
      </c>
      <c r="H142" s="11">
        <v>3</v>
      </c>
      <c r="I142" s="11">
        <v>2</v>
      </c>
      <c r="J142" s="11">
        <v>2</v>
      </c>
      <c r="K142" s="11">
        <v>1</v>
      </c>
      <c r="L142" s="11">
        <v>1</v>
      </c>
      <c r="M142" s="11">
        <v>4</v>
      </c>
      <c r="N142" s="11">
        <v>2</v>
      </c>
      <c r="O142" s="11">
        <v>1</v>
      </c>
      <c r="P142" s="11">
        <v>2</v>
      </c>
      <c r="Q142" s="11">
        <v>3</v>
      </c>
      <c r="R142" s="11">
        <v>3</v>
      </c>
      <c r="S142" s="11">
        <v>4</v>
      </c>
      <c r="T142" s="11">
        <v>3</v>
      </c>
      <c r="U142" s="10">
        <v>5</v>
      </c>
      <c r="V142" s="6">
        <f t="shared" ca="1" si="9"/>
        <v>30.124213504235737</v>
      </c>
      <c r="W142" s="6">
        <f t="shared" ca="1" si="9"/>
        <v>29.95427864291694</v>
      </c>
      <c r="X142" s="6">
        <f t="shared" ca="1" si="9"/>
        <v>30.176249444493493</v>
      </c>
      <c r="Y142" s="6">
        <f t="shared" ca="1" si="9"/>
        <v>30.414618574150548</v>
      </c>
      <c r="Z142" s="6">
        <f t="shared" ca="1" si="10"/>
        <v>29.95427864291694</v>
      </c>
      <c r="AA142" s="6">
        <f t="shared" ca="1" si="11"/>
        <v>2</v>
      </c>
    </row>
    <row r="143" spans="1:27">
      <c r="A143" s="11">
        <v>142</v>
      </c>
      <c r="B143" s="12">
        <v>3</v>
      </c>
      <c r="C143" s="11">
        <v>3</v>
      </c>
      <c r="D143" s="11">
        <v>2</v>
      </c>
      <c r="E143" s="11">
        <v>3</v>
      </c>
      <c r="F143" s="11">
        <v>4</v>
      </c>
      <c r="G143" s="11">
        <v>3</v>
      </c>
      <c r="H143" s="11">
        <v>3</v>
      </c>
      <c r="I143" s="11">
        <v>2</v>
      </c>
      <c r="J143" s="11">
        <v>2</v>
      </c>
      <c r="K143" s="11">
        <v>2</v>
      </c>
      <c r="L143" s="11">
        <v>2</v>
      </c>
      <c r="M143" s="11">
        <v>4</v>
      </c>
      <c r="N143" s="11">
        <v>2</v>
      </c>
      <c r="O143" s="11">
        <v>2</v>
      </c>
      <c r="P143" s="11">
        <v>2</v>
      </c>
      <c r="Q143" s="11">
        <v>2</v>
      </c>
      <c r="R143" s="11">
        <v>5</v>
      </c>
      <c r="S143" s="11">
        <v>2</v>
      </c>
      <c r="T143" s="11">
        <v>1</v>
      </c>
      <c r="U143" s="10">
        <v>4</v>
      </c>
      <c r="V143" s="6">
        <f t="shared" ca="1" si="9"/>
        <v>21.117451092895092</v>
      </c>
      <c r="W143" s="6">
        <f t="shared" ca="1" si="9"/>
        <v>20.828389446601705</v>
      </c>
      <c r="X143" s="6">
        <f t="shared" ca="1" si="9"/>
        <v>20.706799930890426</v>
      </c>
      <c r="Y143" s="6">
        <f t="shared" ca="1" si="9"/>
        <v>21.550459239006869</v>
      </c>
      <c r="Z143" s="6">
        <f t="shared" ca="1" si="10"/>
        <v>20.706799930890426</v>
      </c>
      <c r="AA143" s="6">
        <f t="shared" ca="1" si="11"/>
        <v>3</v>
      </c>
    </row>
    <row r="144" spans="1:27">
      <c r="A144" s="11">
        <v>143</v>
      </c>
      <c r="B144" s="12">
        <v>4</v>
      </c>
      <c r="C144" s="11">
        <v>3</v>
      </c>
      <c r="D144" s="11">
        <v>3</v>
      </c>
      <c r="E144" s="11">
        <v>2</v>
      </c>
      <c r="F144" s="11">
        <v>2</v>
      </c>
      <c r="G144" s="11">
        <v>3</v>
      </c>
      <c r="H144" s="11">
        <v>2</v>
      </c>
      <c r="I144" s="11">
        <v>2</v>
      </c>
      <c r="J144" s="11">
        <v>3</v>
      </c>
      <c r="K144" s="11">
        <v>2</v>
      </c>
      <c r="L144" s="11">
        <v>2</v>
      </c>
      <c r="M144" s="11">
        <v>3</v>
      </c>
      <c r="N144" s="11">
        <v>3</v>
      </c>
      <c r="O144" s="11">
        <v>3</v>
      </c>
      <c r="P144" s="11">
        <v>3</v>
      </c>
      <c r="Q144" s="11">
        <v>2</v>
      </c>
      <c r="R144" s="11">
        <v>2</v>
      </c>
      <c r="S144" s="11">
        <v>2</v>
      </c>
      <c r="T144" s="11">
        <v>3</v>
      </c>
      <c r="U144" s="10">
        <v>4</v>
      </c>
      <c r="V144" s="6">
        <f t="shared" ca="1" si="9"/>
        <v>11.021825021710212</v>
      </c>
      <c r="W144" s="6">
        <f t="shared" ca="1" si="9"/>
        <v>11.415083345546011</v>
      </c>
      <c r="X144" s="6">
        <f t="shared" ca="1" si="9"/>
        <v>11.09014792249166</v>
      </c>
      <c r="Y144" s="6">
        <f t="shared" ca="1" si="9"/>
        <v>11.096429507804636</v>
      </c>
      <c r="Z144" s="6">
        <f t="shared" ca="1" si="10"/>
        <v>11.021825021710212</v>
      </c>
      <c r="AA144" s="6">
        <f t="shared" ca="1" si="11"/>
        <v>1</v>
      </c>
    </row>
    <row r="145" spans="1:27">
      <c r="A145" s="11">
        <v>144</v>
      </c>
      <c r="B145" s="12">
        <v>4</v>
      </c>
      <c r="C145" s="11">
        <v>2</v>
      </c>
      <c r="D145" s="11">
        <v>2</v>
      </c>
      <c r="E145" s="11">
        <v>2</v>
      </c>
      <c r="F145" s="11">
        <v>2</v>
      </c>
      <c r="G145" s="11">
        <v>3</v>
      </c>
      <c r="H145" s="11">
        <v>3</v>
      </c>
      <c r="I145" s="11">
        <v>1</v>
      </c>
      <c r="J145" s="11">
        <v>2</v>
      </c>
      <c r="K145" s="11">
        <v>4</v>
      </c>
      <c r="L145" s="11">
        <v>4</v>
      </c>
      <c r="M145" s="11">
        <v>3</v>
      </c>
      <c r="N145" s="11">
        <v>2</v>
      </c>
      <c r="O145" s="11">
        <v>4</v>
      </c>
      <c r="P145" s="11">
        <v>5</v>
      </c>
      <c r="Q145" s="11">
        <v>2</v>
      </c>
      <c r="R145" s="11">
        <v>2</v>
      </c>
      <c r="S145" s="11">
        <v>2</v>
      </c>
      <c r="T145" s="11">
        <v>3</v>
      </c>
      <c r="U145" s="10">
        <v>4</v>
      </c>
      <c r="V145" s="6">
        <f t="shared" ca="1" si="9"/>
        <v>22.140740772567995</v>
      </c>
      <c r="W145" s="6">
        <f t="shared" ca="1" si="9"/>
        <v>22.450194486790565</v>
      </c>
      <c r="X145" s="6">
        <f t="shared" ca="1" si="9"/>
        <v>21.936644386507062</v>
      </c>
      <c r="Y145" s="6">
        <f t="shared" ca="1" si="9"/>
        <v>22.000883401164351</v>
      </c>
      <c r="Z145" s="6">
        <f t="shared" ca="1" si="10"/>
        <v>21.936644386507062</v>
      </c>
      <c r="AA145" s="6">
        <f t="shared" ca="1" si="11"/>
        <v>3</v>
      </c>
    </row>
    <row r="146" spans="1:27">
      <c r="A146" s="11">
        <v>145</v>
      </c>
      <c r="B146" s="12">
        <v>1</v>
      </c>
      <c r="C146" s="11">
        <v>1</v>
      </c>
      <c r="D146" s="11">
        <v>1</v>
      </c>
      <c r="E146" s="11">
        <v>1</v>
      </c>
      <c r="F146" s="11">
        <v>1</v>
      </c>
      <c r="G146" s="11">
        <v>5</v>
      </c>
      <c r="H146" s="11">
        <v>5</v>
      </c>
      <c r="I146" s="11">
        <v>1</v>
      </c>
      <c r="J146" s="11">
        <v>1</v>
      </c>
      <c r="K146" s="11">
        <v>1</v>
      </c>
      <c r="L146" s="11">
        <v>1</v>
      </c>
      <c r="M146" s="11">
        <v>1</v>
      </c>
      <c r="N146" s="11">
        <v>1</v>
      </c>
      <c r="O146" s="11">
        <v>1</v>
      </c>
      <c r="P146" s="11">
        <v>1</v>
      </c>
      <c r="Q146" s="11">
        <v>1</v>
      </c>
      <c r="R146" s="11">
        <v>5</v>
      </c>
      <c r="S146" s="11">
        <v>5</v>
      </c>
      <c r="T146" s="11">
        <v>5</v>
      </c>
      <c r="U146" s="10">
        <v>5</v>
      </c>
      <c r="V146" s="6">
        <f t="shared" ca="1" si="9"/>
        <v>79.431354967937082</v>
      </c>
      <c r="W146" s="6">
        <f t="shared" ca="1" si="9"/>
        <v>79.610094686338272</v>
      </c>
      <c r="X146" s="6">
        <f t="shared" ca="1" si="9"/>
        <v>79.577714831014347</v>
      </c>
      <c r="Y146" s="6">
        <f t="shared" ca="1" si="9"/>
        <v>80.401465662591434</v>
      </c>
      <c r="Z146" s="6">
        <f t="shared" ca="1" si="10"/>
        <v>79.431354967937082</v>
      </c>
      <c r="AA146" s="6">
        <f t="shared" ca="1" si="11"/>
        <v>1</v>
      </c>
    </row>
    <row r="147" spans="1:27">
      <c r="A147" s="11">
        <v>146</v>
      </c>
      <c r="B147" s="12">
        <v>3</v>
      </c>
      <c r="C147" s="11">
        <v>3</v>
      </c>
      <c r="D147" s="11">
        <v>3</v>
      </c>
      <c r="E147" s="11">
        <v>2</v>
      </c>
      <c r="F147" s="11">
        <v>2</v>
      </c>
      <c r="G147" s="11">
        <v>3</v>
      </c>
      <c r="H147" s="11">
        <v>2</v>
      </c>
      <c r="I147" s="11">
        <v>1</v>
      </c>
      <c r="J147" s="11">
        <v>2</v>
      </c>
      <c r="K147" s="11">
        <v>4</v>
      </c>
      <c r="L147" s="11">
        <v>1</v>
      </c>
      <c r="M147" s="11">
        <v>3</v>
      </c>
      <c r="N147" s="11">
        <v>2</v>
      </c>
      <c r="O147" s="11">
        <v>4</v>
      </c>
      <c r="P147" s="11">
        <v>3</v>
      </c>
      <c r="Q147" s="11">
        <v>2</v>
      </c>
      <c r="R147" s="11">
        <v>1</v>
      </c>
      <c r="S147" s="11">
        <v>5</v>
      </c>
      <c r="T147" s="11">
        <v>3</v>
      </c>
      <c r="U147" s="10">
        <v>3</v>
      </c>
      <c r="V147" s="6">
        <f t="shared" ca="1" si="9"/>
        <v>23.888562856181053</v>
      </c>
      <c r="W147" s="6">
        <f t="shared" ca="1" si="9"/>
        <v>24.336161023596276</v>
      </c>
      <c r="X147" s="6">
        <f t="shared" ca="1" si="9"/>
        <v>24.181564382770734</v>
      </c>
      <c r="Y147" s="6">
        <f t="shared" ca="1" si="9"/>
        <v>23.850904848744086</v>
      </c>
      <c r="Z147" s="6">
        <f t="shared" ca="1" si="10"/>
        <v>23.850904848744086</v>
      </c>
      <c r="AA147" s="6">
        <f t="shared" ca="1" si="11"/>
        <v>4</v>
      </c>
    </row>
    <row r="148" spans="1:27">
      <c r="A148" s="11">
        <v>147</v>
      </c>
      <c r="B148" s="12">
        <v>3</v>
      </c>
      <c r="C148" s="11">
        <v>2</v>
      </c>
      <c r="D148" s="11">
        <v>2</v>
      </c>
      <c r="E148" s="11">
        <v>4</v>
      </c>
      <c r="F148" s="11">
        <v>3</v>
      </c>
      <c r="G148" s="11">
        <v>2</v>
      </c>
      <c r="H148" s="11">
        <v>3</v>
      </c>
      <c r="I148" s="11">
        <v>2</v>
      </c>
      <c r="J148" s="11">
        <v>2</v>
      </c>
      <c r="K148" s="11">
        <v>3</v>
      </c>
      <c r="L148" s="11">
        <v>2</v>
      </c>
      <c r="M148" s="11">
        <v>2</v>
      </c>
      <c r="N148" s="11">
        <v>2</v>
      </c>
      <c r="O148" s="11">
        <v>4</v>
      </c>
      <c r="P148" s="11">
        <v>4</v>
      </c>
      <c r="Q148" s="11">
        <v>2</v>
      </c>
      <c r="R148" s="11">
        <v>4</v>
      </c>
      <c r="S148" s="11">
        <v>1</v>
      </c>
      <c r="T148" s="11">
        <v>2</v>
      </c>
      <c r="U148" s="10">
        <v>2</v>
      </c>
      <c r="V148" s="6">
        <f t="shared" ca="1" si="9"/>
        <v>18.841198541800566</v>
      </c>
      <c r="W148" s="6">
        <f t="shared" ca="1" si="9"/>
        <v>19.133124580249735</v>
      </c>
      <c r="X148" s="6">
        <f t="shared" ca="1" si="9"/>
        <v>18.690089948918168</v>
      </c>
      <c r="Y148" s="6">
        <f t="shared" ca="1" si="9"/>
        <v>19.086845583238237</v>
      </c>
      <c r="Z148" s="6">
        <f t="shared" ca="1" si="10"/>
        <v>18.690089948918168</v>
      </c>
      <c r="AA148" s="6">
        <f t="shared" ca="1" si="11"/>
        <v>3</v>
      </c>
    </row>
    <row r="149" spans="1:27">
      <c r="A149" s="11">
        <v>148</v>
      </c>
      <c r="B149" s="12">
        <v>2</v>
      </c>
      <c r="C149" s="11">
        <v>2</v>
      </c>
      <c r="D149" s="11">
        <v>2</v>
      </c>
      <c r="E149" s="11">
        <v>3</v>
      </c>
      <c r="F149" s="11">
        <v>4</v>
      </c>
      <c r="G149" s="11">
        <v>4</v>
      </c>
      <c r="H149" s="11">
        <v>3</v>
      </c>
      <c r="I149" s="11">
        <v>2</v>
      </c>
      <c r="J149" s="11">
        <v>1</v>
      </c>
      <c r="K149" s="11">
        <v>4</v>
      </c>
      <c r="L149" s="11">
        <v>2</v>
      </c>
      <c r="M149" s="11">
        <v>2</v>
      </c>
      <c r="N149" s="11">
        <v>3</v>
      </c>
      <c r="O149" s="11">
        <v>4</v>
      </c>
      <c r="P149" s="11">
        <v>5</v>
      </c>
      <c r="Q149" s="11">
        <v>2</v>
      </c>
      <c r="R149" s="11">
        <v>3</v>
      </c>
      <c r="S149" s="11">
        <v>2</v>
      </c>
      <c r="T149" s="11">
        <v>3</v>
      </c>
      <c r="U149" s="10">
        <v>2</v>
      </c>
      <c r="V149" s="6">
        <f t="shared" ca="1" si="9"/>
        <v>20.886345171398908</v>
      </c>
      <c r="W149" s="6">
        <f t="shared" ca="1" si="9"/>
        <v>20.940707847397995</v>
      </c>
      <c r="X149" s="6">
        <f t="shared" ca="1" si="9"/>
        <v>20.732228553089616</v>
      </c>
      <c r="Y149" s="6">
        <f t="shared" ca="1" si="9"/>
        <v>20.990621719383441</v>
      </c>
      <c r="Z149" s="6">
        <f t="shared" ca="1" si="10"/>
        <v>20.732228553089616</v>
      </c>
      <c r="AA149" s="6">
        <f t="shared" ca="1" si="11"/>
        <v>3</v>
      </c>
    </row>
    <row r="150" spans="1:27">
      <c r="A150" s="11">
        <v>149</v>
      </c>
      <c r="B150" s="12">
        <v>4</v>
      </c>
      <c r="C150" s="11">
        <v>3</v>
      </c>
      <c r="D150" s="11">
        <v>1</v>
      </c>
      <c r="E150" s="11">
        <v>2</v>
      </c>
      <c r="F150" s="11">
        <v>4</v>
      </c>
      <c r="G150" s="11">
        <v>3</v>
      </c>
      <c r="H150" s="11">
        <v>3</v>
      </c>
      <c r="I150" s="11">
        <v>4</v>
      </c>
      <c r="J150" s="11">
        <v>1</v>
      </c>
      <c r="K150" s="11">
        <v>4</v>
      </c>
      <c r="L150" s="11">
        <v>3</v>
      </c>
      <c r="M150" s="11">
        <v>2</v>
      </c>
      <c r="N150" s="11">
        <v>3</v>
      </c>
      <c r="O150" s="11">
        <v>4</v>
      </c>
      <c r="P150" s="11">
        <v>4</v>
      </c>
      <c r="Q150" s="11">
        <v>3</v>
      </c>
      <c r="R150" s="11">
        <v>4</v>
      </c>
      <c r="S150" s="11">
        <v>3</v>
      </c>
      <c r="T150" s="11">
        <v>3</v>
      </c>
      <c r="U150" s="10">
        <v>1</v>
      </c>
      <c r="V150" s="6">
        <f t="shared" ca="1" si="9"/>
        <v>21.068323968514036</v>
      </c>
      <c r="W150" s="6">
        <f t="shared" ca="1" si="9"/>
        <v>20.847251646155691</v>
      </c>
      <c r="X150" s="6">
        <f t="shared" ca="1" si="9"/>
        <v>20.537198666958595</v>
      </c>
      <c r="Y150" s="6">
        <f t="shared" ca="1" si="9"/>
        <v>20.712758055432403</v>
      </c>
      <c r="Z150" s="6">
        <f t="shared" ca="1" si="10"/>
        <v>20.537198666958595</v>
      </c>
      <c r="AA150" s="6">
        <f t="shared" ca="1" si="11"/>
        <v>3</v>
      </c>
    </row>
    <row r="151" spans="1:27">
      <c r="A151" s="11">
        <v>150</v>
      </c>
      <c r="B151" s="12">
        <v>3</v>
      </c>
      <c r="C151" s="11">
        <v>3</v>
      </c>
      <c r="D151" s="11">
        <v>2</v>
      </c>
      <c r="E151" s="11">
        <v>3</v>
      </c>
      <c r="F151" s="11">
        <v>4</v>
      </c>
      <c r="G151" s="11">
        <v>2</v>
      </c>
      <c r="H151" s="11">
        <v>3</v>
      </c>
      <c r="I151" s="11">
        <v>4</v>
      </c>
      <c r="J151" s="11">
        <v>3</v>
      </c>
      <c r="K151" s="11">
        <v>2</v>
      </c>
      <c r="L151" s="11">
        <v>3</v>
      </c>
      <c r="M151" s="11">
        <v>4</v>
      </c>
      <c r="N151" s="11">
        <v>4</v>
      </c>
      <c r="O151" s="11">
        <v>3</v>
      </c>
      <c r="P151" s="11">
        <v>5</v>
      </c>
      <c r="Q151" s="11">
        <v>3</v>
      </c>
      <c r="R151" s="11">
        <v>2</v>
      </c>
      <c r="S151" s="11">
        <v>4</v>
      </c>
      <c r="T151" s="11">
        <v>5</v>
      </c>
      <c r="U151" s="10">
        <v>5</v>
      </c>
      <c r="V151" s="6">
        <f t="shared" ca="1" si="9"/>
        <v>21.122749959465555</v>
      </c>
      <c r="W151" s="6">
        <f t="shared" ca="1" si="9"/>
        <v>20.934112829937199</v>
      </c>
      <c r="X151" s="6">
        <f t="shared" ca="1" si="9"/>
        <v>21.264853609731837</v>
      </c>
      <c r="Y151" s="6">
        <f t="shared" ca="1" si="9"/>
        <v>21.140060115975849</v>
      </c>
      <c r="Z151" s="6">
        <f t="shared" ca="1" si="10"/>
        <v>20.934112829937199</v>
      </c>
      <c r="AA151" s="6">
        <f t="shared" ca="1" si="11"/>
        <v>2</v>
      </c>
    </row>
    <row r="152" spans="1:27">
      <c r="A152" s="11">
        <v>151</v>
      </c>
      <c r="B152" s="12">
        <v>1</v>
      </c>
      <c r="C152" s="11">
        <v>2</v>
      </c>
      <c r="D152" s="11">
        <v>2</v>
      </c>
      <c r="E152" s="11">
        <v>2</v>
      </c>
      <c r="F152" s="11">
        <v>3</v>
      </c>
      <c r="G152" s="11">
        <v>2</v>
      </c>
      <c r="H152" s="11">
        <v>3</v>
      </c>
      <c r="I152" s="11">
        <v>4</v>
      </c>
      <c r="J152" s="11">
        <v>3</v>
      </c>
      <c r="K152" s="11">
        <v>4</v>
      </c>
      <c r="L152" s="11">
        <v>5</v>
      </c>
      <c r="M152" s="11">
        <v>4</v>
      </c>
      <c r="N152" s="11">
        <v>3</v>
      </c>
      <c r="O152" s="11">
        <v>2</v>
      </c>
      <c r="P152" s="11">
        <v>2</v>
      </c>
      <c r="Q152" s="11">
        <v>2</v>
      </c>
      <c r="R152" s="11">
        <v>2</v>
      </c>
      <c r="S152" s="11">
        <v>2</v>
      </c>
      <c r="T152" s="11">
        <v>3</v>
      </c>
      <c r="U152" s="10">
        <v>5</v>
      </c>
      <c r="V152" s="6">
        <f t="shared" ca="1" si="9"/>
        <v>24.25701147100677</v>
      </c>
      <c r="W152" s="6">
        <f t="shared" ca="1" si="9"/>
        <v>24.302061510491363</v>
      </c>
      <c r="X152" s="6">
        <f t="shared" ca="1" si="9"/>
        <v>24.311765921420012</v>
      </c>
      <c r="Y152" s="6">
        <f t="shared" ca="1" si="9"/>
        <v>24.200972063023389</v>
      </c>
      <c r="Z152" s="6">
        <f t="shared" ca="1" si="10"/>
        <v>24.200972063023389</v>
      </c>
      <c r="AA152" s="6">
        <f t="shared" ca="1" si="11"/>
        <v>4</v>
      </c>
    </row>
    <row r="153" spans="1:27">
      <c r="A153" s="11">
        <v>152</v>
      </c>
      <c r="B153" s="12">
        <v>2</v>
      </c>
      <c r="C153" s="11">
        <v>2</v>
      </c>
      <c r="D153" s="11">
        <v>2</v>
      </c>
      <c r="E153" s="11">
        <v>2</v>
      </c>
      <c r="F153" s="11">
        <v>3</v>
      </c>
      <c r="G153" s="11">
        <v>3</v>
      </c>
      <c r="H153" s="11">
        <v>3</v>
      </c>
      <c r="I153" s="11">
        <v>2</v>
      </c>
      <c r="J153" s="11">
        <v>2</v>
      </c>
      <c r="K153" s="11">
        <v>5</v>
      </c>
      <c r="L153" s="11">
        <v>1</v>
      </c>
      <c r="M153" s="11">
        <v>2</v>
      </c>
      <c r="N153" s="11">
        <v>2</v>
      </c>
      <c r="O153" s="11">
        <v>2</v>
      </c>
      <c r="P153" s="11">
        <v>3</v>
      </c>
      <c r="Q153" s="11">
        <v>2</v>
      </c>
      <c r="R153" s="11">
        <v>2</v>
      </c>
      <c r="S153" s="11">
        <v>2</v>
      </c>
      <c r="T153" s="11">
        <v>2</v>
      </c>
      <c r="U153" s="10">
        <v>2</v>
      </c>
      <c r="V153" s="6">
        <f t="shared" ca="1" si="9"/>
        <v>22.041444702465224</v>
      </c>
      <c r="W153" s="6">
        <f t="shared" ca="1" si="9"/>
        <v>22.173883729077644</v>
      </c>
      <c r="X153" s="6">
        <f t="shared" ca="1" si="9"/>
        <v>22.162874756158431</v>
      </c>
      <c r="Y153" s="6">
        <f t="shared" ca="1" si="9"/>
        <v>21.815466215741079</v>
      </c>
      <c r="Z153" s="6">
        <f t="shared" ca="1" si="10"/>
        <v>21.815466215741079</v>
      </c>
      <c r="AA153" s="6">
        <f t="shared" ca="1" si="11"/>
        <v>4</v>
      </c>
    </row>
    <row r="154" spans="1:27">
      <c r="A154" s="11">
        <v>153</v>
      </c>
      <c r="B154" s="12">
        <v>4</v>
      </c>
      <c r="C154" s="11">
        <v>1</v>
      </c>
      <c r="D154" s="11">
        <v>1</v>
      </c>
      <c r="E154" s="11">
        <v>5</v>
      </c>
      <c r="F154" s="11">
        <v>3</v>
      </c>
      <c r="G154" s="11">
        <v>4</v>
      </c>
      <c r="H154" s="11">
        <v>4</v>
      </c>
      <c r="I154" s="11">
        <v>5</v>
      </c>
      <c r="J154" s="11">
        <v>4</v>
      </c>
      <c r="K154" s="11">
        <v>4</v>
      </c>
      <c r="L154" s="11">
        <v>3</v>
      </c>
      <c r="M154" s="11">
        <v>3</v>
      </c>
      <c r="N154" s="11">
        <v>5</v>
      </c>
      <c r="O154" s="11">
        <v>3</v>
      </c>
      <c r="P154" s="11">
        <v>3</v>
      </c>
      <c r="Q154" s="11">
        <v>5</v>
      </c>
      <c r="R154" s="11">
        <v>5</v>
      </c>
      <c r="S154" s="11">
        <v>1</v>
      </c>
      <c r="T154" s="11">
        <v>3</v>
      </c>
      <c r="U154" s="10">
        <v>4</v>
      </c>
      <c r="V154" s="6">
        <f t="shared" ca="1" si="9"/>
        <v>38.42535885402441</v>
      </c>
      <c r="W154" s="6">
        <f t="shared" ca="1" si="9"/>
        <v>38.215512291972431</v>
      </c>
      <c r="X154" s="6">
        <f t="shared" ca="1" si="9"/>
        <v>37.831358011744939</v>
      </c>
      <c r="Y154" s="6">
        <f t="shared" ca="1" si="9"/>
        <v>37.710522932837215</v>
      </c>
      <c r="Z154" s="6">
        <f t="shared" ca="1" si="10"/>
        <v>37.710522932837215</v>
      </c>
      <c r="AA154" s="6">
        <f t="shared" ca="1" si="11"/>
        <v>4</v>
      </c>
    </row>
    <row r="155" spans="1:27">
      <c r="A155" s="11">
        <v>154</v>
      </c>
      <c r="B155" s="12">
        <v>2</v>
      </c>
      <c r="C155" s="11">
        <v>2</v>
      </c>
      <c r="D155" s="11">
        <v>3</v>
      </c>
      <c r="E155" s="11">
        <v>2</v>
      </c>
      <c r="F155" s="11">
        <v>3</v>
      </c>
      <c r="G155" s="11">
        <v>2</v>
      </c>
      <c r="H155" s="11">
        <v>3</v>
      </c>
      <c r="I155" s="11">
        <v>3</v>
      </c>
      <c r="J155" s="11">
        <v>4</v>
      </c>
      <c r="K155" s="11">
        <v>3</v>
      </c>
      <c r="L155" s="11">
        <v>2</v>
      </c>
      <c r="M155" s="11">
        <v>3</v>
      </c>
      <c r="N155" s="11">
        <v>3</v>
      </c>
      <c r="O155" s="11">
        <v>3</v>
      </c>
      <c r="P155" s="11">
        <v>4</v>
      </c>
      <c r="Q155" s="11">
        <v>2</v>
      </c>
      <c r="R155" s="11">
        <v>2</v>
      </c>
      <c r="S155" s="11">
        <v>2</v>
      </c>
      <c r="T155" s="11">
        <v>3</v>
      </c>
      <c r="U155" s="10">
        <v>4</v>
      </c>
      <c r="V155" s="6">
        <f t="shared" ca="1" si="9"/>
        <v>11.103853517011483</v>
      </c>
      <c r="W155" s="6">
        <f t="shared" ca="1" si="9"/>
        <v>11.331965622954472</v>
      </c>
      <c r="X155" s="6">
        <f t="shared" ca="1" si="9"/>
        <v>11.45550488835136</v>
      </c>
      <c r="Y155" s="6">
        <f t="shared" ca="1" si="9"/>
        <v>11.050292048200639</v>
      </c>
      <c r="Z155" s="6">
        <f t="shared" ca="1" si="10"/>
        <v>11.050292048200639</v>
      </c>
      <c r="AA155" s="6">
        <f t="shared" ca="1" si="11"/>
        <v>4</v>
      </c>
    </row>
    <row r="156" spans="1:27">
      <c r="A156" s="11">
        <v>155</v>
      </c>
      <c r="B156" s="12">
        <v>2</v>
      </c>
      <c r="C156" s="11">
        <v>2</v>
      </c>
      <c r="D156" s="11">
        <v>2</v>
      </c>
      <c r="E156" s="11">
        <v>5</v>
      </c>
      <c r="F156" s="11">
        <v>3</v>
      </c>
      <c r="G156" s="11">
        <v>5</v>
      </c>
      <c r="H156" s="11">
        <v>3</v>
      </c>
      <c r="I156" s="11">
        <v>3</v>
      </c>
      <c r="J156" s="11">
        <v>3</v>
      </c>
      <c r="K156" s="11">
        <v>2</v>
      </c>
      <c r="L156" s="11">
        <v>2</v>
      </c>
      <c r="M156" s="11">
        <v>2</v>
      </c>
      <c r="N156" s="11">
        <v>3</v>
      </c>
      <c r="O156" s="11">
        <v>5</v>
      </c>
      <c r="P156" s="11">
        <v>4</v>
      </c>
      <c r="Q156" s="11">
        <v>1</v>
      </c>
      <c r="R156" s="11">
        <v>2</v>
      </c>
      <c r="S156" s="11">
        <v>3</v>
      </c>
      <c r="T156" s="11">
        <v>3</v>
      </c>
      <c r="U156" s="10">
        <v>3</v>
      </c>
      <c r="V156" s="6">
        <f t="shared" ca="1" si="9"/>
        <v>23.657831692245512</v>
      </c>
      <c r="W156" s="6">
        <f t="shared" ca="1" si="9"/>
        <v>24.064357235916777</v>
      </c>
      <c r="X156" s="6">
        <f t="shared" ca="1" si="9"/>
        <v>23.767903674017568</v>
      </c>
      <c r="Y156" s="6">
        <f t="shared" ca="1" si="9"/>
        <v>24.184449621490543</v>
      </c>
      <c r="Z156" s="6">
        <f t="shared" ca="1" si="10"/>
        <v>23.657831692245512</v>
      </c>
      <c r="AA156" s="6">
        <f t="shared" ca="1" si="11"/>
        <v>1</v>
      </c>
    </row>
    <row r="157" spans="1:27">
      <c r="A157" s="11">
        <v>156</v>
      </c>
      <c r="B157" s="12">
        <v>2</v>
      </c>
      <c r="C157" s="11">
        <v>1</v>
      </c>
      <c r="D157" s="11">
        <v>1</v>
      </c>
      <c r="E157" s="11">
        <v>5</v>
      </c>
      <c r="F157" s="11">
        <v>3</v>
      </c>
      <c r="G157" s="11">
        <v>2</v>
      </c>
      <c r="H157" s="11">
        <v>3</v>
      </c>
      <c r="I157" s="11">
        <v>5</v>
      </c>
      <c r="J157" s="11">
        <v>3</v>
      </c>
      <c r="K157" s="11">
        <v>2</v>
      </c>
      <c r="L157" s="11">
        <v>2</v>
      </c>
      <c r="M157" s="11">
        <v>1</v>
      </c>
      <c r="N157" s="11">
        <v>5</v>
      </c>
      <c r="O157" s="11">
        <v>4</v>
      </c>
      <c r="P157" s="11">
        <v>5</v>
      </c>
      <c r="Q157" s="11">
        <v>1</v>
      </c>
      <c r="R157" s="11">
        <v>4</v>
      </c>
      <c r="S157" s="11">
        <v>5</v>
      </c>
      <c r="T157" s="11">
        <v>5</v>
      </c>
      <c r="U157" s="10">
        <v>3</v>
      </c>
      <c r="V157" s="6">
        <f t="shared" ca="1" si="9"/>
        <v>45.614552459007164</v>
      </c>
      <c r="W157" s="6">
        <f t="shared" ca="1" si="9"/>
        <v>45.996077046218417</v>
      </c>
      <c r="X157" s="6">
        <f t="shared" ca="1" si="9"/>
        <v>45.814814376287252</v>
      </c>
      <c r="Y157" s="6">
        <f t="shared" ca="1" si="9"/>
        <v>45.927172795046076</v>
      </c>
      <c r="Z157" s="6">
        <f t="shared" ca="1" si="10"/>
        <v>45.614552459007164</v>
      </c>
      <c r="AA157" s="6">
        <f t="shared" ca="1" si="11"/>
        <v>1</v>
      </c>
    </row>
    <row r="158" spans="1:27">
      <c r="A158" s="11">
        <v>157</v>
      </c>
      <c r="B158" s="12">
        <v>2</v>
      </c>
      <c r="C158" s="11">
        <v>2</v>
      </c>
      <c r="D158" s="11">
        <v>1</v>
      </c>
      <c r="E158" s="11">
        <v>2</v>
      </c>
      <c r="F158" s="11">
        <v>4</v>
      </c>
      <c r="G158" s="11">
        <v>3</v>
      </c>
      <c r="H158" s="11">
        <v>3</v>
      </c>
      <c r="I158" s="11">
        <v>1</v>
      </c>
      <c r="J158" s="11">
        <v>1</v>
      </c>
      <c r="K158" s="11">
        <v>3</v>
      </c>
      <c r="L158" s="11">
        <v>1</v>
      </c>
      <c r="M158" s="11">
        <v>2</v>
      </c>
      <c r="N158" s="11">
        <v>3</v>
      </c>
      <c r="O158" s="11">
        <v>1</v>
      </c>
      <c r="P158" s="11">
        <v>5</v>
      </c>
      <c r="Q158" s="11">
        <v>1</v>
      </c>
      <c r="R158" s="11">
        <v>3</v>
      </c>
      <c r="S158" s="11">
        <v>2</v>
      </c>
      <c r="T158" s="11">
        <v>3</v>
      </c>
      <c r="U158" s="10">
        <v>2</v>
      </c>
      <c r="V158" s="6">
        <f t="shared" ca="1" si="9"/>
        <v>34.864565359863391</v>
      </c>
      <c r="W158" s="6">
        <f t="shared" ca="1" si="9"/>
        <v>34.711699602070837</v>
      </c>
      <c r="X158" s="6">
        <f t="shared" ca="1" si="9"/>
        <v>34.857577729073846</v>
      </c>
      <c r="Y158" s="6">
        <f t="shared" ca="1" si="9"/>
        <v>35.114304953319518</v>
      </c>
      <c r="Z158" s="6">
        <f t="shared" ca="1" si="10"/>
        <v>34.711699602070837</v>
      </c>
      <c r="AA158" s="6">
        <f t="shared" ca="1" si="11"/>
        <v>2</v>
      </c>
    </row>
    <row r="159" spans="1:27">
      <c r="A159" s="11">
        <v>158</v>
      </c>
      <c r="B159" s="12">
        <v>2</v>
      </c>
      <c r="C159" s="11">
        <v>4</v>
      </c>
      <c r="D159" s="11">
        <v>4</v>
      </c>
      <c r="E159" s="11">
        <v>5</v>
      </c>
      <c r="F159" s="11">
        <v>4</v>
      </c>
      <c r="G159" s="11">
        <v>5</v>
      </c>
      <c r="H159" s="11">
        <v>3</v>
      </c>
      <c r="I159" s="11">
        <v>1</v>
      </c>
      <c r="J159" s="11">
        <v>1</v>
      </c>
      <c r="K159" s="11">
        <v>5</v>
      </c>
      <c r="L159" s="11">
        <v>1</v>
      </c>
      <c r="M159" s="11">
        <v>1</v>
      </c>
      <c r="N159" s="11">
        <v>1</v>
      </c>
      <c r="O159" s="11">
        <v>4</v>
      </c>
      <c r="P159" s="11">
        <v>4</v>
      </c>
      <c r="Q159" s="11">
        <v>1</v>
      </c>
      <c r="R159" s="11">
        <v>2</v>
      </c>
      <c r="S159" s="11">
        <v>3</v>
      </c>
      <c r="T159" s="11">
        <v>4</v>
      </c>
      <c r="U159" s="10">
        <v>3</v>
      </c>
      <c r="V159" s="6">
        <f t="shared" ca="1" si="9"/>
        <v>43.584057009207775</v>
      </c>
      <c r="W159" s="6">
        <f t="shared" ca="1" si="9"/>
        <v>43.976930717547091</v>
      </c>
      <c r="X159" s="6">
        <f t="shared" ca="1" si="9"/>
        <v>43.795641519388994</v>
      </c>
      <c r="Y159" s="6">
        <f t="shared" ca="1" si="9"/>
        <v>44.324948570076849</v>
      </c>
      <c r="Z159" s="6">
        <f t="shared" ca="1" si="10"/>
        <v>43.584057009207775</v>
      </c>
      <c r="AA159" s="6">
        <f t="shared" ca="1" si="11"/>
        <v>1</v>
      </c>
    </row>
    <row r="160" spans="1:27">
      <c r="A160" s="11">
        <v>159</v>
      </c>
      <c r="B160" s="12">
        <v>4</v>
      </c>
      <c r="C160" s="11">
        <v>2</v>
      </c>
      <c r="D160" s="11">
        <v>2</v>
      </c>
      <c r="E160" s="11">
        <v>2</v>
      </c>
      <c r="F160" s="11">
        <v>4</v>
      </c>
      <c r="G160" s="11">
        <v>2</v>
      </c>
      <c r="H160" s="11">
        <v>3</v>
      </c>
      <c r="I160" s="11">
        <v>3</v>
      </c>
      <c r="J160" s="11">
        <v>2</v>
      </c>
      <c r="K160" s="11">
        <v>3</v>
      </c>
      <c r="L160" s="11">
        <v>2</v>
      </c>
      <c r="M160" s="11">
        <v>2</v>
      </c>
      <c r="N160" s="11">
        <v>2</v>
      </c>
      <c r="O160" s="11">
        <v>4</v>
      </c>
      <c r="P160" s="11">
        <v>4</v>
      </c>
      <c r="Q160" s="11">
        <v>2</v>
      </c>
      <c r="R160" s="11">
        <v>4</v>
      </c>
      <c r="S160" s="11">
        <v>2</v>
      </c>
      <c r="T160" s="11">
        <v>3</v>
      </c>
      <c r="U160" s="10">
        <v>2</v>
      </c>
      <c r="V160" s="6">
        <f t="shared" ca="1" si="9"/>
        <v>15.959756965008291</v>
      </c>
      <c r="W160" s="6">
        <f t="shared" ca="1" si="9"/>
        <v>16.119400703305512</v>
      </c>
      <c r="X160" s="6">
        <f t="shared" ca="1" si="9"/>
        <v>15.721044802933378</v>
      </c>
      <c r="Y160" s="6">
        <f t="shared" ca="1" si="9"/>
        <v>16.013303147494284</v>
      </c>
      <c r="Z160" s="6">
        <f t="shared" ca="1" si="10"/>
        <v>15.721044802933378</v>
      </c>
      <c r="AA160" s="6">
        <f t="shared" ca="1" si="11"/>
        <v>3</v>
      </c>
    </row>
    <row r="161" spans="1:27">
      <c r="A161" s="11">
        <v>160</v>
      </c>
      <c r="B161" s="12">
        <v>2</v>
      </c>
      <c r="C161" s="11">
        <v>1</v>
      </c>
      <c r="D161" s="11">
        <v>1</v>
      </c>
      <c r="E161" s="11">
        <v>3</v>
      </c>
      <c r="F161" s="11">
        <v>2</v>
      </c>
      <c r="G161" s="11">
        <v>1</v>
      </c>
      <c r="H161" s="11">
        <v>3</v>
      </c>
      <c r="I161" s="11">
        <v>3</v>
      </c>
      <c r="J161" s="11">
        <v>2</v>
      </c>
      <c r="K161" s="11">
        <v>4</v>
      </c>
      <c r="L161" s="11">
        <v>1</v>
      </c>
      <c r="M161" s="11">
        <v>2</v>
      </c>
      <c r="N161" s="11">
        <v>1</v>
      </c>
      <c r="O161" s="11">
        <v>5</v>
      </c>
      <c r="P161" s="11">
        <v>5</v>
      </c>
      <c r="Q161" s="11">
        <v>3</v>
      </c>
      <c r="R161" s="11">
        <v>1</v>
      </c>
      <c r="S161" s="11">
        <v>2</v>
      </c>
      <c r="T161" s="11">
        <v>3</v>
      </c>
      <c r="U161" s="10">
        <v>4</v>
      </c>
      <c r="V161" s="6">
        <f t="shared" ca="1" si="9"/>
        <v>39.034050587853493</v>
      </c>
      <c r="W161" s="6">
        <f t="shared" ca="1" si="9"/>
        <v>39.523485281857113</v>
      </c>
      <c r="X161" s="6">
        <f t="shared" ca="1" si="9"/>
        <v>39.374965985306787</v>
      </c>
      <c r="Y161" s="6">
        <f t="shared" ca="1" si="9"/>
        <v>38.757363247004484</v>
      </c>
      <c r="Z161" s="6">
        <f t="shared" ca="1" si="10"/>
        <v>38.757363247004484</v>
      </c>
      <c r="AA161" s="6">
        <f t="shared" ca="1" si="11"/>
        <v>4</v>
      </c>
    </row>
    <row r="162" spans="1:27">
      <c r="A162" s="11">
        <v>161</v>
      </c>
      <c r="B162" s="12">
        <v>3</v>
      </c>
      <c r="C162" s="11">
        <v>2</v>
      </c>
      <c r="D162" s="11">
        <v>2</v>
      </c>
      <c r="E162" s="11">
        <v>2</v>
      </c>
      <c r="F162" s="11">
        <v>3</v>
      </c>
      <c r="G162" s="11">
        <v>2</v>
      </c>
      <c r="H162" s="11">
        <v>3</v>
      </c>
      <c r="I162" s="11">
        <v>2</v>
      </c>
      <c r="J162" s="11">
        <v>1</v>
      </c>
      <c r="K162" s="11">
        <v>3</v>
      </c>
      <c r="L162" s="11">
        <v>2</v>
      </c>
      <c r="M162" s="11">
        <v>3</v>
      </c>
      <c r="N162" s="11">
        <v>2</v>
      </c>
      <c r="O162" s="11">
        <v>1</v>
      </c>
      <c r="P162" s="11">
        <v>2</v>
      </c>
      <c r="Q162" s="11">
        <v>3</v>
      </c>
      <c r="R162" s="11">
        <v>2</v>
      </c>
      <c r="S162" s="11">
        <v>3</v>
      </c>
      <c r="T162" s="11">
        <v>3</v>
      </c>
      <c r="U162" s="10">
        <v>2</v>
      </c>
      <c r="V162" s="6">
        <f t="shared" ca="1" si="9"/>
        <v>17.89027897205402</v>
      </c>
      <c r="W162" s="6">
        <f t="shared" ca="1" si="9"/>
        <v>17.901927685163908</v>
      </c>
      <c r="X162" s="6">
        <f t="shared" ca="1" si="9"/>
        <v>17.980793659442668</v>
      </c>
      <c r="Y162" s="6">
        <f t="shared" ca="1" si="9"/>
        <v>17.943135953643338</v>
      </c>
      <c r="Z162" s="6">
        <f t="shared" ca="1" si="10"/>
        <v>17.89027897205402</v>
      </c>
      <c r="AA162" s="6">
        <f t="shared" ca="1" si="11"/>
        <v>1</v>
      </c>
    </row>
    <row r="163" spans="1:27">
      <c r="A163" s="11">
        <v>162</v>
      </c>
      <c r="B163" s="12">
        <v>3</v>
      </c>
      <c r="C163" s="11">
        <v>4</v>
      </c>
      <c r="D163" s="11">
        <v>2</v>
      </c>
      <c r="E163" s="11">
        <v>4</v>
      </c>
      <c r="F163" s="11">
        <v>3</v>
      </c>
      <c r="G163" s="11">
        <v>2</v>
      </c>
      <c r="H163" s="11">
        <v>2</v>
      </c>
      <c r="I163" s="11">
        <v>4</v>
      </c>
      <c r="J163" s="11">
        <v>2</v>
      </c>
      <c r="K163" s="11">
        <v>4</v>
      </c>
      <c r="L163" s="11">
        <v>1</v>
      </c>
      <c r="M163" s="11">
        <v>2</v>
      </c>
      <c r="N163" s="11">
        <v>3</v>
      </c>
      <c r="O163" s="11">
        <v>4</v>
      </c>
      <c r="P163" s="11">
        <v>5</v>
      </c>
      <c r="Q163" s="11">
        <v>3</v>
      </c>
      <c r="R163" s="11">
        <v>2</v>
      </c>
      <c r="S163" s="11">
        <v>2</v>
      </c>
      <c r="T163" s="11">
        <v>3</v>
      </c>
      <c r="U163" s="10">
        <v>4</v>
      </c>
      <c r="V163" s="6">
        <f t="shared" ca="1" si="9"/>
        <v>21.159339165694519</v>
      </c>
      <c r="W163" s="6">
        <f t="shared" ca="1" si="9"/>
        <v>21.283594571223393</v>
      </c>
      <c r="X163" s="6">
        <f t="shared" ca="1" si="9"/>
        <v>21.239299005365382</v>
      </c>
      <c r="Y163" s="6">
        <f t="shared" ca="1" si="9"/>
        <v>20.884564809468976</v>
      </c>
      <c r="Z163" s="6">
        <f t="shared" ca="1" si="10"/>
        <v>20.884564809468976</v>
      </c>
      <c r="AA163" s="6">
        <f t="shared" ca="1" si="11"/>
        <v>4</v>
      </c>
    </row>
    <row r="164" spans="1:27">
      <c r="A164" s="11">
        <v>163</v>
      </c>
      <c r="B164" s="12">
        <v>3</v>
      </c>
      <c r="C164" s="11">
        <v>2</v>
      </c>
      <c r="D164" s="11">
        <v>2</v>
      </c>
      <c r="E164" s="11">
        <v>4</v>
      </c>
      <c r="F164" s="11">
        <v>2</v>
      </c>
      <c r="G164" s="11">
        <v>2</v>
      </c>
      <c r="H164" s="11">
        <v>3</v>
      </c>
      <c r="I164" s="11">
        <v>2</v>
      </c>
      <c r="J164" s="11">
        <v>2</v>
      </c>
      <c r="K164" s="11">
        <v>4</v>
      </c>
      <c r="L164" s="11">
        <v>1</v>
      </c>
      <c r="M164" s="11">
        <v>1</v>
      </c>
      <c r="N164" s="11">
        <v>2</v>
      </c>
      <c r="O164" s="11">
        <v>2</v>
      </c>
      <c r="P164" s="11">
        <v>2</v>
      </c>
      <c r="Q164" s="11">
        <v>2</v>
      </c>
      <c r="R164" s="11">
        <v>1</v>
      </c>
      <c r="S164" s="11">
        <v>2</v>
      </c>
      <c r="T164" s="11">
        <v>2</v>
      </c>
      <c r="U164" s="10">
        <v>4</v>
      </c>
      <c r="V164" s="6">
        <f t="shared" ca="1" si="9"/>
        <v>27.035808362810741</v>
      </c>
      <c r="W164" s="6">
        <f t="shared" ca="1" si="9"/>
        <v>27.535134318100503</v>
      </c>
      <c r="X164" s="6">
        <f t="shared" ca="1" si="9"/>
        <v>27.218966109813238</v>
      </c>
      <c r="Y164" s="6">
        <f t="shared" ca="1" si="9"/>
        <v>27.036648960432416</v>
      </c>
      <c r="Z164" s="6">
        <f t="shared" ca="1" si="10"/>
        <v>27.035808362810741</v>
      </c>
      <c r="AA164" s="6">
        <f t="shared" ca="1" si="11"/>
        <v>1</v>
      </c>
    </row>
    <row r="165" spans="1:27">
      <c r="A165" s="11">
        <v>164</v>
      </c>
      <c r="B165" s="12">
        <v>5</v>
      </c>
      <c r="C165" s="11">
        <v>5</v>
      </c>
      <c r="D165" s="11">
        <v>2</v>
      </c>
      <c r="E165" s="11">
        <v>2</v>
      </c>
      <c r="F165" s="11">
        <v>2</v>
      </c>
      <c r="G165" s="11">
        <v>5</v>
      </c>
      <c r="H165" s="11">
        <v>5</v>
      </c>
      <c r="I165" s="11">
        <v>2</v>
      </c>
      <c r="J165" s="11">
        <v>2</v>
      </c>
      <c r="K165" s="11">
        <v>2</v>
      </c>
      <c r="L165" s="11">
        <v>2</v>
      </c>
      <c r="M165" s="11">
        <v>2</v>
      </c>
      <c r="N165" s="11">
        <v>2</v>
      </c>
      <c r="O165" s="11">
        <v>5</v>
      </c>
      <c r="P165" s="11">
        <v>2</v>
      </c>
      <c r="Q165" s="11">
        <v>5</v>
      </c>
      <c r="R165" s="11">
        <v>5</v>
      </c>
      <c r="S165" s="11">
        <v>2</v>
      </c>
      <c r="T165" s="11">
        <v>5</v>
      </c>
      <c r="U165" s="10">
        <v>2</v>
      </c>
      <c r="V165" s="6">
        <f t="shared" ca="1" si="9"/>
        <v>43.817116854493015</v>
      </c>
      <c r="W165" s="6">
        <f t="shared" ca="1" si="9"/>
        <v>43.672808416723051</v>
      </c>
      <c r="X165" s="6">
        <f t="shared" ca="1" si="9"/>
        <v>43.275829605738096</v>
      </c>
      <c r="Y165" s="6">
        <f t="shared" ca="1" si="9"/>
        <v>43.815876938476819</v>
      </c>
      <c r="Z165" s="6">
        <f t="shared" ca="1" si="10"/>
        <v>43.275829605738096</v>
      </c>
      <c r="AA165" s="6">
        <f t="shared" ca="1" si="11"/>
        <v>3</v>
      </c>
    </row>
    <row r="166" spans="1:27">
      <c r="A166" s="11">
        <v>165</v>
      </c>
      <c r="B166" s="12">
        <v>3</v>
      </c>
      <c r="C166" s="11">
        <v>4</v>
      </c>
      <c r="D166" s="11">
        <v>2</v>
      </c>
      <c r="E166" s="11">
        <v>2</v>
      </c>
      <c r="F166" s="11">
        <v>3</v>
      </c>
      <c r="G166" s="11">
        <v>3</v>
      </c>
      <c r="H166" s="11">
        <v>4</v>
      </c>
      <c r="I166" s="11">
        <v>2</v>
      </c>
      <c r="J166" s="11">
        <v>2</v>
      </c>
      <c r="K166" s="11">
        <v>4</v>
      </c>
      <c r="L166" s="11">
        <v>1</v>
      </c>
      <c r="M166" s="11">
        <v>2</v>
      </c>
      <c r="N166" s="11">
        <v>3</v>
      </c>
      <c r="O166" s="11">
        <v>2</v>
      </c>
      <c r="P166" s="11">
        <v>5</v>
      </c>
      <c r="Q166" s="11">
        <v>4</v>
      </c>
      <c r="R166" s="11">
        <v>5</v>
      </c>
      <c r="S166" s="11">
        <v>3</v>
      </c>
      <c r="T166" s="11">
        <v>4</v>
      </c>
      <c r="U166" s="10">
        <v>3</v>
      </c>
      <c r="V166" s="6">
        <f t="shared" ca="1" si="9"/>
        <v>23.103153034137176</v>
      </c>
      <c r="W166" s="6">
        <f t="shared" ca="1" si="9"/>
        <v>22.619428047324995</v>
      </c>
      <c r="X166" s="6">
        <f t="shared" ca="1" si="9"/>
        <v>22.972528045226483</v>
      </c>
      <c r="Y166" s="6">
        <f t="shared" ca="1" si="9"/>
        <v>22.80434726937818</v>
      </c>
      <c r="Z166" s="6">
        <f t="shared" ca="1" si="10"/>
        <v>22.619428047324995</v>
      </c>
      <c r="AA166" s="6">
        <f t="shared" ca="1" si="11"/>
        <v>2</v>
      </c>
    </row>
    <row r="167" spans="1:27">
      <c r="A167" s="11">
        <v>166</v>
      </c>
      <c r="B167" s="12">
        <v>2</v>
      </c>
      <c r="C167" s="11">
        <v>2</v>
      </c>
      <c r="D167" s="11">
        <v>3</v>
      </c>
      <c r="E167" s="11">
        <v>3</v>
      </c>
      <c r="F167" s="11">
        <v>2</v>
      </c>
      <c r="G167" s="11">
        <v>2</v>
      </c>
      <c r="H167" s="11">
        <v>4</v>
      </c>
      <c r="I167" s="11">
        <v>3</v>
      </c>
      <c r="J167" s="11">
        <v>3</v>
      </c>
      <c r="K167" s="11">
        <v>3</v>
      </c>
      <c r="L167" s="11">
        <v>3</v>
      </c>
      <c r="M167" s="11">
        <v>2</v>
      </c>
      <c r="N167" s="11">
        <v>4</v>
      </c>
      <c r="O167" s="11">
        <v>2</v>
      </c>
      <c r="P167" s="11">
        <v>4</v>
      </c>
      <c r="Q167" s="11">
        <v>3</v>
      </c>
      <c r="R167" s="11">
        <v>2</v>
      </c>
      <c r="S167" s="11">
        <v>5</v>
      </c>
      <c r="T167" s="11">
        <v>5</v>
      </c>
      <c r="U167" s="10">
        <v>5</v>
      </c>
      <c r="V167" s="6">
        <f t="shared" ca="1" si="9"/>
        <v>21.955950498920593</v>
      </c>
      <c r="W167" s="6">
        <f t="shared" ca="1" si="9"/>
        <v>22.09095040463005</v>
      </c>
      <c r="X167" s="6">
        <f t="shared" ca="1" si="9"/>
        <v>22.411832396497076</v>
      </c>
      <c r="Y167" s="6">
        <f t="shared" ca="1" si="9"/>
        <v>21.960722124569777</v>
      </c>
      <c r="Z167" s="6">
        <f t="shared" ca="1" si="10"/>
        <v>21.955950498920593</v>
      </c>
      <c r="AA167" s="6">
        <f t="shared" ca="1" si="11"/>
        <v>1</v>
      </c>
    </row>
    <row r="168" spans="1:27">
      <c r="A168" s="11">
        <v>167</v>
      </c>
      <c r="B168" s="12">
        <v>2</v>
      </c>
      <c r="C168" s="11">
        <v>3</v>
      </c>
      <c r="D168" s="11">
        <v>3</v>
      </c>
      <c r="E168" s="11">
        <v>2</v>
      </c>
      <c r="F168" s="11">
        <v>4</v>
      </c>
      <c r="G168" s="11">
        <v>3</v>
      </c>
      <c r="H168" s="11">
        <v>3</v>
      </c>
      <c r="I168" s="11">
        <v>1</v>
      </c>
      <c r="J168" s="11">
        <v>1</v>
      </c>
      <c r="K168" s="11">
        <v>3</v>
      </c>
      <c r="L168" s="11">
        <v>3</v>
      </c>
      <c r="M168" s="11">
        <v>2</v>
      </c>
      <c r="N168" s="11">
        <v>4</v>
      </c>
      <c r="O168" s="11">
        <v>3</v>
      </c>
      <c r="P168" s="11">
        <v>2</v>
      </c>
      <c r="Q168" s="11">
        <v>4</v>
      </c>
      <c r="R168" s="11">
        <v>3</v>
      </c>
      <c r="S168" s="11">
        <v>4</v>
      </c>
      <c r="T168" s="11">
        <v>2</v>
      </c>
      <c r="U168" s="10">
        <v>5</v>
      </c>
      <c r="V168" s="6">
        <f t="shared" ca="1" si="9"/>
        <v>21.331928512160104</v>
      </c>
      <c r="W168" s="6">
        <f t="shared" ca="1" si="9"/>
        <v>20.997205071666862</v>
      </c>
      <c r="X168" s="6">
        <f t="shared" ca="1" si="9"/>
        <v>21.007117349098728</v>
      </c>
      <c r="Y168" s="6">
        <f t="shared" ca="1" si="9"/>
        <v>21.306351663803511</v>
      </c>
      <c r="Z168" s="6">
        <f t="shared" ca="1" si="10"/>
        <v>20.997205071666862</v>
      </c>
      <c r="AA168" s="6">
        <f t="shared" ca="1" si="11"/>
        <v>2</v>
      </c>
    </row>
    <row r="169" spans="1:27">
      <c r="A169" s="11">
        <v>168</v>
      </c>
      <c r="B169" s="12">
        <v>4</v>
      </c>
      <c r="C169" s="11">
        <v>1</v>
      </c>
      <c r="D169" s="11">
        <v>1</v>
      </c>
      <c r="E169" s="11">
        <v>2</v>
      </c>
      <c r="F169" s="11">
        <v>2</v>
      </c>
      <c r="G169" s="11">
        <v>1</v>
      </c>
      <c r="H169" s="11">
        <v>3</v>
      </c>
      <c r="I169" s="11">
        <v>2</v>
      </c>
      <c r="J169" s="11">
        <v>2</v>
      </c>
      <c r="K169" s="11">
        <v>2</v>
      </c>
      <c r="L169" s="11">
        <v>2</v>
      </c>
      <c r="M169" s="11">
        <v>4</v>
      </c>
      <c r="N169" s="11">
        <v>2</v>
      </c>
      <c r="O169" s="11">
        <v>4</v>
      </c>
      <c r="P169" s="11">
        <v>3</v>
      </c>
      <c r="Q169" s="11">
        <v>2</v>
      </c>
      <c r="R169" s="11">
        <v>1</v>
      </c>
      <c r="S169" s="11">
        <v>4</v>
      </c>
      <c r="T169" s="11">
        <v>5</v>
      </c>
      <c r="U169" s="10">
        <v>2</v>
      </c>
      <c r="V169" s="6">
        <f t="shared" ca="1" si="9"/>
        <v>32.648737464221128</v>
      </c>
      <c r="W169" s="6">
        <f t="shared" ca="1" si="9"/>
        <v>33.284294202421513</v>
      </c>
      <c r="X169" s="6">
        <f t="shared" ca="1" si="9"/>
        <v>32.90307037577216</v>
      </c>
      <c r="Y169" s="6">
        <f t="shared" ca="1" si="9"/>
        <v>32.778720228461303</v>
      </c>
      <c r="Z169" s="6">
        <f t="shared" ca="1" si="10"/>
        <v>32.648737464221128</v>
      </c>
      <c r="AA169" s="6">
        <f t="shared" ca="1" si="11"/>
        <v>1</v>
      </c>
    </row>
    <row r="170" spans="1:27">
      <c r="A170" s="11">
        <v>169</v>
      </c>
      <c r="B170" s="12">
        <v>4</v>
      </c>
      <c r="C170" s="11">
        <v>2</v>
      </c>
      <c r="D170" s="11">
        <v>3</v>
      </c>
      <c r="E170" s="11">
        <v>2</v>
      </c>
      <c r="F170" s="11">
        <v>4</v>
      </c>
      <c r="G170" s="11">
        <v>2</v>
      </c>
      <c r="H170" s="11">
        <v>3</v>
      </c>
      <c r="I170" s="11">
        <v>2</v>
      </c>
      <c r="J170" s="11">
        <v>1</v>
      </c>
      <c r="K170" s="11">
        <v>1</v>
      </c>
      <c r="L170" s="11">
        <v>1</v>
      </c>
      <c r="M170" s="11">
        <v>2</v>
      </c>
      <c r="N170" s="11">
        <v>4</v>
      </c>
      <c r="O170" s="11">
        <v>2</v>
      </c>
      <c r="P170" s="11">
        <v>2</v>
      </c>
      <c r="Q170" s="11">
        <v>2</v>
      </c>
      <c r="R170" s="11">
        <v>2</v>
      </c>
      <c r="S170" s="11">
        <v>2</v>
      </c>
      <c r="T170" s="11">
        <v>2</v>
      </c>
      <c r="U170" s="10">
        <v>3</v>
      </c>
      <c r="V170" s="6">
        <f t="shared" ca="1" si="9"/>
        <v>26.002838318138956</v>
      </c>
      <c r="W170" s="6">
        <f t="shared" ca="1" si="9"/>
        <v>26.205501551697445</v>
      </c>
      <c r="X170" s="6">
        <f t="shared" ca="1" si="9"/>
        <v>25.903352499468589</v>
      </c>
      <c r="Y170" s="6">
        <f t="shared" ca="1" si="9"/>
        <v>26.309460977570154</v>
      </c>
      <c r="Z170" s="6">
        <f t="shared" ca="1" si="10"/>
        <v>25.903352499468589</v>
      </c>
      <c r="AA170" s="6">
        <f t="shared" ca="1" si="11"/>
        <v>3</v>
      </c>
    </row>
    <row r="171" spans="1:27">
      <c r="A171" s="11">
        <v>170</v>
      </c>
      <c r="B171" s="12">
        <v>3</v>
      </c>
      <c r="C171" s="11">
        <v>3</v>
      </c>
      <c r="D171" s="11">
        <v>1</v>
      </c>
      <c r="E171" s="11">
        <v>1</v>
      </c>
      <c r="F171" s="11">
        <v>3</v>
      </c>
      <c r="G171" s="11">
        <v>2</v>
      </c>
      <c r="H171" s="11">
        <v>3</v>
      </c>
      <c r="I171" s="11">
        <v>3</v>
      </c>
      <c r="J171" s="11">
        <v>2</v>
      </c>
      <c r="K171" s="11">
        <v>2</v>
      </c>
      <c r="L171" s="11">
        <v>2</v>
      </c>
      <c r="M171" s="11">
        <v>1</v>
      </c>
      <c r="N171" s="11">
        <v>3</v>
      </c>
      <c r="O171" s="11">
        <v>4</v>
      </c>
      <c r="P171" s="11">
        <v>4</v>
      </c>
      <c r="Q171" s="11">
        <v>5</v>
      </c>
      <c r="R171" s="11">
        <v>2</v>
      </c>
      <c r="S171" s="11">
        <v>3</v>
      </c>
      <c r="T171" s="11">
        <v>4</v>
      </c>
      <c r="U171" s="10">
        <v>2</v>
      </c>
      <c r="V171" s="6">
        <f t="shared" ca="1" si="9"/>
        <v>25.064221576204062</v>
      </c>
      <c r="W171" s="6">
        <f t="shared" ca="1" si="9"/>
        <v>24.837079871135078</v>
      </c>
      <c r="X171" s="6">
        <f t="shared" ca="1" si="9"/>
        <v>25.051876852769215</v>
      </c>
      <c r="Y171" s="6">
        <f t="shared" ca="1" si="9"/>
        <v>24.579299101627488</v>
      </c>
      <c r="Z171" s="6">
        <f t="shared" ca="1" si="10"/>
        <v>24.579299101627488</v>
      </c>
      <c r="AA171" s="6">
        <f t="shared" ca="1" si="11"/>
        <v>4</v>
      </c>
    </row>
    <row r="172" spans="1:27">
      <c r="A172" s="11">
        <v>171</v>
      </c>
      <c r="B172" s="12">
        <v>3</v>
      </c>
      <c r="C172" s="11">
        <v>4</v>
      </c>
      <c r="D172" s="11">
        <v>3</v>
      </c>
      <c r="E172" s="11">
        <v>2</v>
      </c>
      <c r="F172" s="11">
        <v>3</v>
      </c>
      <c r="G172" s="11">
        <v>3</v>
      </c>
      <c r="H172" s="11">
        <v>3</v>
      </c>
      <c r="I172" s="11">
        <v>4</v>
      </c>
      <c r="J172" s="11">
        <v>2</v>
      </c>
      <c r="K172" s="11">
        <v>4</v>
      </c>
      <c r="L172" s="11">
        <v>3</v>
      </c>
      <c r="M172" s="11">
        <v>2</v>
      </c>
      <c r="N172" s="11">
        <v>3</v>
      </c>
      <c r="O172" s="11">
        <v>3</v>
      </c>
      <c r="P172" s="11">
        <v>4</v>
      </c>
      <c r="Q172" s="11">
        <v>3</v>
      </c>
      <c r="R172" s="11">
        <v>2</v>
      </c>
      <c r="S172" s="11">
        <v>3</v>
      </c>
      <c r="T172" s="11">
        <v>4</v>
      </c>
      <c r="U172" s="10">
        <v>3</v>
      </c>
      <c r="V172" s="6">
        <f t="shared" ca="1" si="9"/>
        <v>9.0534642622386627</v>
      </c>
      <c r="W172" s="6">
        <f t="shared" ca="1" si="9"/>
        <v>9.0382131201195737</v>
      </c>
      <c r="X172" s="6">
        <f t="shared" ca="1" si="9"/>
        <v>9.1405803421430125</v>
      </c>
      <c r="Y172" s="6">
        <f t="shared" ca="1" si="9"/>
        <v>8.8343268732568276</v>
      </c>
      <c r="Z172" s="6">
        <f t="shared" ca="1" si="10"/>
        <v>8.8343268732568276</v>
      </c>
      <c r="AA172" s="6">
        <f t="shared" ca="1" si="11"/>
        <v>4</v>
      </c>
    </row>
    <row r="173" spans="1:27">
      <c r="A173" s="11">
        <v>172</v>
      </c>
      <c r="B173" s="12">
        <v>3</v>
      </c>
      <c r="C173" s="11">
        <v>3</v>
      </c>
      <c r="D173" s="11">
        <v>2</v>
      </c>
      <c r="E173" s="11">
        <v>2</v>
      </c>
      <c r="F173" s="11">
        <v>5</v>
      </c>
      <c r="G173" s="11">
        <v>5</v>
      </c>
      <c r="H173" s="11">
        <v>5</v>
      </c>
      <c r="I173" s="11">
        <v>2</v>
      </c>
      <c r="J173" s="11">
        <v>2</v>
      </c>
      <c r="K173" s="11">
        <v>3</v>
      </c>
      <c r="L173" s="11">
        <v>2</v>
      </c>
      <c r="M173" s="11">
        <v>2</v>
      </c>
      <c r="N173" s="11">
        <v>2</v>
      </c>
      <c r="O173" s="11">
        <v>5</v>
      </c>
      <c r="P173" s="11">
        <v>4</v>
      </c>
      <c r="Q173" s="11">
        <v>3</v>
      </c>
      <c r="R173" s="11">
        <v>3</v>
      </c>
      <c r="S173" s="11">
        <v>4</v>
      </c>
      <c r="T173" s="11">
        <v>3</v>
      </c>
      <c r="U173" s="10">
        <v>5</v>
      </c>
      <c r="V173" s="6">
        <f t="shared" ca="1" si="9"/>
        <v>29.25023985047164</v>
      </c>
      <c r="W173" s="6">
        <f t="shared" ca="1" si="9"/>
        <v>28.835462847940207</v>
      </c>
      <c r="X173" s="6">
        <f t="shared" ca="1" si="9"/>
        <v>28.854612581124961</v>
      </c>
      <c r="Y173" s="6">
        <f t="shared" ca="1" si="9"/>
        <v>29.358094451715584</v>
      </c>
      <c r="Z173" s="6">
        <f t="shared" ca="1" si="10"/>
        <v>28.835462847940207</v>
      </c>
      <c r="AA173" s="6">
        <f t="shared" ca="1" si="11"/>
        <v>2</v>
      </c>
    </row>
    <row r="174" spans="1:27">
      <c r="A174" s="11">
        <v>173</v>
      </c>
      <c r="B174" s="12">
        <v>3</v>
      </c>
      <c r="C174" s="11">
        <v>3</v>
      </c>
      <c r="D174" s="11">
        <v>2</v>
      </c>
      <c r="E174" s="11">
        <v>2</v>
      </c>
      <c r="F174" s="11">
        <v>3</v>
      </c>
      <c r="G174" s="11">
        <v>3</v>
      </c>
      <c r="H174" s="11">
        <v>3</v>
      </c>
      <c r="I174" s="11">
        <v>2</v>
      </c>
      <c r="J174" s="11">
        <v>2</v>
      </c>
      <c r="K174" s="11">
        <v>3</v>
      </c>
      <c r="L174" s="11">
        <v>2</v>
      </c>
      <c r="M174" s="11">
        <v>3</v>
      </c>
      <c r="N174" s="11">
        <v>2</v>
      </c>
      <c r="O174" s="11">
        <v>3</v>
      </c>
      <c r="P174" s="11">
        <v>3</v>
      </c>
      <c r="Q174" s="11">
        <v>3</v>
      </c>
      <c r="R174" s="11">
        <v>2</v>
      </c>
      <c r="S174" s="11">
        <v>2</v>
      </c>
      <c r="T174" s="11">
        <v>3</v>
      </c>
      <c r="U174" s="10">
        <v>3</v>
      </c>
      <c r="V174" s="6">
        <f t="shared" ca="1" si="9"/>
        <v>8.0333102480485383</v>
      </c>
      <c r="W174" s="6">
        <f t="shared" ca="1" si="9"/>
        <v>8.0497677617670185</v>
      </c>
      <c r="X174" s="6">
        <f t="shared" ca="1" si="9"/>
        <v>8.0104049090211422</v>
      </c>
      <c r="Y174" s="6">
        <f t="shared" ca="1" si="9"/>
        <v>8.0027672203376987</v>
      </c>
      <c r="Z174" s="6">
        <f t="shared" ca="1" si="10"/>
        <v>8.0027672203376987</v>
      </c>
      <c r="AA174" s="6">
        <f t="shared" ca="1" si="11"/>
        <v>4</v>
      </c>
    </row>
    <row r="175" spans="1:27">
      <c r="A175" s="11">
        <v>174</v>
      </c>
      <c r="B175" s="12">
        <v>2</v>
      </c>
      <c r="C175" s="11">
        <v>4</v>
      </c>
      <c r="D175" s="11">
        <v>2</v>
      </c>
      <c r="E175" s="11">
        <v>1</v>
      </c>
      <c r="F175" s="11">
        <v>2</v>
      </c>
      <c r="G175" s="11">
        <v>3</v>
      </c>
      <c r="H175" s="11">
        <v>3</v>
      </c>
      <c r="I175" s="11">
        <v>2</v>
      </c>
      <c r="J175" s="11">
        <v>1</v>
      </c>
      <c r="K175" s="11">
        <v>1</v>
      </c>
      <c r="L175" s="11">
        <v>5</v>
      </c>
      <c r="M175" s="11">
        <v>4</v>
      </c>
      <c r="N175" s="11">
        <v>5</v>
      </c>
      <c r="O175" s="11">
        <v>5</v>
      </c>
      <c r="P175" s="11">
        <v>5</v>
      </c>
      <c r="Q175" s="11">
        <v>2</v>
      </c>
      <c r="R175" s="11">
        <v>4</v>
      </c>
      <c r="S175" s="11">
        <v>2</v>
      </c>
      <c r="T175" s="11">
        <v>5</v>
      </c>
      <c r="U175" s="10">
        <v>2</v>
      </c>
      <c r="V175" s="6">
        <f t="shared" ca="1" si="9"/>
        <v>41.671255654544815</v>
      </c>
      <c r="W175" s="6">
        <f t="shared" ca="1" si="9"/>
        <v>41.745000737464196</v>
      </c>
      <c r="X175" s="6">
        <f t="shared" ca="1" si="9"/>
        <v>41.432685751158644</v>
      </c>
      <c r="Y175" s="6">
        <f t="shared" ca="1" si="9"/>
        <v>42.035366882006286</v>
      </c>
      <c r="Z175" s="6">
        <f t="shared" ca="1" si="10"/>
        <v>41.432685751158644</v>
      </c>
      <c r="AA175" s="6">
        <f t="shared" ca="1" si="11"/>
        <v>3</v>
      </c>
    </row>
    <row r="176" spans="1:27">
      <c r="A176" s="11">
        <v>175</v>
      </c>
      <c r="B176" s="12">
        <v>1</v>
      </c>
      <c r="C176" s="11">
        <v>1</v>
      </c>
      <c r="D176" s="11">
        <v>1</v>
      </c>
      <c r="E176" s="11">
        <v>1</v>
      </c>
      <c r="F176" s="11">
        <v>5</v>
      </c>
      <c r="G176" s="11">
        <v>1</v>
      </c>
      <c r="H176" s="11">
        <v>1</v>
      </c>
      <c r="I176" s="11">
        <v>4</v>
      </c>
      <c r="J176" s="11">
        <v>1</v>
      </c>
      <c r="K176" s="11">
        <v>5</v>
      </c>
      <c r="L176" s="11">
        <v>1</v>
      </c>
      <c r="M176" s="11">
        <v>1</v>
      </c>
      <c r="N176" s="11">
        <v>4</v>
      </c>
      <c r="O176" s="11">
        <v>2</v>
      </c>
      <c r="P176" s="11">
        <v>5</v>
      </c>
      <c r="Q176" s="11">
        <v>4</v>
      </c>
      <c r="R176" s="11">
        <v>3</v>
      </c>
      <c r="S176" s="11">
        <v>3</v>
      </c>
      <c r="T176" s="11">
        <v>3</v>
      </c>
      <c r="U176" s="10">
        <v>2</v>
      </c>
      <c r="V176" s="6">
        <f t="shared" ca="1" si="9"/>
        <v>53.305022557814659</v>
      </c>
      <c r="W176" s="6">
        <f t="shared" ca="1" si="9"/>
        <v>52.960371475353448</v>
      </c>
      <c r="X176" s="6">
        <f t="shared" ca="1" si="9"/>
        <v>53.346082703386358</v>
      </c>
      <c r="Y176" s="6">
        <f t="shared" ca="1" si="9"/>
        <v>52.520399411098069</v>
      </c>
      <c r="Z176" s="6">
        <f t="shared" ca="1" si="10"/>
        <v>52.520399411098069</v>
      </c>
      <c r="AA176" s="6">
        <f t="shared" ca="1" si="11"/>
        <v>4</v>
      </c>
    </row>
    <row r="177" spans="1:27">
      <c r="A177" s="11">
        <v>176</v>
      </c>
      <c r="B177" s="12">
        <v>5</v>
      </c>
      <c r="C177" s="11">
        <v>1</v>
      </c>
      <c r="D177" s="11">
        <v>2</v>
      </c>
      <c r="E177" s="11">
        <v>3</v>
      </c>
      <c r="F177" s="11">
        <v>2</v>
      </c>
      <c r="G177" s="11">
        <v>3</v>
      </c>
      <c r="H177" s="11">
        <v>1</v>
      </c>
      <c r="I177" s="11">
        <v>3</v>
      </c>
      <c r="J177" s="11">
        <v>4</v>
      </c>
      <c r="K177" s="11">
        <v>2</v>
      </c>
      <c r="L177" s="11">
        <v>1</v>
      </c>
      <c r="M177" s="11">
        <v>4</v>
      </c>
      <c r="N177" s="11">
        <v>3</v>
      </c>
      <c r="O177" s="11">
        <v>2</v>
      </c>
      <c r="P177" s="11">
        <v>1</v>
      </c>
      <c r="Q177" s="11">
        <v>3</v>
      </c>
      <c r="R177" s="11">
        <v>2</v>
      </c>
      <c r="S177" s="11">
        <v>3</v>
      </c>
      <c r="T177" s="11">
        <v>3</v>
      </c>
      <c r="U177" s="10">
        <v>2</v>
      </c>
      <c r="V177" s="6">
        <f t="shared" ca="1" si="9"/>
        <v>27.917688932711311</v>
      </c>
      <c r="W177" s="6">
        <f t="shared" ca="1" si="9"/>
        <v>28.4059048452641</v>
      </c>
      <c r="X177" s="6">
        <f t="shared" ca="1" si="9"/>
        <v>28.018435214490495</v>
      </c>
      <c r="Y177" s="6">
        <f t="shared" ca="1" si="9"/>
        <v>27.685248923516681</v>
      </c>
      <c r="Z177" s="6">
        <f t="shared" ca="1" si="10"/>
        <v>27.685248923516681</v>
      </c>
      <c r="AA177" s="6">
        <f t="shared" ca="1" si="11"/>
        <v>4</v>
      </c>
    </row>
    <row r="178" spans="1:27">
      <c r="A178" s="11">
        <v>177</v>
      </c>
      <c r="B178" s="12">
        <v>1</v>
      </c>
      <c r="C178" s="11">
        <v>1</v>
      </c>
      <c r="D178" s="11">
        <v>1</v>
      </c>
      <c r="E178" s="11">
        <v>1</v>
      </c>
      <c r="F178" s="11">
        <v>1</v>
      </c>
      <c r="G178" s="11">
        <v>5</v>
      </c>
      <c r="H178" s="11">
        <v>1</v>
      </c>
      <c r="I178" s="11">
        <v>1</v>
      </c>
      <c r="J178" s="11">
        <v>1</v>
      </c>
      <c r="K178" s="11">
        <v>1</v>
      </c>
      <c r="L178" s="11">
        <v>1</v>
      </c>
      <c r="M178" s="11">
        <v>1</v>
      </c>
      <c r="N178" s="11">
        <v>2</v>
      </c>
      <c r="O178" s="11">
        <v>4</v>
      </c>
      <c r="P178" s="11">
        <v>5</v>
      </c>
      <c r="Q178" s="11">
        <v>1</v>
      </c>
      <c r="R178" s="11">
        <v>1</v>
      </c>
      <c r="S178" s="11">
        <v>4</v>
      </c>
      <c r="T178" s="11">
        <v>4</v>
      </c>
      <c r="U178" s="10">
        <v>4</v>
      </c>
      <c r="V178" s="6">
        <f t="shared" ca="1" si="9"/>
        <v>64.55659955242092</v>
      </c>
      <c r="W178" s="6">
        <f t="shared" ca="1" si="9"/>
        <v>65.1069307197249</v>
      </c>
      <c r="X178" s="6">
        <f t="shared" ca="1" si="9"/>
        <v>64.976004882116143</v>
      </c>
      <c r="Y178" s="6">
        <f t="shared" ca="1" si="9"/>
        <v>64.98974283520505</v>
      </c>
      <c r="Z178" s="6">
        <f t="shared" ca="1" si="10"/>
        <v>64.55659955242092</v>
      </c>
      <c r="AA178" s="6">
        <f t="shared" ca="1" si="11"/>
        <v>1</v>
      </c>
    </row>
    <row r="179" spans="1:27">
      <c r="A179" s="11">
        <v>178</v>
      </c>
      <c r="B179" s="12">
        <v>3</v>
      </c>
      <c r="C179" s="11">
        <v>2</v>
      </c>
      <c r="D179" s="11">
        <v>2</v>
      </c>
      <c r="E179" s="11">
        <v>3</v>
      </c>
      <c r="F179" s="11">
        <v>4</v>
      </c>
      <c r="G179" s="11">
        <v>3</v>
      </c>
      <c r="H179" s="11">
        <v>3</v>
      </c>
      <c r="I179" s="11">
        <v>3</v>
      </c>
      <c r="J179" s="11">
        <v>2</v>
      </c>
      <c r="K179" s="11">
        <v>3</v>
      </c>
      <c r="L179" s="11">
        <v>3</v>
      </c>
      <c r="M179" s="11">
        <v>3</v>
      </c>
      <c r="N179" s="11">
        <v>3</v>
      </c>
      <c r="O179" s="11">
        <v>3</v>
      </c>
      <c r="P179" s="11">
        <v>2</v>
      </c>
      <c r="Q179" s="11">
        <v>2</v>
      </c>
      <c r="R179" s="11">
        <v>4</v>
      </c>
      <c r="S179" s="11">
        <v>4</v>
      </c>
      <c r="T179" s="11">
        <v>3</v>
      </c>
      <c r="U179" s="10">
        <v>2</v>
      </c>
      <c r="V179" s="6">
        <f t="shared" ca="1" si="9"/>
        <v>8.8680024092714316</v>
      </c>
      <c r="W179" s="6">
        <f t="shared" ca="1" si="9"/>
        <v>8.8751206438337888</v>
      </c>
      <c r="X179" s="6">
        <f t="shared" ca="1" si="9"/>
        <v>8.6138515720472206</v>
      </c>
      <c r="Y179" s="6">
        <f t="shared" ca="1" si="9"/>
        <v>9.0988645092333478</v>
      </c>
      <c r="Z179" s="6">
        <f t="shared" ca="1" si="10"/>
        <v>8.6138515720472206</v>
      </c>
      <c r="AA179" s="6">
        <f t="shared" ca="1" si="11"/>
        <v>3</v>
      </c>
    </row>
    <row r="180" spans="1:27">
      <c r="A180" s="11">
        <v>179</v>
      </c>
      <c r="B180" s="12">
        <v>5</v>
      </c>
      <c r="C180" s="11">
        <v>1</v>
      </c>
      <c r="D180" s="11">
        <v>1</v>
      </c>
      <c r="E180" s="11">
        <v>1</v>
      </c>
      <c r="F180" s="11">
        <v>2</v>
      </c>
      <c r="G180" s="11">
        <v>3</v>
      </c>
      <c r="H180" s="11">
        <v>4</v>
      </c>
      <c r="I180" s="11">
        <v>2</v>
      </c>
      <c r="J180" s="11">
        <v>2</v>
      </c>
      <c r="K180" s="11">
        <v>4</v>
      </c>
      <c r="L180" s="11">
        <v>3</v>
      </c>
      <c r="M180" s="11">
        <v>2</v>
      </c>
      <c r="N180" s="11">
        <v>4</v>
      </c>
      <c r="O180" s="11">
        <v>2</v>
      </c>
      <c r="P180" s="11">
        <v>4</v>
      </c>
      <c r="Q180" s="11">
        <v>1</v>
      </c>
      <c r="R180" s="11">
        <v>5</v>
      </c>
      <c r="S180" s="11">
        <v>1</v>
      </c>
      <c r="T180" s="11">
        <v>5</v>
      </c>
      <c r="U180" s="10">
        <v>3</v>
      </c>
      <c r="V180" s="6">
        <f t="shared" ca="1" si="9"/>
        <v>41.0196422175744</v>
      </c>
      <c r="W180" s="6">
        <f t="shared" ca="1" si="9"/>
        <v>41.407271273707394</v>
      </c>
      <c r="X180" s="6">
        <f t="shared" ca="1" si="9"/>
        <v>40.515808708589212</v>
      </c>
      <c r="Y180" s="6">
        <f t="shared" ca="1" si="9"/>
        <v>40.843587241477415</v>
      </c>
      <c r="Z180" s="6">
        <f t="shared" ca="1" si="10"/>
        <v>40.515808708589212</v>
      </c>
      <c r="AA180" s="6">
        <f t="shared" ca="1" si="11"/>
        <v>3</v>
      </c>
    </row>
    <row r="181" spans="1:27">
      <c r="A181" s="11">
        <v>180</v>
      </c>
      <c r="B181" s="12">
        <v>3</v>
      </c>
      <c r="C181" s="11">
        <v>2</v>
      </c>
      <c r="D181" s="11">
        <v>2</v>
      </c>
      <c r="E181" s="11">
        <v>2</v>
      </c>
      <c r="F181" s="11">
        <v>3</v>
      </c>
      <c r="G181" s="11">
        <v>4</v>
      </c>
      <c r="H181" s="11">
        <v>3</v>
      </c>
      <c r="I181" s="11">
        <v>2</v>
      </c>
      <c r="J181" s="11">
        <v>2</v>
      </c>
      <c r="K181" s="11">
        <v>3</v>
      </c>
      <c r="L181" s="11">
        <v>2</v>
      </c>
      <c r="M181" s="11">
        <v>2</v>
      </c>
      <c r="N181" s="11">
        <v>3</v>
      </c>
      <c r="O181" s="11">
        <v>4</v>
      </c>
      <c r="P181" s="11">
        <v>4</v>
      </c>
      <c r="Q181" s="11">
        <v>3</v>
      </c>
      <c r="R181" s="11">
        <v>3</v>
      </c>
      <c r="S181" s="11">
        <v>2</v>
      </c>
      <c r="T181" s="11">
        <v>2</v>
      </c>
      <c r="U181" s="10">
        <v>4</v>
      </c>
      <c r="V181" s="6">
        <f t="shared" ca="1" si="9"/>
        <v>13.219129339005034</v>
      </c>
      <c r="W181" s="6">
        <f t="shared" ca="1" si="9"/>
        <v>13.2141965777938</v>
      </c>
      <c r="X181" s="6">
        <f t="shared" ca="1" si="9"/>
        <v>12.939286031337168</v>
      </c>
      <c r="Y181" s="6">
        <f t="shared" ca="1" si="9"/>
        <v>13.033938930187082</v>
      </c>
      <c r="Z181" s="6">
        <f t="shared" ca="1" si="10"/>
        <v>12.939286031337168</v>
      </c>
      <c r="AA181" s="6">
        <f t="shared" ca="1" si="11"/>
        <v>3</v>
      </c>
    </row>
    <row r="182" spans="1:27">
      <c r="A182" s="11">
        <v>181</v>
      </c>
      <c r="B182" s="12">
        <v>2</v>
      </c>
      <c r="C182" s="11">
        <v>3</v>
      </c>
      <c r="D182" s="11">
        <v>1</v>
      </c>
      <c r="E182" s="11">
        <v>3</v>
      </c>
      <c r="F182" s="11">
        <v>5</v>
      </c>
      <c r="G182" s="11">
        <v>4</v>
      </c>
      <c r="H182" s="11">
        <v>3</v>
      </c>
      <c r="I182" s="11">
        <v>2</v>
      </c>
      <c r="J182" s="11">
        <v>1</v>
      </c>
      <c r="K182" s="11">
        <v>3</v>
      </c>
      <c r="L182" s="11">
        <v>2</v>
      </c>
      <c r="M182" s="11">
        <v>2</v>
      </c>
      <c r="N182" s="11">
        <v>2</v>
      </c>
      <c r="O182" s="11">
        <v>4</v>
      </c>
      <c r="P182" s="11">
        <v>4</v>
      </c>
      <c r="Q182" s="11">
        <v>2</v>
      </c>
      <c r="R182" s="11">
        <v>1</v>
      </c>
      <c r="S182" s="11">
        <v>3</v>
      </c>
      <c r="T182" s="11">
        <v>2</v>
      </c>
      <c r="U182" s="10">
        <v>4</v>
      </c>
      <c r="V182" s="6">
        <f t="shared" ca="1" si="9"/>
        <v>27.142411813613755</v>
      </c>
      <c r="W182" s="6">
        <f t="shared" ca="1" si="9"/>
        <v>26.89623393146276</v>
      </c>
      <c r="X182" s="6">
        <f t="shared" ca="1" si="9"/>
        <v>26.939219845656261</v>
      </c>
      <c r="Y182" s="6">
        <f t="shared" ca="1" si="9"/>
        <v>27.352170123680345</v>
      </c>
      <c r="Z182" s="6">
        <f t="shared" ca="1" si="10"/>
        <v>26.89623393146276</v>
      </c>
      <c r="AA182" s="6">
        <f t="shared" ca="1" si="11"/>
        <v>2</v>
      </c>
    </row>
    <row r="183" spans="1:27">
      <c r="A183" s="11">
        <v>182</v>
      </c>
      <c r="B183" s="12">
        <v>3</v>
      </c>
      <c r="C183" s="11">
        <v>2</v>
      </c>
      <c r="D183" s="11">
        <v>2</v>
      </c>
      <c r="E183" s="11">
        <v>3</v>
      </c>
      <c r="F183" s="11">
        <v>1</v>
      </c>
      <c r="G183" s="11">
        <v>3</v>
      </c>
      <c r="H183" s="11">
        <v>1</v>
      </c>
      <c r="I183" s="11">
        <v>4</v>
      </c>
      <c r="J183" s="11">
        <v>1</v>
      </c>
      <c r="K183" s="11">
        <v>4</v>
      </c>
      <c r="L183" s="11">
        <v>1</v>
      </c>
      <c r="M183" s="11">
        <v>1</v>
      </c>
      <c r="N183" s="11">
        <v>2</v>
      </c>
      <c r="O183" s="11">
        <v>2</v>
      </c>
      <c r="P183" s="11">
        <v>4</v>
      </c>
      <c r="Q183" s="11">
        <v>1</v>
      </c>
      <c r="R183" s="11">
        <v>2</v>
      </c>
      <c r="S183" s="11">
        <v>5</v>
      </c>
      <c r="T183" s="11">
        <v>2</v>
      </c>
      <c r="U183" s="10">
        <v>5</v>
      </c>
      <c r="V183" s="6">
        <f t="shared" ca="1" si="9"/>
        <v>40.990296135473002</v>
      </c>
      <c r="W183" s="6">
        <f t="shared" ca="1" si="9"/>
        <v>41.47233160548442</v>
      </c>
      <c r="X183" s="6">
        <f t="shared" ca="1" si="9"/>
        <v>41.254055216170485</v>
      </c>
      <c r="Y183" s="6">
        <f t="shared" ca="1" si="9"/>
        <v>40.921529888804692</v>
      </c>
      <c r="Z183" s="6">
        <f t="shared" ca="1" si="10"/>
        <v>40.921529888804692</v>
      </c>
      <c r="AA183" s="6">
        <f t="shared" ca="1" si="11"/>
        <v>4</v>
      </c>
    </row>
    <row r="184" spans="1:27">
      <c r="A184" s="11">
        <v>183</v>
      </c>
      <c r="B184" s="12">
        <v>3</v>
      </c>
      <c r="C184" s="11">
        <v>3</v>
      </c>
      <c r="D184" s="11">
        <v>1</v>
      </c>
      <c r="E184" s="11">
        <v>2</v>
      </c>
      <c r="F184" s="11">
        <v>2</v>
      </c>
      <c r="G184" s="11">
        <v>3</v>
      </c>
      <c r="H184" s="11">
        <v>3</v>
      </c>
      <c r="I184" s="11">
        <v>3</v>
      </c>
      <c r="J184" s="11">
        <v>1</v>
      </c>
      <c r="K184" s="11">
        <v>3</v>
      </c>
      <c r="L184" s="11">
        <v>1</v>
      </c>
      <c r="M184" s="11">
        <v>1</v>
      </c>
      <c r="N184" s="11">
        <v>3</v>
      </c>
      <c r="O184" s="11">
        <v>4</v>
      </c>
      <c r="P184" s="11">
        <v>3</v>
      </c>
      <c r="Q184" s="11">
        <v>2</v>
      </c>
      <c r="R184" s="11">
        <v>2</v>
      </c>
      <c r="S184" s="11">
        <v>2</v>
      </c>
      <c r="T184" s="11">
        <v>1</v>
      </c>
      <c r="U184" s="10">
        <v>1</v>
      </c>
      <c r="V184" s="6">
        <f t="shared" ca="1" si="9"/>
        <v>29.951550066055464</v>
      </c>
      <c r="W184" s="6">
        <f t="shared" ca="1" si="9"/>
        <v>30.173422230172875</v>
      </c>
      <c r="X184" s="6">
        <f t="shared" ca="1" si="9"/>
        <v>29.787857873402785</v>
      </c>
      <c r="Y184" s="6">
        <f t="shared" ca="1" si="9"/>
        <v>29.707032459195748</v>
      </c>
      <c r="Z184" s="6">
        <f t="shared" ca="1" si="10"/>
        <v>29.707032459195748</v>
      </c>
      <c r="AA184" s="6">
        <f t="shared" ca="1" si="11"/>
        <v>4</v>
      </c>
    </row>
    <row r="185" spans="1:27">
      <c r="A185" s="11">
        <v>184</v>
      </c>
      <c r="B185" s="12">
        <v>2</v>
      </c>
      <c r="C185" s="11">
        <v>3</v>
      </c>
      <c r="D185" s="11">
        <v>4</v>
      </c>
      <c r="E185" s="11">
        <v>3</v>
      </c>
      <c r="F185" s="11">
        <v>2</v>
      </c>
      <c r="G185" s="11">
        <v>3</v>
      </c>
      <c r="H185" s="11">
        <v>3</v>
      </c>
      <c r="I185" s="11">
        <v>2</v>
      </c>
      <c r="J185" s="11">
        <v>2</v>
      </c>
      <c r="K185" s="11">
        <v>2</v>
      </c>
      <c r="L185" s="11">
        <v>4</v>
      </c>
      <c r="M185" s="11">
        <v>3</v>
      </c>
      <c r="N185" s="11">
        <v>2</v>
      </c>
      <c r="O185" s="11">
        <v>2</v>
      </c>
      <c r="P185" s="11">
        <v>2</v>
      </c>
      <c r="Q185" s="11">
        <v>3</v>
      </c>
      <c r="R185" s="11">
        <v>2</v>
      </c>
      <c r="S185" s="11">
        <v>3</v>
      </c>
      <c r="T185" s="11">
        <v>2</v>
      </c>
      <c r="U185" s="10">
        <v>4</v>
      </c>
      <c r="V185" s="6">
        <f t="shared" ca="1" si="9"/>
        <v>12.898293303283145</v>
      </c>
      <c r="W185" s="6">
        <f t="shared" ca="1" si="9"/>
        <v>12.976461698233647</v>
      </c>
      <c r="X185" s="6">
        <f t="shared" ca="1" si="9"/>
        <v>13.11354957238836</v>
      </c>
      <c r="Y185" s="6">
        <f t="shared" ca="1" si="9"/>
        <v>13.312371370973366</v>
      </c>
      <c r="Z185" s="6">
        <f t="shared" ca="1" si="10"/>
        <v>12.898293303283145</v>
      </c>
      <c r="AA185" s="6">
        <f t="shared" ca="1" si="11"/>
        <v>1</v>
      </c>
    </row>
    <row r="186" spans="1:27">
      <c r="A186" s="11">
        <v>185</v>
      </c>
      <c r="B186" s="12">
        <v>5</v>
      </c>
      <c r="C186" s="11">
        <v>2</v>
      </c>
      <c r="D186" s="11">
        <v>4</v>
      </c>
      <c r="E186" s="11">
        <v>4</v>
      </c>
      <c r="F186" s="11">
        <v>4</v>
      </c>
      <c r="G186" s="11">
        <v>5</v>
      </c>
      <c r="H186" s="11">
        <v>3</v>
      </c>
      <c r="I186" s="11">
        <v>4</v>
      </c>
      <c r="J186" s="11">
        <v>5</v>
      </c>
      <c r="K186" s="11">
        <v>4</v>
      </c>
      <c r="L186" s="11">
        <v>1</v>
      </c>
      <c r="M186" s="11">
        <v>4</v>
      </c>
      <c r="N186" s="11">
        <v>4</v>
      </c>
      <c r="O186" s="11">
        <v>1</v>
      </c>
      <c r="P186" s="11">
        <v>5</v>
      </c>
      <c r="Q186" s="11">
        <v>1</v>
      </c>
      <c r="R186" s="11">
        <v>5</v>
      </c>
      <c r="S186" s="11">
        <v>4</v>
      </c>
      <c r="T186" s="11">
        <v>2</v>
      </c>
      <c r="U186" s="10">
        <v>4</v>
      </c>
      <c r="V186" s="6">
        <f t="shared" ca="1" si="9"/>
        <v>43.235439385879914</v>
      </c>
      <c r="W186" s="6">
        <f t="shared" ca="1" si="9"/>
        <v>43.104776592658887</v>
      </c>
      <c r="X186" s="6">
        <f t="shared" ca="1" si="9"/>
        <v>43.152091151744116</v>
      </c>
      <c r="Y186" s="6">
        <f t="shared" ca="1" si="9"/>
        <v>43.130196571665756</v>
      </c>
      <c r="Z186" s="6">
        <f t="shared" ca="1" si="10"/>
        <v>43.104776592658887</v>
      </c>
      <c r="AA186" s="6">
        <f t="shared" ca="1" si="11"/>
        <v>2</v>
      </c>
    </row>
    <row r="187" spans="1:27">
      <c r="A187" s="11">
        <v>186</v>
      </c>
      <c r="B187" s="12">
        <v>2</v>
      </c>
      <c r="C187" s="11">
        <v>2</v>
      </c>
      <c r="D187" s="11">
        <v>2</v>
      </c>
      <c r="E187" s="11">
        <v>4</v>
      </c>
      <c r="F187" s="11">
        <v>4</v>
      </c>
      <c r="G187" s="11">
        <v>3</v>
      </c>
      <c r="H187" s="11">
        <v>4</v>
      </c>
      <c r="I187" s="11">
        <v>3</v>
      </c>
      <c r="J187" s="11">
        <v>2</v>
      </c>
      <c r="K187" s="11">
        <v>3</v>
      </c>
      <c r="L187" s="11">
        <v>2</v>
      </c>
      <c r="M187" s="11">
        <v>1</v>
      </c>
      <c r="N187" s="11">
        <v>2</v>
      </c>
      <c r="O187" s="11">
        <v>4</v>
      </c>
      <c r="P187" s="11">
        <v>4</v>
      </c>
      <c r="Q187" s="11">
        <v>5</v>
      </c>
      <c r="R187" s="11">
        <v>3</v>
      </c>
      <c r="S187" s="11">
        <v>2</v>
      </c>
      <c r="T187" s="11">
        <v>2</v>
      </c>
      <c r="U187" s="10">
        <v>3</v>
      </c>
      <c r="V187" s="6">
        <f t="shared" ca="1" si="9"/>
        <v>21.114822978241897</v>
      </c>
      <c r="W187" s="6">
        <f t="shared" ca="1" si="9"/>
        <v>20.799753908357438</v>
      </c>
      <c r="X187" s="6">
        <f t="shared" ca="1" si="9"/>
        <v>21.011720310400179</v>
      </c>
      <c r="Y187" s="6">
        <f t="shared" ca="1" si="9"/>
        <v>20.96960306748803</v>
      </c>
      <c r="Z187" s="6">
        <f t="shared" ca="1" si="10"/>
        <v>20.799753908357438</v>
      </c>
      <c r="AA187" s="6">
        <f t="shared" ca="1" si="11"/>
        <v>2</v>
      </c>
    </row>
    <row r="188" spans="1:27">
      <c r="A188" s="11">
        <v>187</v>
      </c>
      <c r="B188" s="12">
        <v>4</v>
      </c>
      <c r="C188" s="11">
        <v>2</v>
      </c>
      <c r="D188" s="11">
        <v>2</v>
      </c>
      <c r="E188" s="11">
        <v>4</v>
      </c>
      <c r="F188" s="11">
        <v>4</v>
      </c>
      <c r="G188" s="11">
        <v>2</v>
      </c>
      <c r="H188" s="11">
        <v>3</v>
      </c>
      <c r="I188" s="11">
        <v>1</v>
      </c>
      <c r="J188" s="11">
        <v>1</v>
      </c>
      <c r="K188" s="11">
        <v>2</v>
      </c>
      <c r="L188" s="11">
        <v>2</v>
      </c>
      <c r="M188" s="11">
        <v>4</v>
      </c>
      <c r="N188" s="11">
        <v>2</v>
      </c>
      <c r="O188" s="11">
        <v>4</v>
      </c>
      <c r="P188" s="11">
        <v>4</v>
      </c>
      <c r="Q188" s="11">
        <v>1</v>
      </c>
      <c r="R188" s="11">
        <v>2</v>
      </c>
      <c r="S188" s="11">
        <v>1</v>
      </c>
      <c r="T188" s="11">
        <v>3</v>
      </c>
      <c r="U188" s="10">
        <v>1</v>
      </c>
      <c r="V188" s="6">
        <f t="shared" ca="1" si="9"/>
        <v>32.61651686034476</v>
      </c>
      <c r="W188" s="6">
        <f t="shared" ca="1" si="9"/>
        <v>33.064146681200754</v>
      </c>
      <c r="X188" s="6">
        <f t="shared" ca="1" si="9"/>
        <v>32.518731597053893</v>
      </c>
      <c r="Y188" s="6">
        <f t="shared" ca="1" si="9"/>
        <v>33.254120523013533</v>
      </c>
      <c r="Z188" s="6">
        <f t="shared" ca="1" si="10"/>
        <v>32.518731597053893</v>
      </c>
      <c r="AA188" s="6">
        <f t="shared" ca="1" si="11"/>
        <v>3</v>
      </c>
    </row>
    <row r="189" spans="1:27">
      <c r="A189" s="11">
        <v>188</v>
      </c>
      <c r="B189" s="12">
        <v>2</v>
      </c>
      <c r="C189" s="11">
        <v>2</v>
      </c>
      <c r="D189" s="11">
        <v>2</v>
      </c>
      <c r="E189" s="11">
        <v>1</v>
      </c>
      <c r="F189" s="11">
        <v>2</v>
      </c>
      <c r="G189" s="11">
        <v>2</v>
      </c>
      <c r="H189" s="11">
        <v>1</v>
      </c>
      <c r="I189" s="11">
        <v>2</v>
      </c>
      <c r="J189" s="11">
        <v>3</v>
      </c>
      <c r="K189" s="11">
        <v>2</v>
      </c>
      <c r="L189" s="11">
        <v>1</v>
      </c>
      <c r="M189" s="11">
        <v>2</v>
      </c>
      <c r="N189" s="11">
        <v>3</v>
      </c>
      <c r="O189" s="11">
        <v>1</v>
      </c>
      <c r="P189" s="11">
        <v>3</v>
      </c>
      <c r="Q189" s="11">
        <v>2</v>
      </c>
      <c r="R189" s="11">
        <v>1</v>
      </c>
      <c r="S189" s="11">
        <v>3</v>
      </c>
      <c r="T189" s="11">
        <v>2</v>
      </c>
      <c r="U189" s="10">
        <v>1</v>
      </c>
      <c r="V189" s="6">
        <f t="shared" ca="1" si="9"/>
        <v>33.843969483699183</v>
      </c>
      <c r="W189" s="6">
        <f t="shared" ca="1" si="9"/>
        <v>34.047770515077431</v>
      </c>
      <c r="X189" s="6">
        <f t="shared" ca="1" si="9"/>
        <v>34.35586563740128</v>
      </c>
      <c r="Y189" s="6">
        <f t="shared" ca="1" si="9"/>
        <v>33.685083376778287</v>
      </c>
      <c r="Z189" s="6">
        <f t="shared" ca="1" si="10"/>
        <v>33.685083376778287</v>
      </c>
      <c r="AA189" s="6">
        <f t="shared" ca="1" si="11"/>
        <v>4</v>
      </c>
    </row>
    <row r="190" spans="1:27">
      <c r="A190" s="11">
        <v>189</v>
      </c>
      <c r="B190" s="12">
        <v>2</v>
      </c>
      <c r="C190" s="11">
        <v>1</v>
      </c>
      <c r="D190" s="11">
        <v>1</v>
      </c>
      <c r="E190" s="11">
        <v>2</v>
      </c>
      <c r="F190" s="11">
        <v>1</v>
      </c>
      <c r="G190" s="11">
        <v>4</v>
      </c>
      <c r="H190" s="11">
        <v>3</v>
      </c>
      <c r="I190" s="11">
        <v>3</v>
      </c>
      <c r="J190" s="11">
        <v>2</v>
      </c>
      <c r="K190" s="11">
        <v>4</v>
      </c>
      <c r="L190" s="11">
        <v>2</v>
      </c>
      <c r="M190" s="11">
        <v>3</v>
      </c>
      <c r="N190" s="11">
        <v>3</v>
      </c>
      <c r="O190" s="11">
        <v>4</v>
      </c>
      <c r="P190" s="11">
        <v>5</v>
      </c>
      <c r="Q190" s="11">
        <v>1</v>
      </c>
      <c r="R190" s="11">
        <v>2</v>
      </c>
      <c r="S190" s="11">
        <v>2</v>
      </c>
      <c r="T190" s="11">
        <v>3</v>
      </c>
      <c r="U190" s="10">
        <v>1</v>
      </c>
      <c r="V190" s="6">
        <f t="shared" ca="1" si="9"/>
        <v>32.723803408172593</v>
      </c>
      <c r="W190" s="6">
        <f t="shared" ca="1" si="9"/>
        <v>33.252464037038926</v>
      </c>
      <c r="X190" s="6">
        <f t="shared" ca="1" si="9"/>
        <v>32.88318034494187</v>
      </c>
      <c r="Y190" s="6">
        <f t="shared" ca="1" si="9"/>
        <v>32.516542327563357</v>
      </c>
      <c r="Z190" s="6">
        <f t="shared" ca="1" si="10"/>
        <v>32.516542327563357</v>
      </c>
      <c r="AA190" s="6">
        <f t="shared" ca="1" si="11"/>
        <v>4</v>
      </c>
    </row>
    <row r="191" spans="1:27">
      <c r="A191" s="11">
        <v>190</v>
      </c>
      <c r="B191" s="12">
        <v>2</v>
      </c>
      <c r="C191" s="11">
        <v>2</v>
      </c>
      <c r="D191" s="11">
        <v>4</v>
      </c>
      <c r="E191" s="11">
        <v>2</v>
      </c>
      <c r="F191" s="11">
        <v>5</v>
      </c>
      <c r="G191" s="11">
        <v>3</v>
      </c>
      <c r="H191" s="11">
        <v>3</v>
      </c>
      <c r="I191" s="11">
        <v>2</v>
      </c>
      <c r="J191" s="11">
        <v>2</v>
      </c>
      <c r="K191" s="11">
        <v>2</v>
      </c>
      <c r="L191" s="11">
        <v>2</v>
      </c>
      <c r="M191" s="11">
        <v>3</v>
      </c>
      <c r="N191" s="11">
        <v>4</v>
      </c>
      <c r="O191" s="11">
        <v>3</v>
      </c>
      <c r="P191" s="11">
        <v>2</v>
      </c>
      <c r="Q191" s="11">
        <v>2</v>
      </c>
      <c r="R191" s="11">
        <v>3</v>
      </c>
      <c r="S191" s="11">
        <v>3</v>
      </c>
      <c r="T191" s="11">
        <v>3</v>
      </c>
      <c r="U191" s="10">
        <v>4</v>
      </c>
      <c r="V191" s="6">
        <f t="shared" ca="1" si="9"/>
        <v>16.003076137634487</v>
      </c>
      <c r="W191" s="6">
        <f t="shared" ca="1" si="9"/>
        <v>16.070586871199161</v>
      </c>
      <c r="X191" s="6">
        <f t="shared" ca="1" si="9"/>
        <v>15.985742941412949</v>
      </c>
      <c r="Y191" s="6">
        <f t="shared" ca="1" si="9"/>
        <v>16.479922580100833</v>
      </c>
      <c r="Z191" s="6">
        <f t="shared" ca="1" si="10"/>
        <v>15.985742941412949</v>
      </c>
      <c r="AA191" s="6">
        <f t="shared" ca="1" si="11"/>
        <v>3</v>
      </c>
    </row>
    <row r="192" spans="1:27">
      <c r="A192" s="11">
        <v>191</v>
      </c>
      <c r="B192" s="12">
        <v>2</v>
      </c>
      <c r="C192" s="11">
        <v>3</v>
      </c>
      <c r="D192" s="11">
        <v>3</v>
      </c>
      <c r="E192" s="11">
        <v>2</v>
      </c>
      <c r="F192" s="11">
        <v>3</v>
      </c>
      <c r="G192" s="11">
        <v>3</v>
      </c>
      <c r="H192" s="11">
        <v>2</v>
      </c>
      <c r="I192" s="11">
        <v>2</v>
      </c>
      <c r="J192" s="11">
        <v>2</v>
      </c>
      <c r="K192" s="11">
        <v>1</v>
      </c>
      <c r="L192" s="11">
        <v>2</v>
      </c>
      <c r="M192" s="11">
        <v>2</v>
      </c>
      <c r="N192" s="11">
        <v>2</v>
      </c>
      <c r="O192" s="11">
        <v>4</v>
      </c>
      <c r="P192" s="11">
        <v>4</v>
      </c>
      <c r="Q192" s="11">
        <v>3</v>
      </c>
      <c r="R192" s="11">
        <v>2</v>
      </c>
      <c r="S192" s="11">
        <v>3</v>
      </c>
      <c r="T192" s="11">
        <v>2</v>
      </c>
      <c r="U192" s="10">
        <v>5</v>
      </c>
      <c r="V192" s="6">
        <f t="shared" ca="1" si="9"/>
        <v>20.048485415661887</v>
      </c>
      <c r="W192" s="6">
        <f t="shared" ca="1" si="9"/>
        <v>20.048073998178765</v>
      </c>
      <c r="X192" s="6">
        <f t="shared" ca="1" si="9"/>
        <v>20.20458839594415</v>
      </c>
      <c r="Y192" s="6">
        <f t="shared" ca="1" si="9"/>
        <v>20.342833701817327</v>
      </c>
      <c r="Z192" s="6">
        <f t="shared" ca="1" si="10"/>
        <v>20.048073998178765</v>
      </c>
      <c r="AA192" s="6">
        <f t="shared" ca="1" si="11"/>
        <v>2</v>
      </c>
    </row>
    <row r="193" spans="1:27">
      <c r="A193" s="11">
        <v>192</v>
      </c>
      <c r="B193" s="12">
        <v>3</v>
      </c>
      <c r="C193" s="11">
        <v>4</v>
      </c>
      <c r="D193" s="11">
        <v>5</v>
      </c>
      <c r="E193" s="11">
        <v>2</v>
      </c>
      <c r="F193" s="11">
        <v>3</v>
      </c>
      <c r="G193" s="11">
        <v>2</v>
      </c>
      <c r="H193" s="11">
        <v>2</v>
      </c>
      <c r="I193" s="11">
        <v>1</v>
      </c>
      <c r="J193" s="11">
        <v>1</v>
      </c>
      <c r="K193" s="11">
        <v>4</v>
      </c>
      <c r="L193" s="11">
        <v>1</v>
      </c>
      <c r="M193" s="11">
        <v>4</v>
      </c>
      <c r="N193" s="11">
        <v>5</v>
      </c>
      <c r="O193" s="11">
        <v>5</v>
      </c>
      <c r="P193" s="11">
        <v>5</v>
      </c>
      <c r="Q193" s="11">
        <v>1</v>
      </c>
      <c r="R193" s="11">
        <v>1</v>
      </c>
      <c r="S193" s="11">
        <v>5</v>
      </c>
      <c r="T193" s="11">
        <v>1</v>
      </c>
      <c r="U193" s="10">
        <v>4</v>
      </c>
      <c r="V193" s="6">
        <f t="shared" ca="1" si="9"/>
        <v>51.194308090125432</v>
      </c>
      <c r="W193" s="6">
        <f t="shared" ca="1" si="9"/>
        <v>51.577293729827922</v>
      </c>
      <c r="X193" s="6">
        <f t="shared" ca="1" si="9"/>
        <v>51.356827785805265</v>
      </c>
      <c r="Y193" s="6">
        <f t="shared" ref="Y193:Y256" ca="1" si="12">SUMXMY2($B193:$U193,AH$2:AH$21)</f>
        <v>51.13535566888541</v>
      </c>
      <c r="Z193" s="6">
        <f t="shared" ca="1" si="10"/>
        <v>51.13535566888541</v>
      </c>
      <c r="AA193" s="6">
        <f t="shared" ca="1" si="11"/>
        <v>4</v>
      </c>
    </row>
    <row r="194" spans="1:27">
      <c r="A194" s="11">
        <v>193</v>
      </c>
      <c r="B194" s="12">
        <v>5</v>
      </c>
      <c r="C194" s="11">
        <v>4</v>
      </c>
      <c r="D194" s="11">
        <v>4</v>
      </c>
      <c r="E194" s="11">
        <v>4</v>
      </c>
      <c r="F194" s="11">
        <v>4</v>
      </c>
      <c r="G194" s="11">
        <v>4</v>
      </c>
      <c r="H194" s="11">
        <v>4</v>
      </c>
      <c r="I194" s="11">
        <v>5</v>
      </c>
      <c r="J194" s="11">
        <v>4</v>
      </c>
      <c r="K194" s="11">
        <v>4</v>
      </c>
      <c r="L194" s="11">
        <v>3</v>
      </c>
      <c r="M194" s="11">
        <v>4</v>
      </c>
      <c r="N194" s="11">
        <v>4</v>
      </c>
      <c r="O194" s="11">
        <v>3</v>
      </c>
      <c r="P194" s="11">
        <v>4</v>
      </c>
      <c r="Q194" s="11">
        <v>4</v>
      </c>
      <c r="R194" s="11">
        <v>3</v>
      </c>
      <c r="S194" s="11">
        <v>5</v>
      </c>
      <c r="T194" s="11">
        <v>3</v>
      </c>
      <c r="U194" s="10">
        <v>4</v>
      </c>
      <c r="V194" s="6">
        <f t="shared" ref="V194:Y257" ca="1" si="13">SUMXMY2($B194:$U194,AE$2:AE$21)</f>
        <v>25.359117052590104</v>
      </c>
      <c r="W194" s="6">
        <f t="shared" ca="1" si="13"/>
        <v>24.964274685848395</v>
      </c>
      <c r="X194" s="6">
        <f t="shared" ca="1" si="13"/>
        <v>25.216693923756655</v>
      </c>
      <c r="Y194" s="6">
        <f t="shared" ca="1" si="12"/>
        <v>24.923832530264839</v>
      </c>
      <c r="Z194" s="6">
        <f t="shared" ref="Z194:Z257" ca="1" si="14">MIN(V194:Y194)</f>
        <v>24.923832530264839</v>
      </c>
      <c r="AA194" s="6">
        <f t="shared" ca="1" si="11"/>
        <v>4</v>
      </c>
    </row>
    <row r="195" spans="1:27">
      <c r="A195" s="11">
        <v>194</v>
      </c>
      <c r="B195" s="12">
        <v>4</v>
      </c>
      <c r="C195" s="11">
        <v>4</v>
      </c>
      <c r="D195" s="11">
        <v>5</v>
      </c>
      <c r="E195" s="11">
        <v>4</v>
      </c>
      <c r="F195" s="11">
        <v>5</v>
      </c>
      <c r="G195" s="11">
        <v>3</v>
      </c>
      <c r="H195" s="11">
        <v>5</v>
      </c>
      <c r="I195" s="11">
        <v>3</v>
      </c>
      <c r="J195" s="11">
        <v>5</v>
      </c>
      <c r="K195" s="11">
        <v>4</v>
      </c>
      <c r="L195" s="11">
        <v>3</v>
      </c>
      <c r="M195" s="11">
        <v>4</v>
      </c>
      <c r="N195" s="11">
        <v>3</v>
      </c>
      <c r="O195" s="11">
        <v>4</v>
      </c>
      <c r="P195" s="11">
        <v>5</v>
      </c>
      <c r="Q195" s="11">
        <v>3</v>
      </c>
      <c r="R195" s="11">
        <v>4</v>
      </c>
      <c r="S195" s="11">
        <v>4</v>
      </c>
      <c r="T195" s="11">
        <v>5</v>
      </c>
      <c r="U195" s="10">
        <v>5</v>
      </c>
      <c r="V195" s="6">
        <f t="shared" ca="1" si="13"/>
        <v>36.170817654611646</v>
      </c>
      <c r="W195" s="6">
        <f t="shared" ca="1" si="13"/>
        <v>35.970379842568128</v>
      </c>
      <c r="X195" s="6">
        <f t="shared" ca="1" si="13"/>
        <v>36.235648480397593</v>
      </c>
      <c r="Y195" s="6">
        <f t="shared" ca="1" si="12"/>
        <v>36.323784706762872</v>
      </c>
      <c r="Z195" s="6">
        <f t="shared" ca="1" si="14"/>
        <v>35.970379842568128</v>
      </c>
      <c r="AA195" s="6">
        <f t="shared" ref="AA195:AA258" ca="1" si="15">IF(Z195=V195,1,IF(Z195=W195,2,IF(Z195=X195,3,4)))</f>
        <v>2</v>
      </c>
    </row>
    <row r="196" spans="1:27">
      <c r="A196" s="11">
        <v>195</v>
      </c>
      <c r="B196" s="12">
        <v>1</v>
      </c>
      <c r="C196" s="11">
        <v>5</v>
      </c>
      <c r="D196" s="11">
        <v>1</v>
      </c>
      <c r="E196" s="11">
        <v>5</v>
      </c>
      <c r="F196" s="11">
        <v>5</v>
      </c>
      <c r="G196" s="11">
        <v>2</v>
      </c>
      <c r="H196" s="11">
        <v>1</v>
      </c>
      <c r="I196" s="11">
        <v>1</v>
      </c>
      <c r="J196" s="11">
        <v>1</v>
      </c>
      <c r="K196" s="11">
        <v>3</v>
      </c>
      <c r="L196" s="11">
        <v>2</v>
      </c>
      <c r="M196" s="11">
        <v>1</v>
      </c>
      <c r="N196" s="11">
        <v>4</v>
      </c>
      <c r="O196" s="11">
        <v>3</v>
      </c>
      <c r="P196" s="11">
        <v>3</v>
      </c>
      <c r="Q196" s="11">
        <v>1</v>
      </c>
      <c r="R196" s="11">
        <v>3</v>
      </c>
      <c r="S196" s="11">
        <v>1</v>
      </c>
      <c r="T196" s="11">
        <v>3</v>
      </c>
      <c r="U196" s="10">
        <v>1</v>
      </c>
      <c r="V196" s="6">
        <f t="shared" ca="1" si="13"/>
        <v>50.708228336414393</v>
      </c>
      <c r="W196" s="6">
        <f t="shared" ca="1" si="13"/>
        <v>50.700065915400792</v>
      </c>
      <c r="X196" s="6">
        <f t="shared" ca="1" si="13"/>
        <v>50.50889856728994</v>
      </c>
      <c r="Y196" s="6">
        <f t="shared" ca="1" si="12"/>
        <v>51.311438142381824</v>
      </c>
      <c r="Z196" s="6">
        <f t="shared" ca="1" si="14"/>
        <v>50.50889856728994</v>
      </c>
      <c r="AA196" s="6">
        <f t="shared" ca="1" si="15"/>
        <v>3</v>
      </c>
    </row>
    <row r="197" spans="1:27">
      <c r="A197" s="11">
        <v>196</v>
      </c>
      <c r="B197" s="12">
        <v>2</v>
      </c>
      <c r="C197" s="11">
        <v>2</v>
      </c>
      <c r="D197" s="11">
        <v>4</v>
      </c>
      <c r="E197" s="11">
        <v>4</v>
      </c>
      <c r="F197" s="11">
        <v>2</v>
      </c>
      <c r="G197" s="11">
        <v>5</v>
      </c>
      <c r="H197" s="11">
        <v>2</v>
      </c>
      <c r="I197" s="11">
        <v>2</v>
      </c>
      <c r="J197" s="11">
        <v>2</v>
      </c>
      <c r="K197" s="11">
        <v>4</v>
      </c>
      <c r="L197" s="11">
        <v>2</v>
      </c>
      <c r="M197" s="11">
        <v>2</v>
      </c>
      <c r="N197" s="11">
        <v>2</v>
      </c>
      <c r="O197" s="11">
        <v>4</v>
      </c>
      <c r="P197" s="11">
        <v>2</v>
      </c>
      <c r="Q197" s="11">
        <v>2</v>
      </c>
      <c r="R197" s="11">
        <v>2</v>
      </c>
      <c r="S197" s="11">
        <v>4</v>
      </c>
      <c r="T197" s="11">
        <v>4</v>
      </c>
      <c r="U197" s="10">
        <v>4</v>
      </c>
      <c r="V197" s="6">
        <f t="shared" ca="1" si="13"/>
        <v>22.658905864318701</v>
      </c>
      <c r="W197" s="6">
        <f t="shared" ca="1" si="13"/>
        <v>23.350372429893824</v>
      </c>
      <c r="X197" s="6">
        <f t="shared" ca="1" si="13"/>
        <v>22.94116558602488</v>
      </c>
      <c r="Y197" s="6">
        <f t="shared" ca="1" si="12"/>
        <v>23.084483638731854</v>
      </c>
      <c r="Z197" s="6">
        <f t="shared" ca="1" si="14"/>
        <v>22.658905864318701</v>
      </c>
      <c r="AA197" s="6">
        <f t="shared" ca="1" si="15"/>
        <v>1</v>
      </c>
    </row>
    <row r="198" spans="1:27">
      <c r="A198" s="11">
        <v>197</v>
      </c>
      <c r="B198" s="12">
        <v>5</v>
      </c>
      <c r="C198" s="11">
        <v>2</v>
      </c>
      <c r="D198" s="11">
        <v>1</v>
      </c>
      <c r="E198" s="11">
        <v>3</v>
      </c>
      <c r="F198" s="11">
        <v>3</v>
      </c>
      <c r="G198" s="11">
        <v>5</v>
      </c>
      <c r="H198" s="11">
        <v>3</v>
      </c>
      <c r="I198" s="11">
        <v>2</v>
      </c>
      <c r="J198" s="11">
        <v>2</v>
      </c>
      <c r="K198" s="11">
        <v>2</v>
      </c>
      <c r="L198" s="11">
        <v>1</v>
      </c>
      <c r="M198" s="11">
        <v>3</v>
      </c>
      <c r="N198" s="11">
        <v>5</v>
      </c>
      <c r="O198" s="11">
        <v>4</v>
      </c>
      <c r="P198" s="11">
        <v>5</v>
      </c>
      <c r="Q198" s="11">
        <v>2</v>
      </c>
      <c r="R198" s="11">
        <v>2</v>
      </c>
      <c r="S198" s="11">
        <v>4</v>
      </c>
      <c r="T198" s="11">
        <v>3</v>
      </c>
      <c r="U198" s="10">
        <v>2</v>
      </c>
      <c r="V198" s="6">
        <f t="shared" ca="1" si="13"/>
        <v>32.97081096085337</v>
      </c>
      <c r="W198" s="6">
        <f t="shared" ca="1" si="13"/>
        <v>33.044767923206336</v>
      </c>
      <c r="X198" s="6">
        <f t="shared" ca="1" si="13"/>
        <v>32.653826259554442</v>
      </c>
      <c r="Y198" s="6">
        <f t="shared" ca="1" si="12"/>
        <v>32.776701470993999</v>
      </c>
      <c r="Z198" s="6">
        <f t="shared" ca="1" si="14"/>
        <v>32.653826259554442</v>
      </c>
      <c r="AA198" s="6">
        <f t="shared" ca="1" si="15"/>
        <v>3</v>
      </c>
    </row>
    <row r="199" spans="1:27">
      <c r="A199" s="11">
        <v>198</v>
      </c>
      <c r="B199" s="12">
        <v>2</v>
      </c>
      <c r="C199" s="11">
        <v>1</v>
      </c>
      <c r="D199" s="11">
        <v>1</v>
      </c>
      <c r="E199" s="11">
        <v>4</v>
      </c>
      <c r="F199" s="11">
        <v>3</v>
      </c>
      <c r="G199" s="11">
        <v>2</v>
      </c>
      <c r="H199" s="11">
        <v>3</v>
      </c>
      <c r="I199" s="11">
        <v>2</v>
      </c>
      <c r="J199" s="11">
        <v>1</v>
      </c>
      <c r="K199" s="11">
        <v>4</v>
      </c>
      <c r="L199" s="11">
        <v>1</v>
      </c>
      <c r="M199" s="11">
        <v>1</v>
      </c>
      <c r="N199" s="11">
        <v>2</v>
      </c>
      <c r="O199" s="11">
        <v>3</v>
      </c>
      <c r="P199" s="11">
        <v>5</v>
      </c>
      <c r="Q199" s="11">
        <v>2</v>
      </c>
      <c r="R199" s="11">
        <v>2</v>
      </c>
      <c r="S199" s="11">
        <v>2</v>
      </c>
      <c r="T199" s="11">
        <v>4</v>
      </c>
      <c r="U199" s="10">
        <v>3</v>
      </c>
      <c r="V199" s="6">
        <f t="shared" ca="1" si="13"/>
        <v>33.784070340833601</v>
      </c>
      <c r="W199" s="6">
        <f t="shared" ca="1" si="13"/>
        <v>34.162316945810844</v>
      </c>
      <c r="X199" s="6">
        <f t="shared" ca="1" si="13"/>
        <v>33.990029650351659</v>
      </c>
      <c r="Y199" s="6">
        <f t="shared" ca="1" si="12"/>
        <v>33.927423805496517</v>
      </c>
      <c r="Z199" s="6">
        <f t="shared" ca="1" si="14"/>
        <v>33.784070340833601</v>
      </c>
      <c r="AA199" s="6">
        <f t="shared" ca="1" si="15"/>
        <v>1</v>
      </c>
    </row>
    <row r="200" spans="1:27">
      <c r="A200" s="11">
        <v>199</v>
      </c>
      <c r="B200" s="12">
        <v>4</v>
      </c>
      <c r="C200" s="11">
        <v>2</v>
      </c>
      <c r="D200" s="11">
        <v>2</v>
      </c>
      <c r="E200" s="11">
        <v>3</v>
      </c>
      <c r="F200" s="11">
        <v>5</v>
      </c>
      <c r="G200" s="11">
        <v>4</v>
      </c>
      <c r="H200" s="11">
        <v>4</v>
      </c>
      <c r="I200" s="11">
        <v>3</v>
      </c>
      <c r="J200" s="11">
        <v>2</v>
      </c>
      <c r="K200" s="11">
        <v>4</v>
      </c>
      <c r="L200" s="11">
        <v>2</v>
      </c>
      <c r="M200" s="11">
        <v>3</v>
      </c>
      <c r="N200" s="11">
        <v>2</v>
      </c>
      <c r="O200" s="11">
        <v>4</v>
      </c>
      <c r="P200" s="11">
        <v>4</v>
      </c>
      <c r="Q200" s="11">
        <v>2</v>
      </c>
      <c r="R200" s="11">
        <v>3</v>
      </c>
      <c r="S200" s="11">
        <v>3</v>
      </c>
      <c r="T200" s="11">
        <v>3</v>
      </c>
      <c r="U200" s="10">
        <v>2</v>
      </c>
      <c r="V200" s="6">
        <f t="shared" ca="1" si="13"/>
        <v>17.006220271116948</v>
      </c>
      <c r="W200" s="6">
        <f t="shared" ca="1" si="13"/>
        <v>16.94529255779555</v>
      </c>
      <c r="X200" s="6">
        <f t="shared" ca="1" si="13"/>
        <v>16.699973821464873</v>
      </c>
      <c r="Y200" s="6">
        <f t="shared" ca="1" si="12"/>
        <v>17.053572275519876</v>
      </c>
      <c r="Z200" s="6">
        <f t="shared" ca="1" si="14"/>
        <v>16.699973821464873</v>
      </c>
      <c r="AA200" s="6">
        <f t="shared" ca="1" si="15"/>
        <v>3</v>
      </c>
    </row>
    <row r="201" spans="1:27">
      <c r="A201" s="11">
        <v>200</v>
      </c>
      <c r="B201" s="12">
        <v>2</v>
      </c>
      <c r="C201" s="11">
        <v>1</v>
      </c>
      <c r="D201" s="11">
        <v>3</v>
      </c>
      <c r="E201" s="11">
        <v>2</v>
      </c>
      <c r="F201" s="11">
        <v>2</v>
      </c>
      <c r="G201" s="11">
        <v>1</v>
      </c>
      <c r="H201" s="11">
        <v>2</v>
      </c>
      <c r="I201" s="11">
        <v>3</v>
      </c>
      <c r="J201" s="11">
        <v>2</v>
      </c>
      <c r="K201" s="11">
        <v>1</v>
      </c>
      <c r="L201" s="11">
        <v>2</v>
      </c>
      <c r="M201" s="11">
        <v>3</v>
      </c>
      <c r="N201" s="11">
        <v>2</v>
      </c>
      <c r="O201" s="11">
        <v>2</v>
      </c>
      <c r="P201" s="11">
        <v>3</v>
      </c>
      <c r="Q201" s="11">
        <v>2</v>
      </c>
      <c r="R201" s="11">
        <v>3</v>
      </c>
      <c r="S201" s="11">
        <v>2</v>
      </c>
      <c r="T201" s="11">
        <v>3</v>
      </c>
      <c r="U201" s="10">
        <v>1</v>
      </c>
      <c r="V201" s="6">
        <f t="shared" ca="1" si="13"/>
        <v>25.498967646938635</v>
      </c>
      <c r="W201" s="6">
        <f t="shared" ca="1" si="13"/>
        <v>25.973215397660315</v>
      </c>
      <c r="X201" s="6">
        <f t="shared" ca="1" si="13"/>
        <v>25.991108321465255</v>
      </c>
      <c r="Y201" s="6">
        <f t="shared" ca="1" si="12"/>
        <v>25.950981426972458</v>
      </c>
      <c r="Z201" s="6">
        <f t="shared" ca="1" si="14"/>
        <v>25.498967646938635</v>
      </c>
      <c r="AA201" s="6">
        <f t="shared" ca="1" si="15"/>
        <v>1</v>
      </c>
    </row>
    <row r="202" spans="1:27">
      <c r="A202" s="11">
        <v>201</v>
      </c>
      <c r="B202" s="12">
        <v>4</v>
      </c>
      <c r="C202" s="11">
        <v>1</v>
      </c>
      <c r="D202" s="11">
        <v>2</v>
      </c>
      <c r="E202" s="11">
        <v>2</v>
      </c>
      <c r="F202" s="11">
        <v>4</v>
      </c>
      <c r="G202" s="11">
        <v>3</v>
      </c>
      <c r="H202" s="11">
        <v>3</v>
      </c>
      <c r="I202" s="11">
        <v>2</v>
      </c>
      <c r="J202" s="11">
        <v>2</v>
      </c>
      <c r="K202" s="11">
        <v>3</v>
      </c>
      <c r="L202" s="11">
        <v>1</v>
      </c>
      <c r="M202" s="11">
        <v>3</v>
      </c>
      <c r="N202" s="11">
        <v>1</v>
      </c>
      <c r="O202" s="11">
        <v>2</v>
      </c>
      <c r="P202" s="11">
        <v>3</v>
      </c>
      <c r="Q202" s="11">
        <v>2</v>
      </c>
      <c r="R202" s="11">
        <v>3</v>
      </c>
      <c r="S202" s="11">
        <v>5</v>
      </c>
      <c r="T202" s="11">
        <v>1</v>
      </c>
      <c r="U202" s="10">
        <v>5</v>
      </c>
      <c r="V202" s="6">
        <f t="shared" ca="1" si="13"/>
        <v>32.277378916906187</v>
      </c>
      <c r="W202" s="6">
        <f t="shared" ca="1" si="13"/>
        <v>32.135156129430996</v>
      </c>
      <c r="X202" s="6">
        <f t="shared" ca="1" si="13"/>
        <v>32.125595387775235</v>
      </c>
      <c r="Y202" s="6">
        <f t="shared" ca="1" si="12"/>
        <v>32.325940509702086</v>
      </c>
      <c r="Z202" s="6">
        <f t="shared" ca="1" si="14"/>
        <v>32.125595387775235</v>
      </c>
      <c r="AA202" s="6">
        <f t="shared" ca="1" si="15"/>
        <v>3</v>
      </c>
    </row>
    <row r="203" spans="1:27">
      <c r="A203" s="11">
        <v>202</v>
      </c>
      <c r="B203" s="12">
        <v>3</v>
      </c>
      <c r="C203" s="11">
        <v>3</v>
      </c>
      <c r="D203" s="11">
        <v>3</v>
      </c>
      <c r="E203" s="11">
        <v>4</v>
      </c>
      <c r="F203" s="11">
        <v>3</v>
      </c>
      <c r="G203" s="11">
        <v>2</v>
      </c>
      <c r="H203" s="11">
        <v>3</v>
      </c>
      <c r="I203" s="11">
        <v>2</v>
      </c>
      <c r="J203" s="11">
        <v>2</v>
      </c>
      <c r="K203" s="11">
        <v>3</v>
      </c>
      <c r="L203" s="11">
        <v>4</v>
      </c>
      <c r="M203" s="11">
        <v>2</v>
      </c>
      <c r="N203" s="11">
        <v>2</v>
      </c>
      <c r="O203" s="11">
        <v>2</v>
      </c>
      <c r="P203" s="11">
        <v>4</v>
      </c>
      <c r="Q203" s="11">
        <v>3</v>
      </c>
      <c r="R203" s="11">
        <v>5</v>
      </c>
      <c r="S203" s="11">
        <v>3</v>
      </c>
      <c r="T203" s="11">
        <v>3</v>
      </c>
      <c r="U203" s="10">
        <v>3</v>
      </c>
      <c r="V203" s="6">
        <f t="shared" ca="1" si="13"/>
        <v>12.871995393845364</v>
      </c>
      <c r="W203" s="6">
        <f t="shared" ca="1" si="13"/>
        <v>12.729138328348485</v>
      </c>
      <c r="X203" s="6">
        <f t="shared" ca="1" si="13"/>
        <v>12.752449268634644</v>
      </c>
      <c r="Y203" s="6">
        <f t="shared" ca="1" si="12"/>
        <v>13.208081774898156</v>
      </c>
      <c r="Z203" s="6">
        <f t="shared" ca="1" si="14"/>
        <v>12.729138328348485</v>
      </c>
      <c r="AA203" s="6">
        <f t="shared" ca="1" si="15"/>
        <v>2</v>
      </c>
    </row>
    <row r="204" spans="1:27">
      <c r="A204" s="11">
        <v>203</v>
      </c>
      <c r="B204" s="12">
        <v>2</v>
      </c>
      <c r="C204" s="11">
        <v>3</v>
      </c>
      <c r="D204" s="11">
        <v>4</v>
      </c>
      <c r="E204" s="11">
        <v>2</v>
      </c>
      <c r="F204" s="11">
        <v>4</v>
      </c>
      <c r="G204" s="11">
        <v>1</v>
      </c>
      <c r="H204" s="11">
        <v>2</v>
      </c>
      <c r="I204" s="11">
        <v>4</v>
      </c>
      <c r="J204" s="11">
        <v>5</v>
      </c>
      <c r="K204" s="11">
        <v>3</v>
      </c>
      <c r="L204" s="11">
        <v>2</v>
      </c>
      <c r="M204" s="11">
        <v>1</v>
      </c>
      <c r="N204" s="11">
        <v>3</v>
      </c>
      <c r="O204" s="11">
        <v>4</v>
      </c>
      <c r="P204" s="11">
        <v>3</v>
      </c>
      <c r="Q204" s="11">
        <v>4</v>
      </c>
      <c r="R204" s="11">
        <v>5</v>
      </c>
      <c r="S204" s="11">
        <v>4</v>
      </c>
      <c r="T204" s="11">
        <v>5</v>
      </c>
      <c r="U204" s="10">
        <v>5</v>
      </c>
      <c r="V204" s="6">
        <f t="shared" ca="1" si="13"/>
        <v>34.136898197087717</v>
      </c>
      <c r="W204" s="6">
        <f t="shared" ca="1" si="13"/>
        <v>34.173521383345786</v>
      </c>
      <c r="X204" s="6">
        <f t="shared" ca="1" si="13"/>
        <v>34.407907894549524</v>
      </c>
      <c r="Y204" s="6">
        <f t="shared" ca="1" si="12"/>
        <v>34.038128000611522</v>
      </c>
      <c r="Z204" s="6">
        <f t="shared" ca="1" si="14"/>
        <v>34.038128000611522</v>
      </c>
      <c r="AA204" s="6">
        <f t="shared" ca="1" si="15"/>
        <v>4</v>
      </c>
    </row>
    <row r="205" spans="1:27">
      <c r="A205" s="11">
        <v>204</v>
      </c>
      <c r="B205" s="12">
        <v>4</v>
      </c>
      <c r="C205" s="11">
        <v>3</v>
      </c>
      <c r="D205" s="11">
        <v>2</v>
      </c>
      <c r="E205" s="11">
        <v>4</v>
      </c>
      <c r="F205" s="11">
        <v>4</v>
      </c>
      <c r="G205" s="11">
        <v>4</v>
      </c>
      <c r="H205" s="11">
        <v>3</v>
      </c>
      <c r="I205" s="11">
        <v>2</v>
      </c>
      <c r="J205" s="11">
        <v>1</v>
      </c>
      <c r="K205" s="11">
        <v>3</v>
      </c>
      <c r="L205" s="11">
        <v>1</v>
      </c>
      <c r="M205" s="11">
        <v>2</v>
      </c>
      <c r="N205" s="11">
        <v>3</v>
      </c>
      <c r="O205" s="11">
        <v>4</v>
      </c>
      <c r="P205" s="11">
        <v>3</v>
      </c>
      <c r="Q205" s="11">
        <v>2</v>
      </c>
      <c r="R205" s="11">
        <v>2</v>
      </c>
      <c r="S205" s="11">
        <v>4</v>
      </c>
      <c r="T205" s="11">
        <v>3</v>
      </c>
      <c r="U205" s="10">
        <v>3</v>
      </c>
      <c r="V205" s="6">
        <f t="shared" ca="1" si="13"/>
        <v>18.90459167088315</v>
      </c>
      <c r="W205" s="6">
        <f t="shared" ca="1" si="13"/>
        <v>19.058803765261622</v>
      </c>
      <c r="X205" s="6">
        <f t="shared" ca="1" si="13"/>
        <v>18.676379191692607</v>
      </c>
      <c r="Y205" s="6">
        <f t="shared" ca="1" si="12"/>
        <v>19.150447214905697</v>
      </c>
      <c r="Z205" s="6">
        <f t="shared" ca="1" si="14"/>
        <v>18.676379191692607</v>
      </c>
      <c r="AA205" s="6">
        <f t="shared" ca="1" si="15"/>
        <v>3</v>
      </c>
    </row>
    <row r="206" spans="1:27">
      <c r="A206" s="11">
        <v>205</v>
      </c>
      <c r="B206" s="12">
        <v>1</v>
      </c>
      <c r="C206" s="11">
        <v>5</v>
      </c>
      <c r="D206" s="11">
        <v>1</v>
      </c>
      <c r="E206" s="11">
        <v>5</v>
      </c>
      <c r="F206" s="11">
        <v>5</v>
      </c>
      <c r="G206" s="11">
        <v>2</v>
      </c>
      <c r="H206" s="11">
        <v>1</v>
      </c>
      <c r="I206" s="11">
        <v>1</v>
      </c>
      <c r="J206" s="11">
        <v>1</v>
      </c>
      <c r="K206" s="11">
        <v>3</v>
      </c>
      <c r="L206" s="11">
        <v>2</v>
      </c>
      <c r="M206" s="11">
        <v>1</v>
      </c>
      <c r="N206" s="11">
        <v>4</v>
      </c>
      <c r="O206" s="11">
        <v>3</v>
      </c>
      <c r="P206" s="11">
        <v>3</v>
      </c>
      <c r="Q206" s="11">
        <v>3</v>
      </c>
      <c r="R206" s="11">
        <v>1</v>
      </c>
      <c r="S206" s="11">
        <v>1</v>
      </c>
      <c r="T206" s="11">
        <v>3</v>
      </c>
      <c r="U206" s="10">
        <v>1</v>
      </c>
      <c r="V206" s="6">
        <f t="shared" ca="1" si="13"/>
        <v>50.857076143829943</v>
      </c>
      <c r="W206" s="6">
        <f t="shared" ca="1" si="13"/>
        <v>50.687272030947263</v>
      </c>
      <c r="X206" s="6">
        <f t="shared" ca="1" si="13"/>
        <v>50.797139211011519</v>
      </c>
      <c r="Y206" s="6">
        <f t="shared" ca="1" si="12"/>
        <v>51.090369032008823</v>
      </c>
      <c r="Z206" s="6">
        <f t="shared" ca="1" si="14"/>
        <v>50.687272030947263</v>
      </c>
      <c r="AA206" s="6">
        <f t="shared" ca="1" si="15"/>
        <v>2</v>
      </c>
    </row>
    <row r="207" spans="1:27">
      <c r="A207" s="11">
        <v>206</v>
      </c>
      <c r="B207" s="12">
        <v>1</v>
      </c>
      <c r="C207" s="11">
        <v>1</v>
      </c>
      <c r="D207" s="11">
        <v>1</v>
      </c>
      <c r="E207" s="11">
        <v>1</v>
      </c>
      <c r="F207" s="11">
        <v>1</v>
      </c>
      <c r="G207" s="11">
        <v>1</v>
      </c>
      <c r="H207" s="11">
        <v>5</v>
      </c>
      <c r="I207" s="11">
        <v>1</v>
      </c>
      <c r="J207" s="11">
        <v>1</v>
      </c>
      <c r="K207" s="11">
        <v>3</v>
      </c>
      <c r="L207" s="11">
        <v>1</v>
      </c>
      <c r="M207" s="11">
        <v>3</v>
      </c>
      <c r="N207" s="11">
        <v>1</v>
      </c>
      <c r="O207" s="11">
        <v>2</v>
      </c>
      <c r="P207" s="11">
        <v>5</v>
      </c>
      <c r="Q207" s="11">
        <v>1</v>
      </c>
      <c r="R207" s="11">
        <v>5</v>
      </c>
      <c r="S207" s="11">
        <v>3</v>
      </c>
      <c r="T207" s="11">
        <v>3</v>
      </c>
      <c r="U207" s="10">
        <v>5</v>
      </c>
      <c r="V207" s="6">
        <f t="shared" ca="1" si="13"/>
        <v>60.850692176329247</v>
      </c>
      <c r="W207" s="6">
        <f t="shared" ca="1" si="13"/>
        <v>60.992051514204618</v>
      </c>
      <c r="X207" s="6">
        <f t="shared" ca="1" si="13"/>
        <v>61.073011263941723</v>
      </c>
      <c r="Y207" s="6">
        <f t="shared" ca="1" si="12"/>
        <v>61.22233263770881</v>
      </c>
      <c r="Z207" s="6">
        <f t="shared" ca="1" si="14"/>
        <v>60.850692176329247</v>
      </c>
      <c r="AA207" s="6">
        <f t="shared" ca="1" si="15"/>
        <v>1</v>
      </c>
    </row>
    <row r="208" spans="1:27">
      <c r="A208" s="11">
        <v>207</v>
      </c>
      <c r="B208" s="12">
        <v>2</v>
      </c>
      <c r="C208" s="11">
        <v>2</v>
      </c>
      <c r="D208" s="11">
        <v>2</v>
      </c>
      <c r="E208" s="11">
        <v>4</v>
      </c>
      <c r="F208" s="11">
        <v>2</v>
      </c>
      <c r="G208" s="11">
        <v>2</v>
      </c>
      <c r="H208" s="11">
        <v>1</v>
      </c>
      <c r="I208" s="11">
        <v>2</v>
      </c>
      <c r="J208" s="11">
        <v>2</v>
      </c>
      <c r="K208" s="11">
        <v>1</v>
      </c>
      <c r="L208" s="11">
        <v>3</v>
      </c>
      <c r="M208" s="11">
        <v>3</v>
      </c>
      <c r="N208" s="11">
        <v>4</v>
      </c>
      <c r="O208" s="11">
        <v>5</v>
      </c>
      <c r="P208" s="11">
        <v>5</v>
      </c>
      <c r="Q208" s="11">
        <v>3</v>
      </c>
      <c r="R208" s="11">
        <v>2</v>
      </c>
      <c r="S208" s="11">
        <v>2</v>
      </c>
      <c r="T208" s="11">
        <v>4</v>
      </c>
      <c r="U208" s="10">
        <v>2</v>
      </c>
      <c r="V208" s="6">
        <f t="shared" ca="1" si="13"/>
        <v>28.613691108456994</v>
      </c>
      <c r="W208" s="6">
        <f t="shared" ca="1" si="13"/>
        <v>29.086023042650218</v>
      </c>
      <c r="X208" s="6">
        <f t="shared" ca="1" si="13"/>
        <v>28.833170616537668</v>
      </c>
      <c r="Y208" s="6">
        <f t="shared" ca="1" si="12"/>
        <v>28.87123714910588</v>
      </c>
      <c r="Z208" s="6">
        <f t="shared" ca="1" si="14"/>
        <v>28.613691108456994</v>
      </c>
      <c r="AA208" s="6">
        <f t="shared" ca="1" si="15"/>
        <v>1</v>
      </c>
    </row>
    <row r="209" spans="1:27">
      <c r="A209" s="11">
        <v>208</v>
      </c>
      <c r="B209" s="12">
        <v>2</v>
      </c>
      <c r="C209" s="11">
        <v>2</v>
      </c>
      <c r="D209" s="11">
        <v>3</v>
      </c>
      <c r="E209" s="11">
        <v>4</v>
      </c>
      <c r="F209" s="11">
        <v>4</v>
      </c>
      <c r="G209" s="11">
        <v>3</v>
      </c>
      <c r="H209" s="11">
        <v>3</v>
      </c>
      <c r="I209" s="11">
        <v>2</v>
      </c>
      <c r="J209" s="11">
        <v>2</v>
      </c>
      <c r="K209" s="11">
        <v>4</v>
      </c>
      <c r="L209" s="11">
        <v>2</v>
      </c>
      <c r="M209" s="11">
        <v>1</v>
      </c>
      <c r="N209" s="11">
        <v>2</v>
      </c>
      <c r="O209" s="11">
        <v>4</v>
      </c>
      <c r="P209" s="11">
        <v>4</v>
      </c>
      <c r="Q209" s="11">
        <v>3</v>
      </c>
      <c r="R209" s="11">
        <v>4</v>
      </c>
      <c r="S209" s="11">
        <v>3</v>
      </c>
      <c r="T209" s="11">
        <v>3</v>
      </c>
      <c r="U209" s="10">
        <v>3</v>
      </c>
      <c r="V209" s="6">
        <f t="shared" ca="1" si="13"/>
        <v>15.897539234098574</v>
      </c>
      <c r="W209" s="6">
        <f t="shared" ca="1" si="13"/>
        <v>15.966918402272405</v>
      </c>
      <c r="X209" s="6">
        <f t="shared" ca="1" si="13"/>
        <v>15.869259970299629</v>
      </c>
      <c r="Y209" s="6">
        <f t="shared" ca="1" si="12"/>
        <v>16.101941573121373</v>
      </c>
      <c r="Z209" s="6">
        <f t="shared" ca="1" si="14"/>
        <v>15.869259970299629</v>
      </c>
      <c r="AA209" s="6">
        <f t="shared" ca="1" si="15"/>
        <v>3</v>
      </c>
    </row>
    <row r="210" spans="1:27">
      <c r="A210" s="11">
        <v>209</v>
      </c>
      <c r="B210" s="12">
        <v>4</v>
      </c>
      <c r="C210" s="11">
        <v>2</v>
      </c>
      <c r="D210" s="11">
        <v>2</v>
      </c>
      <c r="E210" s="11">
        <v>2</v>
      </c>
      <c r="F210" s="11">
        <v>2</v>
      </c>
      <c r="G210" s="11">
        <v>3</v>
      </c>
      <c r="H210" s="11">
        <v>3</v>
      </c>
      <c r="I210" s="11">
        <v>2</v>
      </c>
      <c r="J210" s="11">
        <v>2</v>
      </c>
      <c r="K210" s="11">
        <v>4</v>
      </c>
      <c r="L210" s="11">
        <v>2</v>
      </c>
      <c r="M210" s="11">
        <v>2</v>
      </c>
      <c r="N210" s="11">
        <v>4</v>
      </c>
      <c r="O210" s="11">
        <v>4</v>
      </c>
      <c r="P210" s="11">
        <v>4</v>
      </c>
      <c r="Q210" s="11">
        <v>3</v>
      </c>
      <c r="R210" s="11">
        <v>2</v>
      </c>
      <c r="S210" s="11">
        <v>2</v>
      </c>
      <c r="T210" s="11">
        <v>4</v>
      </c>
      <c r="U210" s="10">
        <v>4</v>
      </c>
      <c r="V210" s="6">
        <f t="shared" ca="1" si="13"/>
        <v>17.18186021024129</v>
      </c>
      <c r="W210" s="6">
        <f t="shared" ca="1" si="13"/>
        <v>17.580200093984391</v>
      </c>
      <c r="X210" s="6">
        <f t="shared" ca="1" si="13"/>
        <v>17.027912464456392</v>
      </c>
      <c r="Y210" s="6">
        <f t="shared" ca="1" si="12"/>
        <v>16.742184614024488</v>
      </c>
      <c r="Z210" s="6">
        <f t="shared" ca="1" si="14"/>
        <v>16.742184614024488</v>
      </c>
      <c r="AA210" s="6">
        <f t="shared" ca="1" si="15"/>
        <v>4</v>
      </c>
    </row>
    <row r="211" spans="1:27">
      <c r="A211" s="11">
        <v>210</v>
      </c>
      <c r="B211" s="12">
        <v>2</v>
      </c>
      <c r="C211" s="11">
        <v>2</v>
      </c>
      <c r="D211" s="11">
        <v>2</v>
      </c>
      <c r="E211" s="11">
        <v>4</v>
      </c>
      <c r="F211" s="11">
        <v>2</v>
      </c>
      <c r="G211" s="11">
        <v>4</v>
      </c>
      <c r="H211" s="11">
        <v>3</v>
      </c>
      <c r="I211" s="11">
        <v>1</v>
      </c>
      <c r="J211" s="11">
        <v>1</v>
      </c>
      <c r="K211" s="11">
        <v>3</v>
      </c>
      <c r="L211" s="11">
        <v>1</v>
      </c>
      <c r="M211" s="11">
        <v>1</v>
      </c>
      <c r="N211" s="11">
        <v>3</v>
      </c>
      <c r="O211" s="11">
        <v>4</v>
      </c>
      <c r="P211" s="11">
        <v>3</v>
      </c>
      <c r="Q211" s="11">
        <v>4</v>
      </c>
      <c r="R211" s="11">
        <v>1</v>
      </c>
      <c r="S211" s="11">
        <v>2</v>
      </c>
      <c r="T211" s="11">
        <v>3</v>
      </c>
      <c r="U211" s="10">
        <v>1</v>
      </c>
      <c r="V211" s="6">
        <f t="shared" ca="1" si="13"/>
        <v>32.674365151456577</v>
      </c>
      <c r="W211" s="6">
        <f t="shared" ca="1" si="13"/>
        <v>33.00674933194194</v>
      </c>
      <c r="X211" s="6">
        <f t="shared" ca="1" si="13"/>
        <v>32.821293041579167</v>
      </c>
      <c r="Y211" s="6">
        <f t="shared" ca="1" si="12"/>
        <v>32.654385419163951</v>
      </c>
      <c r="Z211" s="6">
        <f t="shared" ca="1" si="14"/>
        <v>32.654385419163951</v>
      </c>
      <c r="AA211" s="6">
        <f t="shared" ca="1" si="15"/>
        <v>4</v>
      </c>
    </row>
    <row r="212" spans="1:27">
      <c r="A212" s="11">
        <v>211</v>
      </c>
      <c r="B212" s="12">
        <v>3</v>
      </c>
      <c r="C212" s="11">
        <v>2</v>
      </c>
      <c r="D212" s="11">
        <v>4</v>
      </c>
      <c r="E212" s="11">
        <v>5</v>
      </c>
      <c r="F212" s="11">
        <v>4</v>
      </c>
      <c r="G212" s="11">
        <v>3</v>
      </c>
      <c r="H212" s="11">
        <v>3</v>
      </c>
      <c r="I212" s="11">
        <v>5</v>
      </c>
      <c r="J212" s="11">
        <v>4</v>
      </c>
      <c r="K212" s="11">
        <v>3</v>
      </c>
      <c r="L212" s="11">
        <v>4</v>
      </c>
      <c r="M212" s="11">
        <v>3</v>
      </c>
      <c r="N212" s="11">
        <v>4</v>
      </c>
      <c r="O212" s="11">
        <v>4</v>
      </c>
      <c r="P212" s="11">
        <v>2</v>
      </c>
      <c r="Q212" s="11">
        <v>2</v>
      </c>
      <c r="R212" s="11">
        <v>3</v>
      </c>
      <c r="S212" s="11">
        <v>1</v>
      </c>
      <c r="T212" s="11">
        <v>4</v>
      </c>
      <c r="U212" s="10">
        <v>5</v>
      </c>
      <c r="V212" s="6">
        <f t="shared" ca="1" si="13"/>
        <v>26.039969028135367</v>
      </c>
      <c r="W212" s="6">
        <f t="shared" ca="1" si="13"/>
        <v>26.543657858418563</v>
      </c>
      <c r="X212" s="6">
        <f t="shared" ca="1" si="13"/>
        <v>25.991180374180352</v>
      </c>
      <c r="Y212" s="6">
        <f t="shared" ca="1" si="12"/>
        <v>26.385664388716769</v>
      </c>
      <c r="Z212" s="6">
        <f t="shared" ca="1" si="14"/>
        <v>25.991180374180352</v>
      </c>
      <c r="AA212" s="6">
        <f t="shared" ca="1" si="15"/>
        <v>3</v>
      </c>
    </row>
    <row r="213" spans="1:27">
      <c r="A213" s="11">
        <v>212</v>
      </c>
      <c r="B213" s="12">
        <v>3</v>
      </c>
      <c r="C213" s="11">
        <v>2</v>
      </c>
      <c r="D213" s="11">
        <v>3</v>
      </c>
      <c r="E213" s="11">
        <v>3</v>
      </c>
      <c r="F213" s="11">
        <v>2</v>
      </c>
      <c r="G213" s="11">
        <v>3</v>
      </c>
      <c r="H213" s="11">
        <v>3</v>
      </c>
      <c r="I213" s="11">
        <v>2</v>
      </c>
      <c r="J213" s="11">
        <v>1</v>
      </c>
      <c r="K213" s="11">
        <v>1</v>
      </c>
      <c r="L213" s="11">
        <v>2</v>
      </c>
      <c r="M213" s="11">
        <v>3</v>
      </c>
      <c r="N213" s="11">
        <v>3</v>
      </c>
      <c r="O213" s="11">
        <v>4</v>
      </c>
      <c r="P213" s="11">
        <v>3</v>
      </c>
      <c r="Q213" s="11">
        <v>3</v>
      </c>
      <c r="R213" s="11">
        <v>3</v>
      </c>
      <c r="S213" s="11">
        <v>3</v>
      </c>
      <c r="T213" s="11">
        <v>3</v>
      </c>
      <c r="U213" s="10">
        <v>2</v>
      </c>
      <c r="V213" s="6">
        <f t="shared" ca="1" si="13"/>
        <v>13.610384621968903</v>
      </c>
      <c r="W213" s="6">
        <f t="shared" ca="1" si="13"/>
        <v>13.949213294408395</v>
      </c>
      <c r="X213" s="6">
        <f t="shared" ca="1" si="13"/>
        <v>13.667549160538675</v>
      </c>
      <c r="Y213" s="6">
        <f t="shared" ca="1" si="12"/>
        <v>14.021990721482908</v>
      </c>
      <c r="Z213" s="6">
        <f t="shared" ca="1" si="14"/>
        <v>13.610384621968903</v>
      </c>
      <c r="AA213" s="6">
        <f t="shared" ca="1" si="15"/>
        <v>1</v>
      </c>
    </row>
    <row r="214" spans="1:27">
      <c r="A214" s="11">
        <v>213</v>
      </c>
      <c r="B214" s="12">
        <v>5</v>
      </c>
      <c r="C214" s="11">
        <v>3</v>
      </c>
      <c r="D214" s="11">
        <v>2</v>
      </c>
      <c r="E214" s="11">
        <v>3</v>
      </c>
      <c r="F214" s="11">
        <v>4</v>
      </c>
      <c r="G214" s="11">
        <v>2</v>
      </c>
      <c r="H214" s="11">
        <v>3</v>
      </c>
      <c r="I214" s="11">
        <v>4</v>
      </c>
      <c r="J214" s="11">
        <v>1</v>
      </c>
      <c r="K214" s="11">
        <v>3</v>
      </c>
      <c r="L214" s="11">
        <v>2</v>
      </c>
      <c r="M214" s="11">
        <v>1</v>
      </c>
      <c r="N214" s="11">
        <v>1</v>
      </c>
      <c r="O214" s="11">
        <v>5</v>
      </c>
      <c r="P214" s="11">
        <v>4</v>
      </c>
      <c r="Q214" s="11">
        <v>3</v>
      </c>
      <c r="R214" s="11">
        <v>2</v>
      </c>
      <c r="S214" s="11">
        <v>4</v>
      </c>
      <c r="T214" s="11">
        <v>5</v>
      </c>
      <c r="U214" s="10">
        <v>5</v>
      </c>
      <c r="V214" s="6">
        <f t="shared" ca="1" si="13"/>
        <v>36.024116804215168</v>
      </c>
      <c r="W214" s="6">
        <f t="shared" ca="1" si="13"/>
        <v>36.288006846817204</v>
      </c>
      <c r="X214" s="6">
        <f t="shared" ca="1" si="13"/>
        <v>35.899632322119437</v>
      </c>
      <c r="Y214" s="6">
        <f t="shared" ca="1" si="12"/>
        <v>36.144012744086709</v>
      </c>
      <c r="Z214" s="6">
        <f t="shared" ca="1" si="14"/>
        <v>35.899632322119437</v>
      </c>
      <c r="AA214" s="6">
        <f t="shared" ca="1" si="15"/>
        <v>3</v>
      </c>
    </row>
    <row r="215" spans="1:27">
      <c r="A215" s="11">
        <v>214</v>
      </c>
      <c r="B215" s="12">
        <v>3</v>
      </c>
      <c r="C215" s="11">
        <v>2</v>
      </c>
      <c r="D215" s="11">
        <v>1</v>
      </c>
      <c r="E215" s="11">
        <v>2</v>
      </c>
      <c r="F215" s="11">
        <v>3</v>
      </c>
      <c r="G215" s="11">
        <v>3</v>
      </c>
      <c r="H215" s="11">
        <v>3</v>
      </c>
      <c r="I215" s="11">
        <v>3</v>
      </c>
      <c r="J215" s="11">
        <v>1</v>
      </c>
      <c r="K215" s="11">
        <v>2</v>
      </c>
      <c r="L215" s="11">
        <v>2</v>
      </c>
      <c r="M215" s="11">
        <v>1</v>
      </c>
      <c r="N215" s="11">
        <v>3</v>
      </c>
      <c r="O215" s="11">
        <v>4</v>
      </c>
      <c r="P215" s="11">
        <v>3</v>
      </c>
      <c r="Q215" s="11">
        <v>2</v>
      </c>
      <c r="R215" s="11">
        <v>2</v>
      </c>
      <c r="S215" s="11">
        <v>1</v>
      </c>
      <c r="T215" s="11">
        <v>1</v>
      </c>
      <c r="U215" s="10">
        <v>1</v>
      </c>
      <c r="V215" s="6">
        <f t="shared" ca="1" si="13"/>
        <v>30.94537912628061</v>
      </c>
      <c r="W215" s="6">
        <f t="shared" ca="1" si="13"/>
        <v>31.1298015784634</v>
      </c>
      <c r="X215" s="6">
        <f t="shared" ca="1" si="13"/>
        <v>30.670945506418597</v>
      </c>
      <c r="Y215" s="6">
        <f t="shared" ca="1" si="12"/>
        <v>30.903478929099755</v>
      </c>
      <c r="Z215" s="6">
        <f t="shared" ca="1" si="14"/>
        <v>30.670945506418597</v>
      </c>
      <c r="AA215" s="6">
        <f t="shared" ca="1" si="15"/>
        <v>3</v>
      </c>
    </row>
    <row r="216" spans="1:27">
      <c r="A216" s="11">
        <v>215</v>
      </c>
      <c r="B216" s="12">
        <v>1</v>
      </c>
      <c r="C216" s="11">
        <v>1</v>
      </c>
      <c r="D216" s="11">
        <v>4</v>
      </c>
      <c r="E216" s="11">
        <v>1</v>
      </c>
      <c r="F216" s="11">
        <v>1</v>
      </c>
      <c r="G216" s="11">
        <v>3</v>
      </c>
      <c r="H216" s="11">
        <v>3</v>
      </c>
      <c r="I216" s="11">
        <v>1</v>
      </c>
      <c r="J216" s="11">
        <v>1</v>
      </c>
      <c r="K216" s="11">
        <v>2</v>
      </c>
      <c r="L216" s="11">
        <v>1</v>
      </c>
      <c r="M216" s="11">
        <v>4</v>
      </c>
      <c r="N216" s="11">
        <v>3</v>
      </c>
      <c r="O216" s="11">
        <v>2</v>
      </c>
      <c r="P216" s="11">
        <v>4</v>
      </c>
      <c r="Q216" s="11">
        <v>2</v>
      </c>
      <c r="R216" s="11">
        <v>5</v>
      </c>
      <c r="S216" s="11">
        <v>1</v>
      </c>
      <c r="T216" s="11">
        <v>4</v>
      </c>
      <c r="U216" s="10">
        <v>2</v>
      </c>
      <c r="V216" s="6">
        <f t="shared" ca="1" si="13"/>
        <v>43.452488500302174</v>
      </c>
      <c r="W216" s="6">
        <f t="shared" ca="1" si="13"/>
        <v>43.934640811205455</v>
      </c>
      <c r="X216" s="6">
        <f t="shared" ca="1" si="13"/>
        <v>43.844629535884046</v>
      </c>
      <c r="Y216" s="6">
        <f t="shared" ca="1" si="12"/>
        <v>43.984217832284102</v>
      </c>
      <c r="Z216" s="6">
        <f t="shared" ca="1" si="14"/>
        <v>43.452488500302174</v>
      </c>
      <c r="AA216" s="6">
        <f t="shared" ca="1" si="15"/>
        <v>1</v>
      </c>
    </row>
    <row r="217" spans="1:27">
      <c r="A217" s="11">
        <v>216</v>
      </c>
      <c r="B217" s="12">
        <v>4</v>
      </c>
      <c r="C217" s="11">
        <v>4</v>
      </c>
      <c r="D217" s="11">
        <v>4</v>
      </c>
      <c r="E217" s="11">
        <v>3</v>
      </c>
      <c r="F217" s="11">
        <v>3</v>
      </c>
      <c r="G217" s="11">
        <v>2</v>
      </c>
      <c r="H217" s="11">
        <v>4</v>
      </c>
      <c r="I217" s="11">
        <v>3</v>
      </c>
      <c r="J217" s="11">
        <v>2</v>
      </c>
      <c r="K217" s="11">
        <v>2</v>
      </c>
      <c r="L217" s="11">
        <v>3</v>
      </c>
      <c r="M217" s="11">
        <v>2</v>
      </c>
      <c r="N217" s="11">
        <v>3</v>
      </c>
      <c r="O217" s="11">
        <v>4</v>
      </c>
      <c r="P217" s="11">
        <v>3</v>
      </c>
      <c r="Q217" s="11">
        <v>4</v>
      </c>
      <c r="R217" s="11">
        <v>3</v>
      </c>
      <c r="S217" s="11">
        <v>2</v>
      </c>
      <c r="T217" s="11">
        <v>3</v>
      </c>
      <c r="U217" s="10">
        <v>3</v>
      </c>
      <c r="V217" s="6">
        <f t="shared" ca="1" si="13"/>
        <v>10.995572148703099</v>
      </c>
      <c r="W217" s="6">
        <f t="shared" ca="1" si="13"/>
        <v>11.049288907143993</v>
      </c>
      <c r="X217" s="6">
        <f t="shared" ca="1" si="13"/>
        <v>10.905842851325728</v>
      </c>
      <c r="Y217" s="6">
        <f t="shared" ca="1" si="12"/>
        <v>11.10282110157064</v>
      </c>
      <c r="Z217" s="6">
        <f t="shared" ca="1" si="14"/>
        <v>10.905842851325728</v>
      </c>
      <c r="AA217" s="6">
        <f t="shared" ca="1" si="15"/>
        <v>3</v>
      </c>
    </row>
    <row r="218" spans="1:27">
      <c r="A218" s="11">
        <v>217</v>
      </c>
      <c r="B218" s="12">
        <v>3</v>
      </c>
      <c r="C218" s="11">
        <v>4</v>
      </c>
      <c r="D218" s="11">
        <v>2</v>
      </c>
      <c r="E218" s="11">
        <v>1</v>
      </c>
      <c r="F218" s="11">
        <v>5</v>
      </c>
      <c r="G218" s="11">
        <v>4</v>
      </c>
      <c r="H218" s="11">
        <v>2</v>
      </c>
      <c r="I218" s="11">
        <v>2</v>
      </c>
      <c r="J218" s="11">
        <v>2</v>
      </c>
      <c r="K218" s="11">
        <v>3</v>
      </c>
      <c r="L218" s="11">
        <v>2</v>
      </c>
      <c r="M218" s="11">
        <v>3</v>
      </c>
      <c r="N218" s="11">
        <v>4</v>
      </c>
      <c r="O218" s="11">
        <v>4</v>
      </c>
      <c r="P218" s="11">
        <v>4</v>
      </c>
      <c r="Q218" s="11">
        <v>2</v>
      </c>
      <c r="R218" s="11">
        <v>3</v>
      </c>
      <c r="S218" s="11">
        <v>5</v>
      </c>
      <c r="T218" s="11">
        <v>1</v>
      </c>
      <c r="U218" s="10">
        <v>5</v>
      </c>
      <c r="V218" s="6">
        <f t="shared" ca="1" si="13"/>
        <v>31.529788616152597</v>
      </c>
      <c r="W218" s="6">
        <f t="shared" ca="1" si="13"/>
        <v>31.001553095894941</v>
      </c>
      <c r="X218" s="6">
        <f t="shared" ca="1" si="13"/>
        <v>31.046730752257837</v>
      </c>
      <c r="Y218" s="6">
        <f t="shared" ca="1" si="12"/>
        <v>31.330608906570738</v>
      </c>
      <c r="Z218" s="6">
        <f t="shared" ca="1" si="14"/>
        <v>31.001553095894941</v>
      </c>
      <c r="AA218" s="6">
        <f t="shared" ca="1" si="15"/>
        <v>2</v>
      </c>
    </row>
    <row r="219" spans="1:27">
      <c r="A219" s="11">
        <v>218</v>
      </c>
      <c r="B219" s="12">
        <v>3</v>
      </c>
      <c r="C219" s="11">
        <v>2</v>
      </c>
      <c r="D219" s="11">
        <v>2</v>
      </c>
      <c r="E219" s="11">
        <v>2</v>
      </c>
      <c r="F219" s="11">
        <v>2</v>
      </c>
      <c r="G219" s="11">
        <v>3</v>
      </c>
      <c r="H219" s="11">
        <v>5</v>
      </c>
      <c r="I219" s="11">
        <v>1</v>
      </c>
      <c r="J219" s="11">
        <v>1</v>
      </c>
      <c r="K219" s="11">
        <v>3</v>
      </c>
      <c r="L219" s="11">
        <v>3</v>
      </c>
      <c r="M219" s="11">
        <v>2</v>
      </c>
      <c r="N219" s="11">
        <v>2</v>
      </c>
      <c r="O219" s="11">
        <v>5</v>
      </c>
      <c r="P219" s="11">
        <v>4</v>
      </c>
      <c r="Q219" s="11">
        <v>2</v>
      </c>
      <c r="R219" s="11">
        <v>2</v>
      </c>
      <c r="S219" s="11">
        <v>2</v>
      </c>
      <c r="T219" s="11">
        <v>2</v>
      </c>
      <c r="U219" s="10">
        <v>3</v>
      </c>
      <c r="V219" s="6">
        <f t="shared" ca="1" si="13"/>
        <v>26.95484491436121</v>
      </c>
      <c r="W219" s="6">
        <f t="shared" ca="1" si="13"/>
        <v>27.260451223577252</v>
      </c>
      <c r="X219" s="6">
        <f t="shared" ca="1" si="13"/>
        <v>26.766976620039124</v>
      </c>
      <c r="Y219" s="6">
        <f t="shared" ca="1" si="12"/>
        <v>27.078669275083602</v>
      </c>
      <c r="Z219" s="6">
        <f t="shared" ca="1" si="14"/>
        <v>26.766976620039124</v>
      </c>
      <c r="AA219" s="6">
        <f t="shared" ca="1" si="15"/>
        <v>3</v>
      </c>
    </row>
    <row r="220" spans="1:27">
      <c r="A220" s="11">
        <v>219</v>
      </c>
      <c r="B220" s="12">
        <v>2</v>
      </c>
      <c r="C220" s="11">
        <v>3</v>
      </c>
      <c r="D220" s="11">
        <v>4</v>
      </c>
      <c r="E220" s="11">
        <v>4</v>
      </c>
      <c r="F220" s="11">
        <v>5</v>
      </c>
      <c r="G220" s="11">
        <v>4</v>
      </c>
      <c r="H220" s="11">
        <v>4</v>
      </c>
      <c r="I220" s="11">
        <v>3</v>
      </c>
      <c r="J220" s="11">
        <v>4</v>
      </c>
      <c r="K220" s="11">
        <v>3</v>
      </c>
      <c r="L220" s="11">
        <v>4</v>
      </c>
      <c r="M220" s="11">
        <v>1</v>
      </c>
      <c r="N220" s="11">
        <v>5</v>
      </c>
      <c r="O220" s="11">
        <v>3</v>
      </c>
      <c r="P220" s="11">
        <v>5</v>
      </c>
      <c r="Q220" s="11">
        <v>3</v>
      </c>
      <c r="R220" s="11">
        <v>1</v>
      </c>
      <c r="S220" s="11">
        <v>3</v>
      </c>
      <c r="T220" s="11">
        <v>4</v>
      </c>
      <c r="U220" s="10">
        <v>5</v>
      </c>
      <c r="V220" s="6">
        <f t="shared" ca="1" si="13"/>
        <v>32.233564673039908</v>
      </c>
      <c r="W220" s="6">
        <f t="shared" ca="1" si="13"/>
        <v>32.007692447676312</v>
      </c>
      <c r="X220" s="6">
        <f t="shared" ca="1" si="13"/>
        <v>32.394775596788428</v>
      </c>
      <c r="Y220" s="6">
        <f t="shared" ca="1" si="12"/>
        <v>32.286642435625716</v>
      </c>
      <c r="Z220" s="6">
        <f t="shared" ca="1" si="14"/>
        <v>32.007692447676312</v>
      </c>
      <c r="AA220" s="6">
        <f t="shared" ca="1" si="15"/>
        <v>2</v>
      </c>
    </row>
    <row r="221" spans="1:27">
      <c r="A221" s="11">
        <v>220</v>
      </c>
      <c r="B221" s="12">
        <v>2</v>
      </c>
      <c r="C221" s="11">
        <v>1</v>
      </c>
      <c r="D221" s="11">
        <v>1</v>
      </c>
      <c r="E221" s="11">
        <v>3</v>
      </c>
      <c r="F221" s="11">
        <v>2</v>
      </c>
      <c r="G221" s="11">
        <v>3</v>
      </c>
      <c r="H221" s="11">
        <v>3</v>
      </c>
      <c r="I221" s="11">
        <v>4</v>
      </c>
      <c r="J221" s="11">
        <v>1</v>
      </c>
      <c r="K221" s="11">
        <v>3</v>
      </c>
      <c r="L221" s="11">
        <v>1</v>
      </c>
      <c r="M221" s="11">
        <v>2</v>
      </c>
      <c r="N221" s="11">
        <v>3</v>
      </c>
      <c r="O221" s="11">
        <v>4</v>
      </c>
      <c r="P221" s="11">
        <v>3</v>
      </c>
      <c r="Q221" s="11">
        <v>1</v>
      </c>
      <c r="R221" s="11">
        <v>3</v>
      </c>
      <c r="S221" s="11">
        <v>1</v>
      </c>
      <c r="T221" s="11">
        <v>3</v>
      </c>
      <c r="U221" s="10">
        <v>1</v>
      </c>
      <c r="V221" s="6">
        <f t="shared" ca="1" si="13"/>
        <v>32.594338756918219</v>
      </c>
      <c r="W221" s="6">
        <f t="shared" ca="1" si="13"/>
        <v>33.247107351500098</v>
      </c>
      <c r="X221" s="6">
        <f t="shared" ca="1" si="13"/>
        <v>32.622291154601029</v>
      </c>
      <c r="Y221" s="6">
        <f t="shared" ca="1" si="12"/>
        <v>32.777654334560637</v>
      </c>
      <c r="Z221" s="6">
        <f t="shared" ca="1" si="14"/>
        <v>32.594338756918219</v>
      </c>
      <c r="AA221" s="6">
        <f t="shared" ca="1" si="15"/>
        <v>1</v>
      </c>
    </row>
    <row r="222" spans="1:27">
      <c r="A222" s="11">
        <v>221</v>
      </c>
      <c r="B222" s="12">
        <v>1</v>
      </c>
      <c r="C222" s="11">
        <v>1</v>
      </c>
      <c r="D222" s="11">
        <v>1</v>
      </c>
      <c r="E222" s="11">
        <v>2</v>
      </c>
      <c r="F222" s="11">
        <v>4</v>
      </c>
      <c r="G222" s="11">
        <v>3</v>
      </c>
      <c r="H222" s="11">
        <v>3</v>
      </c>
      <c r="I222" s="11">
        <v>2</v>
      </c>
      <c r="J222" s="11">
        <v>1</v>
      </c>
      <c r="K222" s="11">
        <v>3</v>
      </c>
      <c r="L222" s="11">
        <v>1</v>
      </c>
      <c r="M222" s="11">
        <v>2</v>
      </c>
      <c r="N222" s="11">
        <v>3</v>
      </c>
      <c r="O222" s="11">
        <v>4</v>
      </c>
      <c r="P222" s="11">
        <v>5</v>
      </c>
      <c r="Q222" s="11">
        <v>4</v>
      </c>
      <c r="R222" s="11">
        <v>3</v>
      </c>
      <c r="S222" s="11">
        <v>1</v>
      </c>
      <c r="T222" s="11">
        <v>3</v>
      </c>
      <c r="U222" s="10">
        <v>2</v>
      </c>
      <c r="V222" s="6">
        <f t="shared" ca="1" si="13"/>
        <v>34.993265138544437</v>
      </c>
      <c r="W222" s="6">
        <f t="shared" ca="1" si="13"/>
        <v>34.832154164755615</v>
      </c>
      <c r="X222" s="6">
        <f t="shared" ca="1" si="13"/>
        <v>34.928110548124039</v>
      </c>
      <c r="Y222" s="6">
        <f t="shared" ca="1" si="12"/>
        <v>34.80560144682115</v>
      </c>
      <c r="Z222" s="6">
        <f t="shared" ca="1" si="14"/>
        <v>34.80560144682115</v>
      </c>
      <c r="AA222" s="6">
        <f t="shared" ca="1" si="15"/>
        <v>4</v>
      </c>
    </row>
    <row r="223" spans="1:27">
      <c r="A223" s="11">
        <v>222</v>
      </c>
      <c r="B223" s="12">
        <v>5</v>
      </c>
      <c r="C223" s="11">
        <v>2</v>
      </c>
      <c r="D223" s="11">
        <v>2</v>
      </c>
      <c r="E223" s="11">
        <v>2</v>
      </c>
      <c r="F223" s="11">
        <v>3</v>
      </c>
      <c r="G223" s="11">
        <v>4</v>
      </c>
      <c r="H223" s="11">
        <v>4</v>
      </c>
      <c r="I223" s="11">
        <v>1</v>
      </c>
      <c r="J223" s="11">
        <v>1</v>
      </c>
      <c r="K223" s="11">
        <v>4</v>
      </c>
      <c r="L223" s="11">
        <v>2</v>
      </c>
      <c r="M223" s="11">
        <v>1</v>
      </c>
      <c r="N223" s="11">
        <v>2</v>
      </c>
      <c r="O223" s="11">
        <v>4</v>
      </c>
      <c r="P223" s="11">
        <v>4</v>
      </c>
      <c r="Q223" s="11">
        <v>1</v>
      </c>
      <c r="R223" s="11">
        <v>1</v>
      </c>
      <c r="S223" s="11">
        <v>3</v>
      </c>
      <c r="T223" s="11">
        <v>2</v>
      </c>
      <c r="U223" s="10">
        <v>3</v>
      </c>
      <c r="V223" s="6">
        <f t="shared" ca="1" si="13"/>
        <v>35.085541534713556</v>
      </c>
      <c r="W223" s="6">
        <f t="shared" ca="1" si="13"/>
        <v>35.455394003068044</v>
      </c>
      <c r="X223" s="6">
        <f t="shared" ca="1" si="13"/>
        <v>34.783125340813712</v>
      </c>
      <c r="Y223" s="6">
        <f t="shared" ca="1" si="12"/>
        <v>35.043442473896256</v>
      </c>
      <c r="Z223" s="6">
        <f t="shared" ca="1" si="14"/>
        <v>34.783125340813712</v>
      </c>
      <c r="AA223" s="6">
        <f t="shared" ca="1" si="15"/>
        <v>3</v>
      </c>
    </row>
    <row r="224" spans="1:27">
      <c r="A224" s="11">
        <v>223</v>
      </c>
      <c r="B224" s="12">
        <v>4</v>
      </c>
      <c r="C224" s="11">
        <v>3</v>
      </c>
      <c r="D224" s="11">
        <v>2</v>
      </c>
      <c r="E224" s="11">
        <v>3</v>
      </c>
      <c r="F224" s="11">
        <v>4</v>
      </c>
      <c r="G224" s="11">
        <v>2</v>
      </c>
      <c r="H224" s="11">
        <v>3</v>
      </c>
      <c r="I224" s="11">
        <v>3</v>
      </c>
      <c r="J224" s="11">
        <v>4</v>
      </c>
      <c r="K224" s="11">
        <v>2</v>
      </c>
      <c r="L224" s="11">
        <v>3</v>
      </c>
      <c r="M224" s="11">
        <v>4</v>
      </c>
      <c r="N224" s="11">
        <v>2</v>
      </c>
      <c r="O224" s="11">
        <v>3</v>
      </c>
      <c r="P224" s="11">
        <v>4</v>
      </c>
      <c r="Q224" s="11">
        <v>3</v>
      </c>
      <c r="R224" s="11">
        <v>3</v>
      </c>
      <c r="S224" s="11">
        <v>4</v>
      </c>
      <c r="T224" s="11">
        <v>2</v>
      </c>
      <c r="U224" s="10">
        <v>3</v>
      </c>
      <c r="V224" s="6">
        <f t="shared" ca="1" si="13"/>
        <v>11.166064650171851</v>
      </c>
      <c r="W224" s="6">
        <f t="shared" ca="1" si="13"/>
        <v>10.8177623652491</v>
      </c>
      <c r="X224" s="6">
        <f t="shared" ca="1" si="13"/>
        <v>11.098023547116858</v>
      </c>
      <c r="Y224" s="6">
        <f t="shared" ca="1" si="12"/>
        <v>11.117309445088283</v>
      </c>
      <c r="Z224" s="6">
        <f t="shared" ca="1" si="14"/>
        <v>10.8177623652491</v>
      </c>
      <c r="AA224" s="6">
        <f t="shared" ca="1" si="15"/>
        <v>2</v>
      </c>
    </row>
    <row r="225" spans="1:27">
      <c r="A225" s="11">
        <v>224</v>
      </c>
      <c r="B225" s="12">
        <v>3</v>
      </c>
      <c r="C225" s="11">
        <v>2</v>
      </c>
      <c r="D225" s="11">
        <v>2</v>
      </c>
      <c r="E225" s="11">
        <v>2</v>
      </c>
      <c r="F225" s="11">
        <v>3</v>
      </c>
      <c r="G225" s="11">
        <v>4</v>
      </c>
      <c r="H225" s="11">
        <v>2</v>
      </c>
      <c r="I225" s="11">
        <v>2</v>
      </c>
      <c r="J225" s="11">
        <v>1</v>
      </c>
      <c r="K225" s="11">
        <v>4</v>
      </c>
      <c r="L225" s="11">
        <v>2</v>
      </c>
      <c r="M225" s="11">
        <v>2</v>
      </c>
      <c r="N225" s="11">
        <v>2</v>
      </c>
      <c r="O225" s="11">
        <v>1</v>
      </c>
      <c r="P225" s="11">
        <v>4</v>
      </c>
      <c r="Q225" s="11">
        <v>2</v>
      </c>
      <c r="R225" s="11">
        <v>2</v>
      </c>
      <c r="S225" s="11">
        <v>2</v>
      </c>
      <c r="T225" s="11">
        <v>3</v>
      </c>
      <c r="U225" s="10">
        <v>2</v>
      </c>
      <c r="V225" s="6">
        <f t="shared" ca="1" si="13"/>
        <v>22.908278131238632</v>
      </c>
      <c r="W225" s="6">
        <f t="shared" ca="1" si="13"/>
        <v>22.972637908570732</v>
      </c>
      <c r="X225" s="6">
        <f t="shared" ca="1" si="13"/>
        <v>22.937174832279432</v>
      </c>
      <c r="Y225" s="6">
        <f t="shared" ca="1" si="12"/>
        <v>22.882063816528184</v>
      </c>
      <c r="Z225" s="6">
        <f t="shared" ca="1" si="14"/>
        <v>22.882063816528184</v>
      </c>
      <c r="AA225" s="6">
        <f t="shared" ca="1" si="15"/>
        <v>4</v>
      </c>
    </row>
    <row r="226" spans="1:27">
      <c r="A226" s="11">
        <v>225</v>
      </c>
      <c r="B226" s="12">
        <v>2</v>
      </c>
      <c r="C226" s="11">
        <v>2</v>
      </c>
      <c r="D226" s="11">
        <v>2</v>
      </c>
      <c r="E226" s="11">
        <v>2</v>
      </c>
      <c r="F226" s="11">
        <v>2</v>
      </c>
      <c r="G226" s="11">
        <v>5</v>
      </c>
      <c r="H226" s="11">
        <v>2</v>
      </c>
      <c r="I226" s="11">
        <v>2</v>
      </c>
      <c r="J226" s="11">
        <v>2</v>
      </c>
      <c r="K226" s="11">
        <v>2</v>
      </c>
      <c r="L226" s="11">
        <v>2</v>
      </c>
      <c r="M226" s="11">
        <v>2</v>
      </c>
      <c r="N226" s="11">
        <v>2</v>
      </c>
      <c r="O226" s="11">
        <v>5</v>
      </c>
      <c r="P226" s="11">
        <v>5</v>
      </c>
      <c r="Q226" s="11">
        <v>2</v>
      </c>
      <c r="R226" s="11">
        <v>5</v>
      </c>
      <c r="S226" s="11">
        <v>2</v>
      </c>
      <c r="T226" s="11">
        <v>5</v>
      </c>
      <c r="U226" s="10">
        <v>2</v>
      </c>
      <c r="V226" s="6">
        <f t="shared" ca="1" si="13"/>
        <v>34.473543419883462</v>
      </c>
      <c r="W226" s="6">
        <f t="shared" ca="1" si="13"/>
        <v>34.835796294749244</v>
      </c>
      <c r="X226" s="6">
        <f t="shared" ca="1" si="13"/>
        <v>34.461727342948429</v>
      </c>
      <c r="Y226" s="6">
        <f t="shared" ca="1" si="12"/>
        <v>34.911818540124095</v>
      </c>
      <c r="Z226" s="6">
        <f t="shared" ca="1" si="14"/>
        <v>34.461727342948429</v>
      </c>
      <c r="AA226" s="6">
        <f t="shared" ca="1" si="15"/>
        <v>3</v>
      </c>
    </row>
    <row r="227" spans="1:27">
      <c r="A227" s="11">
        <v>226</v>
      </c>
      <c r="B227" s="12">
        <v>4</v>
      </c>
      <c r="C227" s="11">
        <v>2</v>
      </c>
      <c r="D227" s="11">
        <v>2</v>
      </c>
      <c r="E227" s="11">
        <v>1</v>
      </c>
      <c r="F227" s="11">
        <v>4</v>
      </c>
      <c r="G227" s="11">
        <v>3</v>
      </c>
      <c r="H227" s="11">
        <v>3</v>
      </c>
      <c r="I227" s="11">
        <v>2</v>
      </c>
      <c r="J227" s="11">
        <v>2</v>
      </c>
      <c r="K227" s="11">
        <v>3</v>
      </c>
      <c r="L227" s="11">
        <v>2</v>
      </c>
      <c r="M227" s="11">
        <v>2</v>
      </c>
      <c r="N227" s="11">
        <v>2</v>
      </c>
      <c r="O227" s="11">
        <v>4</v>
      </c>
      <c r="P227" s="11">
        <v>3</v>
      </c>
      <c r="Q227" s="11">
        <v>2</v>
      </c>
      <c r="R227" s="11">
        <v>3</v>
      </c>
      <c r="S227" s="11">
        <v>5</v>
      </c>
      <c r="T227" s="11">
        <v>3</v>
      </c>
      <c r="U227" s="10">
        <v>5</v>
      </c>
      <c r="V227" s="6">
        <f t="shared" ca="1" si="13"/>
        <v>23.224846570104294</v>
      </c>
      <c r="W227" s="6">
        <f t="shared" ca="1" si="13"/>
        <v>23.257192285787411</v>
      </c>
      <c r="X227" s="6">
        <f t="shared" ca="1" si="13"/>
        <v>22.949906115251942</v>
      </c>
      <c r="Y227" s="6">
        <f t="shared" ca="1" si="12"/>
        <v>23.241597195168271</v>
      </c>
      <c r="Z227" s="6">
        <f t="shared" ca="1" si="14"/>
        <v>22.949906115251942</v>
      </c>
      <c r="AA227" s="6">
        <f t="shared" ca="1" si="15"/>
        <v>3</v>
      </c>
    </row>
    <row r="228" spans="1:27">
      <c r="A228" s="11">
        <v>227</v>
      </c>
      <c r="B228" s="12">
        <v>3</v>
      </c>
      <c r="C228" s="11">
        <v>2</v>
      </c>
      <c r="D228" s="11">
        <v>1</v>
      </c>
      <c r="E228" s="11">
        <v>4</v>
      </c>
      <c r="F228" s="11">
        <v>3</v>
      </c>
      <c r="G228" s="11">
        <v>4</v>
      </c>
      <c r="H228" s="11">
        <v>2</v>
      </c>
      <c r="I228" s="11">
        <v>2</v>
      </c>
      <c r="J228" s="11">
        <v>2</v>
      </c>
      <c r="K228" s="11">
        <v>2</v>
      </c>
      <c r="L228" s="11">
        <v>1</v>
      </c>
      <c r="M228" s="11">
        <v>4</v>
      </c>
      <c r="N228" s="11">
        <v>3</v>
      </c>
      <c r="O228" s="11">
        <v>2</v>
      </c>
      <c r="P228" s="11">
        <v>3</v>
      </c>
      <c r="Q228" s="11">
        <v>4</v>
      </c>
      <c r="R228" s="11">
        <v>3</v>
      </c>
      <c r="S228" s="11">
        <v>2</v>
      </c>
      <c r="T228" s="11">
        <v>3</v>
      </c>
      <c r="U228" s="10">
        <v>4</v>
      </c>
      <c r="V228" s="6">
        <f t="shared" ca="1" si="13"/>
        <v>20.047698918222849</v>
      </c>
      <c r="W228" s="6">
        <f t="shared" ca="1" si="13"/>
        <v>19.884130237627762</v>
      </c>
      <c r="X228" s="6">
        <f t="shared" ca="1" si="13"/>
        <v>19.894834803921846</v>
      </c>
      <c r="Y228" s="6">
        <f t="shared" ca="1" si="12"/>
        <v>20.05856759622521</v>
      </c>
      <c r="Z228" s="6">
        <f t="shared" ca="1" si="14"/>
        <v>19.884130237627762</v>
      </c>
      <c r="AA228" s="6">
        <f t="shared" ca="1" si="15"/>
        <v>2</v>
      </c>
    </row>
    <row r="229" spans="1:27">
      <c r="A229" s="11">
        <v>228</v>
      </c>
      <c r="B229" s="12">
        <v>2</v>
      </c>
      <c r="C229" s="11">
        <v>2</v>
      </c>
      <c r="D229" s="11">
        <v>3</v>
      </c>
      <c r="E229" s="11">
        <v>3</v>
      </c>
      <c r="F229" s="11">
        <v>5</v>
      </c>
      <c r="G229" s="11">
        <v>4</v>
      </c>
      <c r="H229" s="11">
        <v>3</v>
      </c>
      <c r="I229" s="11">
        <v>2</v>
      </c>
      <c r="J229" s="11">
        <v>2</v>
      </c>
      <c r="K229" s="11">
        <v>3</v>
      </c>
      <c r="L229" s="11">
        <v>2</v>
      </c>
      <c r="M229" s="11">
        <v>2</v>
      </c>
      <c r="N229" s="11">
        <v>2</v>
      </c>
      <c r="O229" s="11">
        <v>4</v>
      </c>
      <c r="P229" s="11">
        <v>4</v>
      </c>
      <c r="Q229" s="11">
        <v>3</v>
      </c>
      <c r="R229" s="11">
        <v>2</v>
      </c>
      <c r="S229" s="11">
        <v>4</v>
      </c>
      <c r="T229" s="11">
        <v>3</v>
      </c>
      <c r="U229" s="10">
        <v>5</v>
      </c>
      <c r="V229" s="6">
        <f t="shared" ca="1" si="13"/>
        <v>20.114042441433039</v>
      </c>
      <c r="W229" s="6">
        <f t="shared" ca="1" si="13"/>
        <v>19.972132213968322</v>
      </c>
      <c r="X229" s="6">
        <f t="shared" ca="1" si="13"/>
        <v>20.135751780968178</v>
      </c>
      <c r="Y229" s="6">
        <f t="shared" ca="1" si="12"/>
        <v>20.367918739376133</v>
      </c>
      <c r="Z229" s="6">
        <f t="shared" ca="1" si="14"/>
        <v>19.972132213968322</v>
      </c>
      <c r="AA229" s="6">
        <f t="shared" ca="1" si="15"/>
        <v>2</v>
      </c>
    </row>
    <row r="230" spans="1:27">
      <c r="A230" s="11">
        <v>229</v>
      </c>
      <c r="B230" s="12">
        <v>3</v>
      </c>
      <c r="C230" s="11">
        <v>2</v>
      </c>
      <c r="D230" s="11">
        <v>1</v>
      </c>
      <c r="E230" s="11">
        <v>2</v>
      </c>
      <c r="F230" s="11">
        <v>2</v>
      </c>
      <c r="G230" s="11">
        <v>1</v>
      </c>
      <c r="H230" s="11">
        <v>3</v>
      </c>
      <c r="I230" s="11">
        <v>2</v>
      </c>
      <c r="J230" s="11">
        <v>2</v>
      </c>
      <c r="K230" s="11">
        <v>2</v>
      </c>
      <c r="L230" s="11">
        <v>3</v>
      </c>
      <c r="M230" s="11">
        <v>3</v>
      </c>
      <c r="N230" s="11">
        <v>3</v>
      </c>
      <c r="O230" s="11">
        <v>4</v>
      </c>
      <c r="P230" s="11">
        <v>4</v>
      </c>
      <c r="Q230" s="11">
        <v>1</v>
      </c>
      <c r="R230" s="11">
        <v>2</v>
      </c>
      <c r="S230" s="11">
        <v>1</v>
      </c>
      <c r="T230" s="11">
        <v>3</v>
      </c>
      <c r="U230" s="10">
        <v>3</v>
      </c>
      <c r="V230" s="6">
        <f t="shared" ca="1" si="13"/>
        <v>24.914194188809333</v>
      </c>
      <c r="W230" s="6">
        <f t="shared" ca="1" si="13"/>
        <v>25.411460003743507</v>
      </c>
      <c r="X230" s="6">
        <f t="shared" ca="1" si="13"/>
        <v>24.88437944869008</v>
      </c>
      <c r="Y230" s="6">
        <f t="shared" ca="1" si="12"/>
        <v>25.074340487525731</v>
      </c>
      <c r="Z230" s="6">
        <f t="shared" ca="1" si="14"/>
        <v>24.88437944869008</v>
      </c>
      <c r="AA230" s="6">
        <f t="shared" ca="1" si="15"/>
        <v>3</v>
      </c>
    </row>
    <row r="231" spans="1:27">
      <c r="A231" s="11">
        <v>230</v>
      </c>
      <c r="B231" s="12">
        <v>2</v>
      </c>
      <c r="C231" s="11">
        <v>4</v>
      </c>
      <c r="D231" s="11">
        <v>1</v>
      </c>
      <c r="E231" s="11">
        <v>3</v>
      </c>
      <c r="F231" s="11">
        <v>5</v>
      </c>
      <c r="G231" s="11">
        <v>2</v>
      </c>
      <c r="H231" s="11">
        <v>3</v>
      </c>
      <c r="I231" s="11">
        <v>1</v>
      </c>
      <c r="J231" s="11">
        <v>1</v>
      </c>
      <c r="K231" s="11">
        <v>3</v>
      </c>
      <c r="L231" s="11">
        <v>1</v>
      </c>
      <c r="M231" s="11">
        <v>1</v>
      </c>
      <c r="N231" s="11">
        <v>5</v>
      </c>
      <c r="O231" s="11">
        <v>5</v>
      </c>
      <c r="P231" s="11">
        <v>4</v>
      </c>
      <c r="Q231" s="11">
        <v>5</v>
      </c>
      <c r="R231" s="11">
        <v>1</v>
      </c>
      <c r="S231" s="11">
        <v>2</v>
      </c>
      <c r="T231" s="11">
        <v>1</v>
      </c>
      <c r="U231" s="10">
        <v>5</v>
      </c>
      <c r="V231" s="6">
        <f t="shared" ca="1" si="13"/>
        <v>53.670778723586835</v>
      </c>
      <c r="W231" s="6">
        <f t="shared" ca="1" si="13"/>
        <v>53.148785272566656</v>
      </c>
      <c r="X231" s="6">
        <f t="shared" ca="1" si="13"/>
        <v>53.230346588880934</v>
      </c>
      <c r="Y231" s="6">
        <f t="shared" ca="1" si="12"/>
        <v>53.128568692643874</v>
      </c>
      <c r="Z231" s="6">
        <f t="shared" ca="1" si="14"/>
        <v>53.128568692643874</v>
      </c>
      <c r="AA231" s="6">
        <f t="shared" ca="1" si="15"/>
        <v>4</v>
      </c>
    </row>
    <row r="232" spans="1:27">
      <c r="A232" s="11">
        <v>231</v>
      </c>
      <c r="B232" s="12">
        <v>2</v>
      </c>
      <c r="C232" s="11">
        <v>3</v>
      </c>
      <c r="D232" s="11">
        <v>3</v>
      </c>
      <c r="E232" s="11">
        <v>3</v>
      </c>
      <c r="F232" s="11">
        <v>3</v>
      </c>
      <c r="G232" s="11">
        <v>2</v>
      </c>
      <c r="H232" s="11">
        <v>3</v>
      </c>
      <c r="I232" s="11">
        <v>4</v>
      </c>
      <c r="J232" s="11">
        <v>3</v>
      </c>
      <c r="K232" s="11">
        <v>5</v>
      </c>
      <c r="L232" s="11">
        <v>3</v>
      </c>
      <c r="M232" s="11">
        <v>2</v>
      </c>
      <c r="N232" s="11">
        <v>3</v>
      </c>
      <c r="O232" s="11">
        <v>3</v>
      </c>
      <c r="P232" s="11">
        <v>4</v>
      </c>
      <c r="Q232" s="11">
        <v>2</v>
      </c>
      <c r="R232" s="11">
        <v>3</v>
      </c>
      <c r="S232" s="11">
        <v>4</v>
      </c>
      <c r="T232" s="11">
        <v>3</v>
      </c>
      <c r="U232" s="10">
        <v>4</v>
      </c>
      <c r="V232" s="6">
        <f t="shared" ca="1" si="13"/>
        <v>12.140702523870225</v>
      </c>
      <c r="W232" s="6">
        <f t="shared" ca="1" si="13"/>
        <v>12.224455696185041</v>
      </c>
      <c r="X232" s="6">
        <f t="shared" ca="1" si="13"/>
        <v>12.307975376100567</v>
      </c>
      <c r="Y232" s="6">
        <f t="shared" ca="1" si="12"/>
        <v>11.958850957879378</v>
      </c>
      <c r="Z232" s="6">
        <f t="shared" ca="1" si="14"/>
        <v>11.958850957879378</v>
      </c>
      <c r="AA232" s="6">
        <f t="shared" ca="1" si="15"/>
        <v>4</v>
      </c>
    </row>
    <row r="233" spans="1:27">
      <c r="A233" s="11">
        <v>232</v>
      </c>
      <c r="B233" s="12">
        <v>4</v>
      </c>
      <c r="C233" s="11">
        <v>1</v>
      </c>
      <c r="D233" s="11">
        <v>1</v>
      </c>
      <c r="E233" s="11">
        <v>3</v>
      </c>
      <c r="F233" s="11">
        <v>1</v>
      </c>
      <c r="G233" s="11">
        <v>4</v>
      </c>
      <c r="H233" s="11">
        <v>3</v>
      </c>
      <c r="I233" s="11">
        <v>2</v>
      </c>
      <c r="J233" s="11">
        <v>3</v>
      </c>
      <c r="K233" s="11">
        <v>3</v>
      </c>
      <c r="L233" s="11">
        <v>2</v>
      </c>
      <c r="M233" s="11">
        <v>3</v>
      </c>
      <c r="N233" s="11">
        <v>3</v>
      </c>
      <c r="O233" s="11">
        <v>4</v>
      </c>
      <c r="P233" s="11">
        <v>5</v>
      </c>
      <c r="Q233" s="11">
        <v>1</v>
      </c>
      <c r="R233" s="11">
        <v>3</v>
      </c>
      <c r="S233" s="11">
        <v>2</v>
      </c>
      <c r="T233" s="11">
        <v>3</v>
      </c>
      <c r="U233" s="10">
        <v>2</v>
      </c>
      <c r="V233" s="6">
        <f t="shared" ca="1" si="13"/>
        <v>26.795695912730199</v>
      </c>
      <c r="W233" s="6">
        <f t="shared" ca="1" si="13"/>
        <v>27.353367987560727</v>
      </c>
      <c r="X233" s="6">
        <f t="shared" ca="1" si="13"/>
        <v>26.7127130522491</v>
      </c>
      <c r="Y233" s="6">
        <f t="shared" ca="1" si="12"/>
        <v>26.719160952837822</v>
      </c>
      <c r="Z233" s="6">
        <f t="shared" ca="1" si="14"/>
        <v>26.7127130522491</v>
      </c>
      <c r="AA233" s="6">
        <f t="shared" ca="1" si="15"/>
        <v>3</v>
      </c>
    </row>
    <row r="234" spans="1:27">
      <c r="A234" s="11">
        <v>233</v>
      </c>
      <c r="B234" s="12">
        <v>3</v>
      </c>
      <c r="C234" s="11">
        <v>1</v>
      </c>
      <c r="D234" s="11">
        <v>1</v>
      </c>
      <c r="E234" s="11">
        <v>4</v>
      </c>
      <c r="F234" s="11">
        <v>5</v>
      </c>
      <c r="G234" s="11">
        <v>5</v>
      </c>
      <c r="H234" s="11">
        <v>4</v>
      </c>
      <c r="I234" s="11">
        <v>1</v>
      </c>
      <c r="J234" s="11">
        <v>1</v>
      </c>
      <c r="K234" s="11">
        <v>2</v>
      </c>
      <c r="L234" s="11">
        <v>2</v>
      </c>
      <c r="M234" s="11">
        <v>2</v>
      </c>
      <c r="N234" s="11">
        <v>3</v>
      </c>
      <c r="O234" s="11">
        <v>4</v>
      </c>
      <c r="P234" s="11">
        <v>4</v>
      </c>
      <c r="Q234" s="11">
        <v>5</v>
      </c>
      <c r="R234" s="11">
        <v>2</v>
      </c>
      <c r="S234" s="11">
        <v>1</v>
      </c>
      <c r="T234" s="11">
        <v>1</v>
      </c>
      <c r="U234" s="10">
        <v>4</v>
      </c>
      <c r="V234" s="6">
        <f t="shared" ca="1" si="13"/>
        <v>45.351959836388403</v>
      </c>
      <c r="W234" s="6">
        <f t="shared" ca="1" si="13"/>
        <v>44.856656450000607</v>
      </c>
      <c r="X234" s="6">
        <f t="shared" ca="1" si="13"/>
        <v>44.753778361635369</v>
      </c>
      <c r="Y234" s="6">
        <f t="shared" ca="1" si="12"/>
        <v>45.244993807905509</v>
      </c>
      <c r="Z234" s="6">
        <f t="shared" ca="1" si="14"/>
        <v>44.753778361635369</v>
      </c>
      <c r="AA234" s="6">
        <f t="shared" ca="1" si="15"/>
        <v>3</v>
      </c>
    </row>
    <row r="235" spans="1:27">
      <c r="A235" s="11">
        <v>234</v>
      </c>
      <c r="B235" s="12">
        <v>2</v>
      </c>
      <c r="C235" s="11">
        <v>2</v>
      </c>
      <c r="D235" s="11">
        <v>2</v>
      </c>
      <c r="E235" s="11">
        <v>4</v>
      </c>
      <c r="F235" s="11">
        <v>3</v>
      </c>
      <c r="G235" s="11">
        <v>4</v>
      </c>
      <c r="H235" s="11">
        <v>3</v>
      </c>
      <c r="I235" s="11">
        <v>2</v>
      </c>
      <c r="J235" s="11">
        <v>2</v>
      </c>
      <c r="K235" s="11">
        <v>3</v>
      </c>
      <c r="L235" s="11">
        <v>2</v>
      </c>
      <c r="M235" s="11">
        <v>2</v>
      </c>
      <c r="N235" s="11">
        <v>4</v>
      </c>
      <c r="O235" s="11">
        <v>4</v>
      </c>
      <c r="P235" s="11">
        <v>4</v>
      </c>
      <c r="Q235" s="11">
        <v>2</v>
      </c>
      <c r="R235" s="11">
        <v>2</v>
      </c>
      <c r="S235" s="11">
        <v>3</v>
      </c>
      <c r="T235" s="11">
        <v>2</v>
      </c>
      <c r="U235" s="10">
        <v>2</v>
      </c>
      <c r="V235" s="6">
        <f t="shared" ca="1" si="13"/>
        <v>15.866423444047534</v>
      </c>
      <c r="W235" s="6">
        <f t="shared" ca="1" si="13"/>
        <v>16.033484234929986</v>
      </c>
      <c r="X235" s="6">
        <f t="shared" ca="1" si="13"/>
        <v>15.847629709108816</v>
      </c>
      <c r="Y235" s="6">
        <f t="shared" ca="1" si="12"/>
        <v>15.947789031208336</v>
      </c>
      <c r="Z235" s="6">
        <f t="shared" ca="1" si="14"/>
        <v>15.847629709108816</v>
      </c>
      <c r="AA235" s="6">
        <f t="shared" ca="1" si="15"/>
        <v>3</v>
      </c>
    </row>
    <row r="236" spans="1:27">
      <c r="A236" s="11">
        <v>235</v>
      </c>
      <c r="B236" s="12">
        <v>3</v>
      </c>
      <c r="C236" s="11">
        <v>2</v>
      </c>
      <c r="D236" s="11">
        <v>2</v>
      </c>
      <c r="E236" s="11">
        <v>2</v>
      </c>
      <c r="F236" s="11">
        <v>3</v>
      </c>
      <c r="G236" s="11">
        <v>5</v>
      </c>
      <c r="H236" s="11">
        <v>2</v>
      </c>
      <c r="I236" s="11">
        <v>2</v>
      </c>
      <c r="J236" s="11">
        <v>2</v>
      </c>
      <c r="K236" s="11">
        <v>3</v>
      </c>
      <c r="L236" s="11">
        <v>3</v>
      </c>
      <c r="M236" s="11">
        <v>1</v>
      </c>
      <c r="N236" s="11">
        <v>3</v>
      </c>
      <c r="O236" s="11">
        <v>4</v>
      </c>
      <c r="P236" s="11">
        <v>4</v>
      </c>
      <c r="Q236" s="11">
        <v>1</v>
      </c>
      <c r="R236" s="11">
        <v>1</v>
      </c>
      <c r="S236" s="11">
        <v>2</v>
      </c>
      <c r="T236" s="11">
        <v>2</v>
      </c>
      <c r="U236" s="10">
        <v>2</v>
      </c>
      <c r="V236" s="6">
        <f t="shared" ca="1" si="13"/>
        <v>26.942559754964059</v>
      </c>
      <c r="W236" s="6">
        <f t="shared" ca="1" si="13"/>
        <v>27.2772245448223</v>
      </c>
      <c r="X236" s="6">
        <f t="shared" ca="1" si="13"/>
        <v>26.805315770916248</v>
      </c>
      <c r="Y236" s="6">
        <f t="shared" ca="1" si="12"/>
        <v>26.965502837893897</v>
      </c>
      <c r="Z236" s="6">
        <f t="shared" ca="1" si="14"/>
        <v>26.805315770916248</v>
      </c>
      <c r="AA236" s="6">
        <f t="shared" ca="1" si="15"/>
        <v>3</v>
      </c>
    </row>
    <row r="237" spans="1:27">
      <c r="A237" s="11">
        <v>236</v>
      </c>
      <c r="B237" s="12">
        <v>2</v>
      </c>
      <c r="C237" s="11">
        <v>2</v>
      </c>
      <c r="D237" s="11">
        <v>1</v>
      </c>
      <c r="E237" s="11">
        <v>2</v>
      </c>
      <c r="F237" s="11">
        <v>2</v>
      </c>
      <c r="G237" s="11">
        <v>2</v>
      </c>
      <c r="H237" s="11">
        <v>1</v>
      </c>
      <c r="I237" s="11">
        <v>1</v>
      </c>
      <c r="J237" s="11">
        <v>1</v>
      </c>
      <c r="K237" s="11">
        <v>1</v>
      </c>
      <c r="L237" s="11">
        <v>2</v>
      </c>
      <c r="M237" s="11">
        <v>2</v>
      </c>
      <c r="N237" s="11">
        <v>3</v>
      </c>
      <c r="O237" s="11">
        <v>2</v>
      </c>
      <c r="P237" s="11">
        <v>1</v>
      </c>
      <c r="Q237" s="11">
        <v>2</v>
      </c>
      <c r="R237" s="11">
        <v>3</v>
      </c>
      <c r="S237" s="11">
        <v>2</v>
      </c>
      <c r="T237" s="11">
        <v>1</v>
      </c>
      <c r="U237" s="10">
        <v>2</v>
      </c>
      <c r="V237" s="6">
        <f t="shared" ca="1" si="13"/>
        <v>38.83003111058774</v>
      </c>
      <c r="W237" s="6">
        <f t="shared" ca="1" si="13"/>
        <v>39.049597083175215</v>
      </c>
      <c r="X237" s="6">
        <f t="shared" ca="1" si="13"/>
        <v>38.693529009257631</v>
      </c>
      <c r="Y237" s="6">
        <f t="shared" ca="1" si="12"/>
        <v>39.118937149328417</v>
      </c>
      <c r="Z237" s="6">
        <f t="shared" ca="1" si="14"/>
        <v>38.693529009257631</v>
      </c>
      <c r="AA237" s="6">
        <f t="shared" ca="1" si="15"/>
        <v>3</v>
      </c>
    </row>
    <row r="238" spans="1:27">
      <c r="A238" s="11">
        <v>237</v>
      </c>
      <c r="B238" s="12">
        <v>2</v>
      </c>
      <c r="C238" s="11">
        <v>2</v>
      </c>
      <c r="D238" s="11">
        <v>1</v>
      </c>
      <c r="E238" s="11">
        <v>3</v>
      </c>
      <c r="F238" s="11">
        <v>3</v>
      </c>
      <c r="G238" s="11">
        <v>4</v>
      </c>
      <c r="H238" s="11">
        <v>4</v>
      </c>
      <c r="I238" s="11">
        <v>5</v>
      </c>
      <c r="J238" s="11">
        <v>4</v>
      </c>
      <c r="K238" s="11">
        <v>4</v>
      </c>
      <c r="L238" s="11">
        <v>2</v>
      </c>
      <c r="M238" s="11">
        <v>2</v>
      </c>
      <c r="N238" s="11">
        <v>3</v>
      </c>
      <c r="O238" s="11">
        <v>4</v>
      </c>
      <c r="P238" s="11">
        <v>4</v>
      </c>
      <c r="Q238" s="11">
        <v>3</v>
      </c>
      <c r="R238" s="11">
        <v>3</v>
      </c>
      <c r="S238" s="11">
        <v>3</v>
      </c>
      <c r="T238" s="11">
        <v>2</v>
      </c>
      <c r="U238" s="10">
        <v>2</v>
      </c>
      <c r="V238" s="6">
        <f t="shared" ca="1" si="13"/>
        <v>20.137022396621315</v>
      </c>
      <c r="W238" s="6">
        <f t="shared" ca="1" si="13"/>
        <v>19.95748381477712</v>
      </c>
      <c r="X238" s="6">
        <f t="shared" ca="1" si="13"/>
        <v>20.108406233331255</v>
      </c>
      <c r="Y238" s="6">
        <f t="shared" ca="1" si="12"/>
        <v>19.614476435609507</v>
      </c>
      <c r="Z238" s="6">
        <f t="shared" ca="1" si="14"/>
        <v>19.614476435609507</v>
      </c>
      <c r="AA238" s="6">
        <f t="shared" ca="1" si="15"/>
        <v>4</v>
      </c>
    </row>
    <row r="239" spans="1:27">
      <c r="A239" s="11">
        <v>238</v>
      </c>
      <c r="B239" s="12">
        <v>2</v>
      </c>
      <c r="C239" s="11">
        <v>3</v>
      </c>
      <c r="D239" s="11">
        <v>2</v>
      </c>
      <c r="E239" s="11">
        <v>3</v>
      </c>
      <c r="F239" s="11">
        <v>2</v>
      </c>
      <c r="G239" s="11">
        <v>3</v>
      </c>
      <c r="H239" s="11">
        <v>2</v>
      </c>
      <c r="I239" s="11">
        <v>3</v>
      </c>
      <c r="J239" s="11">
        <v>2</v>
      </c>
      <c r="K239" s="11">
        <v>3</v>
      </c>
      <c r="L239" s="11">
        <v>2</v>
      </c>
      <c r="M239" s="11">
        <v>3</v>
      </c>
      <c r="N239" s="11">
        <v>2</v>
      </c>
      <c r="O239" s="11">
        <v>3</v>
      </c>
      <c r="P239" s="11">
        <v>2</v>
      </c>
      <c r="Q239" s="11">
        <v>3</v>
      </c>
      <c r="R239" s="11">
        <v>2</v>
      </c>
      <c r="S239" s="11">
        <v>3</v>
      </c>
      <c r="T239" s="11">
        <v>2</v>
      </c>
      <c r="U239" s="10">
        <v>3</v>
      </c>
      <c r="V239" s="6">
        <f t="shared" ca="1" si="13"/>
        <v>9.9448361823587437</v>
      </c>
      <c r="W239" s="6">
        <f t="shared" ca="1" si="13"/>
        <v>10.077551909841294</v>
      </c>
      <c r="X239" s="6">
        <f t="shared" ca="1" si="13"/>
        <v>10.072645204090682</v>
      </c>
      <c r="Y239" s="6">
        <f t="shared" ca="1" si="12"/>
        <v>9.9340833157292874</v>
      </c>
      <c r="Z239" s="6">
        <f t="shared" ca="1" si="14"/>
        <v>9.9340833157292874</v>
      </c>
      <c r="AA239" s="6">
        <f t="shared" ca="1" si="15"/>
        <v>4</v>
      </c>
    </row>
    <row r="240" spans="1:27">
      <c r="A240" s="11">
        <v>239</v>
      </c>
      <c r="B240" s="12">
        <v>3</v>
      </c>
      <c r="C240" s="11">
        <v>3</v>
      </c>
      <c r="D240" s="11">
        <v>2</v>
      </c>
      <c r="E240" s="11">
        <v>4</v>
      </c>
      <c r="F240" s="11">
        <v>4</v>
      </c>
      <c r="G240" s="11">
        <v>3</v>
      </c>
      <c r="H240" s="11">
        <v>3</v>
      </c>
      <c r="I240" s="11">
        <v>2</v>
      </c>
      <c r="J240" s="11">
        <v>2</v>
      </c>
      <c r="K240" s="11">
        <v>2</v>
      </c>
      <c r="L240" s="11">
        <v>2</v>
      </c>
      <c r="M240" s="11">
        <v>2</v>
      </c>
      <c r="N240" s="11">
        <v>4</v>
      </c>
      <c r="O240" s="11">
        <v>4</v>
      </c>
      <c r="P240" s="11">
        <v>4</v>
      </c>
      <c r="Q240" s="11">
        <v>2</v>
      </c>
      <c r="R240" s="11">
        <v>2</v>
      </c>
      <c r="S240" s="11">
        <v>3</v>
      </c>
      <c r="T240" s="11">
        <v>4</v>
      </c>
      <c r="U240" s="10">
        <v>4</v>
      </c>
      <c r="V240" s="6">
        <f t="shared" ca="1" si="13"/>
        <v>14.923082447737768</v>
      </c>
      <c r="W240" s="6">
        <f t="shared" ca="1" si="13"/>
        <v>15.065249820035225</v>
      </c>
      <c r="X240" s="6">
        <f t="shared" ca="1" si="13"/>
        <v>14.855605045819468</v>
      </c>
      <c r="Y240" s="6">
        <f t="shared" ca="1" si="12"/>
        <v>15.277838202268239</v>
      </c>
      <c r="Z240" s="6">
        <f t="shared" ca="1" si="14"/>
        <v>14.855605045819468</v>
      </c>
      <c r="AA240" s="6">
        <f t="shared" ca="1" si="15"/>
        <v>3</v>
      </c>
    </row>
    <row r="241" spans="1:27">
      <c r="A241" s="11">
        <v>240</v>
      </c>
      <c r="B241" s="12">
        <v>3</v>
      </c>
      <c r="C241" s="11">
        <v>1</v>
      </c>
      <c r="D241" s="11">
        <v>1</v>
      </c>
      <c r="E241" s="11">
        <v>4</v>
      </c>
      <c r="F241" s="11">
        <v>3</v>
      </c>
      <c r="G241" s="11">
        <v>3</v>
      </c>
      <c r="H241" s="11">
        <v>1</v>
      </c>
      <c r="I241" s="11">
        <v>2</v>
      </c>
      <c r="J241" s="11">
        <v>2</v>
      </c>
      <c r="K241" s="11">
        <v>5</v>
      </c>
      <c r="L241" s="11">
        <v>2</v>
      </c>
      <c r="M241" s="11">
        <v>1</v>
      </c>
      <c r="N241" s="11">
        <v>4</v>
      </c>
      <c r="O241" s="11">
        <v>4</v>
      </c>
      <c r="P241" s="11">
        <v>5</v>
      </c>
      <c r="Q241" s="11">
        <v>5</v>
      </c>
      <c r="R241" s="11">
        <v>3</v>
      </c>
      <c r="S241" s="11">
        <v>1</v>
      </c>
      <c r="T241" s="11">
        <v>1</v>
      </c>
      <c r="U241" s="10">
        <v>3</v>
      </c>
      <c r="V241" s="6">
        <f t="shared" ca="1" si="13"/>
        <v>42.477617200521912</v>
      </c>
      <c r="W241" s="6">
        <f t="shared" ca="1" si="13"/>
        <v>42.422742794101872</v>
      </c>
      <c r="X241" s="6">
        <f t="shared" ca="1" si="13"/>
        <v>42.038777639130217</v>
      </c>
      <c r="Y241" s="6">
        <f t="shared" ca="1" si="12"/>
        <v>41.540765428570133</v>
      </c>
      <c r="Z241" s="6">
        <f t="shared" ca="1" si="14"/>
        <v>41.540765428570133</v>
      </c>
      <c r="AA241" s="6">
        <f t="shared" ca="1" si="15"/>
        <v>4</v>
      </c>
    </row>
    <row r="242" spans="1:27">
      <c r="A242" s="11">
        <v>241</v>
      </c>
      <c r="B242" s="12">
        <v>3</v>
      </c>
      <c r="C242" s="11">
        <v>2</v>
      </c>
      <c r="D242" s="11">
        <v>2</v>
      </c>
      <c r="E242" s="11">
        <v>2</v>
      </c>
      <c r="F242" s="11">
        <v>2</v>
      </c>
      <c r="G242" s="11">
        <v>4</v>
      </c>
      <c r="H242" s="11">
        <v>4</v>
      </c>
      <c r="I242" s="11">
        <v>3</v>
      </c>
      <c r="J242" s="11">
        <v>3</v>
      </c>
      <c r="K242" s="11">
        <v>2</v>
      </c>
      <c r="L242" s="11">
        <v>1</v>
      </c>
      <c r="M242" s="11">
        <v>3</v>
      </c>
      <c r="N242" s="11">
        <v>4</v>
      </c>
      <c r="O242" s="11">
        <v>1</v>
      </c>
      <c r="P242" s="11">
        <v>2</v>
      </c>
      <c r="Q242" s="11">
        <v>2</v>
      </c>
      <c r="R242" s="11">
        <v>2</v>
      </c>
      <c r="S242" s="11">
        <v>2</v>
      </c>
      <c r="T242" s="11">
        <v>4</v>
      </c>
      <c r="U242" s="10">
        <v>2</v>
      </c>
      <c r="V242" s="6">
        <f t="shared" ca="1" si="13"/>
        <v>21.778745486285189</v>
      </c>
      <c r="W242" s="6">
        <f t="shared" ca="1" si="13"/>
        <v>22.000129537533969</v>
      </c>
      <c r="X242" s="6">
        <f t="shared" ca="1" si="13"/>
        <v>22.004860125600185</v>
      </c>
      <c r="Y242" s="6">
        <f t="shared" ca="1" si="12"/>
        <v>21.830560708399293</v>
      </c>
      <c r="Z242" s="6">
        <f t="shared" ca="1" si="14"/>
        <v>21.778745486285189</v>
      </c>
      <c r="AA242" s="6">
        <f t="shared" ca="1" si="15"/>
        <v>1</v>
      </c>
    </row>
    <row r="243" spans="1:27">
      <c r="A243" s="11">
        <v>242</v>
      </c>
      <c r="B243" s="12">
        <v>2</v>
      </c>
      <c r="C243" s="11">
        <v>2</v>
      </c>
      <c r="D243" s="11">
        <v>3</v>
      </c>
      <c r="E243" s="11">
        <v>3</v>
      </c>
      <c r="F243" s="11">
        <v>3</v>
      </c>
      <c r="G243" s="11">
        <v>4</v>
      </c>
      <c r="H243" s="11">
        <v>3</v>
      </c>
      <c r="I243" s="11">
        <v>2</v>
      </c>
      <c r="J243" s="11">
        <v>3</v>
      </c>
      <c r="K243" s="11">
        <v>2</v>
      </c>
      <c r="L243" s="11">
        <v>3</v>
      </c>
      <c r="M243" s="11">
        <v>3</v>
      </c>
      <c r="N243" s="11">
        <v>3</v>
      </c>
      <c r="O243" s="11">
        <v>2</v>
      </c>
      <c r="P243" s="11">
        <v>2</v>
      </c>
      <c r="Q243" s="11">
        <v>3</v>
      </c>
      <c r="R243" s="11">
        <v>3</v>
      </c>
      <c r="S243" s="11">
        <v>3</v>
      </c>
      <c r="T243" s="11">
        <v>2</v>
      </c>
      <c r="U243" s="10">
        <v>3</v>
      </c>
      <c r="V243" s="6">
        <f t="shared" ca="1" si="13"/>
        <v>7.9444834025422955</v>
      </c>
      <c r="W243" s="6">
        <f t="shared" ca="1" si="13"/>
        <v>7.8448391372502497</v>
      </c>
      <c r="X243" s="6">
        <f t="shared" ca="1" si="13"/>
        <v>7.9716584122078196</v>
      </c>
      <c r="Y243" s="6">
        <f t="shared" ca="1" si="12"/>
        <v>8.1746845860219128</v>
      </c>
      <c r="Z243" s="6">
        <f t="shared" ca="1" si="14"/>
        <v>7.8448391372502497</v>
      </c>
      <c r="AA243" s="6">
        <f t="shared" ca="1" si="15"/>
        <v>2</v>
      </c>
    </row>
    <row r="244" spans="1:27">
      <c r="A244" s="11">
        <v>243</v>
      </c>
      <c r="B244" s="12">
        <v>2</v>
      </c>
      <c r="C244" s="11">
        <v>3</v>
      </c>
      <c r="D244" s="11">
        <v>2</v>
      </c>
      <c r="E244" s="11">
        <v>3</v>
      </c>
      <c r="F244" s="11">
        <v>4</v>
      </c>
      <c r="G244" s="11">
        <v>3</v>
      </c>
      <c r="H244" s="11">
        <v>2</v>
      </c>
      <c r="I244" s="11">
        <v>3</v>
      </c>
      <c r="J244" s="11">
        <v>3</v>
      </c>
      <c r="K244" s="11">
        <v>4</v>
      </c>
      <c r="L244" s="11">
        <v>3</v>
      </c>
      <c r="M244" s="11">
        <v>2</v>
      </c>
      <c r="N244" s="11">
        <v>3</v>
      </c>
      <c r="O244" s="11">
        <v>4</v>
      </c>
      <c r="P244" s="11">
        <v>3</v>
      </c>
      <c r="Q244" s="11">
        <v>2</v>
      </c>
      <c r="R244" s="11">
        <v>3</v>
      </c>
      <c r="S244" s="11">
        <v>3</v>
      </c>
      <c r="T244" s="11">
        <v>2</v>
      </c>
      <c r="U244" s="10">
        <v>3</v>
      </c>
      <c r="V244" s="6">
        <f t="shared" ca="1" si="13"/>
        <v>9.1477758701773428</v>
      </c>
      <c r="W244" s="6">
        <f t="shared" ca="1" si="13"/>
        <v>9.1363931565271788</v>
      </c>
      <c r="X244" s="6">
        <f t="shared" ca="1" si="13"/>
        <v>8.9733947452255372</v>
      </c>
      <c r="Y244" s="6">
        <f t="shared" ca="1" si="12"/>
        <v>9.0679301961146148</v>
      </c>
      <c r="Z244" s="6">
        <f t="shared" ca="1" si="14"/>
        <v>8.9733947452255372</v>
      </c>
      <c r="AA244" s="6">
        <f t="shared" ca="1" si="15"/>
        <v>3</v>
      </c>
    </row>
    <row r="245" spans="1:27">
      <c r="A245" s="11">
        <v>244</v>
      </c>
      <c r="B245" s="12">
        <v>4</v>
      </c>
      <c r="C245" s="11">
        <v>3</v>
      </c>
      <c r="D245" s="11">
        <v>2</v>
      </c>
      <c r="E245" s="11">
        <v>3</v>
      </c>
      <c r="F245" s="11">
        <v>3</v>
      </c>
      <c r="G245" s="11">
        <v>1</v>
      </c>
      <c r="H245" s="11">
        <v>1</v>
      </c>
      <c r="I245" s="11">
        <v>1</v>
      </c>
      <c r="J245" s="11">
        <v>2</v>
      </c>
      <c r="K245" s="11">
        <v>3</v>
      </c>
      <c r="L245" s="11">
        <v>2</v>
      </c>
      <c r="M245" s="11">
        <v>1</v>
      </c>
      <c r="N245" s="11">
        <v>1</v>
      </c>
      <c r="O245" s="11">
        <v>3</v>
      </c>
      <c r="P245" s="11">
        <v>3</v>
      </c>
      <c r="Q245" s="11">
        <v>2</v>
      </c>
      <c r="R245" s="11">
        <v>3</v>
      </c>
      <c r="S245" s="11">
        <v>2</v>
      </c>
      <c r="T245" s="11">
        <v>3</v>
      </c>
      <c r="U245" s="10">
        <v>2</v>
      </c>
      <c r="V245" s="6">
        <f t="shared" ca="1" si="13"/>
        <v>26.820740893510909</v>
      </c>
      <c r="W245" s="6">
        <f t="shared" ca="1" si="13"/>
        <v>27.221879329256456</v>
      </c>
      <c r="X245" s="6">
        <f t="shared" ca="1" si="13"/>
        <v>26.789175036671967</v>
      </c>
      <c r="Y245" s="6">
        <f t="shared" ca="1" si="12"/>
        <v>27.047749183174631</v>
      </c>
      <c r="Z245" s="6">
        <f t="shared" ca="1" si="14"/>
        <v>26.789175036671967</v>
      </c>
      <c r="AA245" s="6">
        <f t="shared" ca="1" si="15"/>
        <v>3</v>
      </c>
    </row>
    <row r="246" spans="1:27">
      <c r="A246" s="11">
        <v>245</v>
      </c>
      <c r="B246" s="12">
        <v>4</v>
      </c>
      <c r="C246" s="11">
        <v>1</v>
      </c>
      <c r="D246" s="11">
        <v>1</v>
      </c>
      <c r="E246" s="11">
        <v>3</v>
      </c>
      <c r="F246" s="11">
        <v>1</v>
      </c>
      <c r="G246" s="11">
        <v>4</v>
      </c>
      <c r="H246" s="11">
        <v>3</v>
      </c>
      <c r="I246" s="11">
        <v>2</v>
      </c>
      <c r="J246" s="11">
        <v>3</v>
      </c>
      <c r="K246" s="11">
        <v>3</v>
      </c>
      <c r="L246" s="11">
        <v>2</v>
      </c>
      <c r="M246" s="11">
        <v>3</v>
      </c>
      <c r="N246" s="11">
        <v>3</v>
      </c>
      <c r="O246" s="11">
        <v>4</v>
      </c>
      <c r="P246" s="11">
        <v>5</v>
      </c>
      <c r="Q246" s="11">
        <v>1</v>
      </c>
      <c r="R246" s="11">
        <v>3</v>
      </c>
      <c r="S246" s="11">
        <v>2</v>
      </c>
      <c r="T246" s="11">
        <v>3</v>
      </c>
      <c r="U246" s="10">
        <v>2</v>
      </c>
      <c r="V246" s="6">
        <f t="shared" ca="1" si="13"/>
        <v>26.795695912730199</v>
      </c>
      <c r="W246" s="6">
        <f t="shared" ca="1" si="13"/>
        <v>27.353367987560727</v>
      </c>
      <c r="X246" s="6">
        <f t="shared" ca="1" si="13"/>
        <v>26.7127130522491</v>
      </c>
      <c r="Y246" s="6">
        <f t="shared" ca="1" si="12"/>
        <v>26.719160952837822</v>
      </c>
      <c r="Z246" s="6">
        <f t="shared" ca="1" si="14"/>
        <v>26.7127130522491</v>
      </c>
      <c r="AA246" s="6">
        <f t="shared" ca="1" si="15"/>
        <v>3</v>
      </c>
    </row>
    <row r="247" spans="1:27">
      <c r="A247" s="11">
        <v>246</v>
      </c>
      <c r="B247" s="12">
        <v>4</v>
      </c>
      <c r="C247" s="11">
        <v>4</v>
      </c>
      <c r="D247" s="11">
        <v>4</v>
      </c>
      <c r="E247" s="11">
        <v>4</v>
      </c>
      <c r="F247" s="11">
        <v>3</v>
      </c>
      <c r="G247" s="11">
        <v>3</v>
      </c>
      <c r="H247" s="11">
        <v>3</v>
      </c>
      <c r="I247" s="11">
        <v>1</v>
      </c>
      <c r="J247" s="11">
        <v>3</v>
      </c>
      <c r="K247" s="11">
        <v>4</v>
      </c>
      <c r="L247" s="11">
        <v>2</v>
      </c>
      <c r="M247" s="11">
        <v>3</v>
      </c>
      <c r="N247" s="11">
        <v>3</v>
      </c>
      <c r="O247" s="11">
        <v>2</v>
      </c>
      <c r="P247" s="11">
        <v>4</v>
      </c>
      <c r="Q247" s="11">
        <v>3</v>
      </c>
      <c r="R247" s="11">
        <v>2</v>
      </c>
      <c r="S247" s="11">
        <v>3</v>
      </c>
      <c r="T247" s="11">
        <v>4</v>
      </c>
      <c r="U247" s="10">
        <v>3</v>
      </c>
      <c r="V247" s="6">
        <f t="shared" ca="1" si="13"/>
        <v>13.956315630867774</v>
      </c>
      <c r="W247" s="6">
        <f t="shared" ca="1" si="13"/>
        <v>14.047111455556639</v>
      </c>
      <c r="X247" s="6">
        <f t="shared" ca="1" si="13"/>
        <v>14.152071597918198</v>
      </c>
      <c r="Y247" s="6">
        <f t="shared" ca="1" si="12"/>
        <v>13.99485677477305</v>
      </c>
      <c r="Z247" s="6">
        <f t="shared" ca="1" si="14"/>
        <v>13.956315630867774</v>
      </c>
      <c r="AA247" s="6">
        <f t="shared" ca="1" si="15"/>
        <v>1</v>
      </c>
    </row>
    <row r="248" spans="1:27">
      <c r="A248" s="11">
        <v>247</v>
      </c>
      <c r="B248" s="12">
        <v>5</v>
      </c>
      <c r="C248" s="11">
        <v>2</v>
      </c>
      <c r="D248" s="11">
        <v>2</v>
      </c>
      <c r="E248" s="11">
        <v>2</v>
      </c>
      <c r="F248" s="11">
        <v>5</v>
      </c>
      <c r="G248" s="11">
        <v>4</v>
      </c>
      <c r="H248" s="11">
        <v>3</v>
      </c>
      <c r="I248" s="11">
        <v>2</v>
      </c>
      <c r="J248" s="11">
        <v>2</v>
      </c>
      <c r="K248" s="11">
        <v>2</v>
      </c>
      <c r="L248" s="11">
        <v>1</v>
      </c>
      <c r="M248" s="11">
        <v>1</v>
      </c>
      <c r="N248" s="11">
        <v>1</v>
      </c>
      <c r="O248" s="11">
        <v>4</v>
      </c>
      <c r="P248" s="11">
        <v>3</v>
      </c>
      <c r="Q248" s="11">
        <v>2</v>
      </c>
      <c r="R248" s="11">
        <v>1</v>
      </c>
      <c r="S248" s="11">
        <v>1</v>
      </c>
      <c r="T248" s="11">
        <v>3</v>
      </c>
      <c r="U248" s="10">
        <v>2</v>
      </c>
      <c r="V248" s="6">
        <f t="shared" ca="1" si="13"/>
        <v>37.93931949916788</v>
      </c>
      <c r="W248" s="6">
        <f t="shared" ca="1" si="13"/>
        <v>38.194262533274674</v>
      </c>
      <c r="X248" s="6">
        <f t="shared" ca="1" si="13"/>
        <v>37.736348707605828</v>
      </c>
      <c r="Y248" s="6">
        <f t="shared" ca="1" si="12"/>
        <v>38.168623110525978</v>
      </c>
      <c r="Z248" s="6">
        <f t="shared" ca="1" si="14"/>
        <v>37.736348707605828</v>
      </c>
      <c r="AA248" s="6">
        <f t="shared" ca="1" si="15"/>
        <v>3</v>
      </c>
    </row>
    <row r="249" spans="1:27">
      <c r="A249" s="11">
        <v>248</v>
      </c>
      <c r="B249" s="12">
        <v>1</v>
      </c>
      <c r="C249" s="11">
        <v>1</v>
      </c>
      <c r="D249" s="11">
        <v>1</v>
      </c>
      <c r="E249" s="11">
        <v>4</v>
      </c>
      <c r="F249" s="11">
        <v>1</v>
      </c>
      <c r="G249" s="11">
        <v>5</v>
      </c>
      <c r="H249" s="11">
        <v>5</v>
      </c>
      <c r="I249" s="11">
        <v>1</v>
      </c>
      <c r="J249" s="11">
        <v>1</v>
      </c>
      <c r="K249" s="11">
        <v>4</v>
      </c>
      <c r="L249" s="11">
        <v>1</v>
      </c>
      <c r="M249" s="11">
        <v>1</v>
      </c>
      <c r="N249" s="11">
        <v>2</v>
      </c>
      <c r="O249" s="11">
        <v>5</v>
      </c>
      <c r="P249" s="11">
        <v>5</v>
      </c>
      <c r="Q249" s="11">
        <v>5</v>
      </c>
      <c r="R249" s="11">
        <v>1</v>
      </c>
      <c r="S249" s="11">
        <v>1</v>
      </c>
      <c r="T249" s="11">
        <v>3</v>
      </c>
      <c r="U249" s="10">
        <v>1</v>
      </c>
      <c r="V249" s="6">
        <f t="shared" ca="1" si="13"/>
        <v>66.709376007031707</v>
      </c>
      <c r="W249" s="6">
        <f t="shared" ca="1" si="13"/>
        <v>66.904099134846291</v>
      </c>
      <c r="X249" s="6">
        <f t="shared" ca="1" si="13"/>
        <v>66.89352041211869</v>
      </c>
      <c r="Y249" s="6">
        <f t="shared" ca="1" si="12"/>
        <v>66.388775146818816</v>
      </c>
      <c r="Z249" s="6">
        <f t="shared" ca="1" si="14"/>
        <v>66.388775146818816</v>
      </c>
      <c r="AA249" s="6">
        <f t="shared" ca="1" si="15"/>
        <v>4</v>
      </c>
    </row>
    <row r="250" spans="1:27">
      <c r="A250" s="11">
        <v>249</v>
      </c>
      <c r="B250" s="12">
        <v>3</v>
      </c>
      <c r="C250" s="11">
        <v>1</v>
      </c>
      <c r="D250" s="11">
        <v>1</v>
      </c>
      <c r="E250" s="11">
        <v>3</v>
      </c>
      <c r="F250" s="11">
        <v>2</v>
      </c>
      <c r="G250" s="11">
        <v>5</v>
      </c>
      <c r="H250" s="11">
        <v>3</v>
      </c>
      <c r="I250" s="11">
        <v>1</v>
      </c>
      <c r="J250" s="11">
        <v>1</v>
      </c>
      <c r="K250" s="11">
        <v>3</v>
      </c>
      <c r="L250" s="11">
        <v>2</v>
      </c>
      <c r="M250" s="11">
        <v>1</v>
      </c>
      <c r="N250" s="11">
        <v>3</v>
      </c>
      <c r="O250" s="11">
        <v>4</v>
      </c>
      <c r="P250" s="11">
        <v>4</v>
      </c>
      <c r="Q250" s="11">
        <v>2</v>
      </c>
      <c r="R250" s="11">
        <v>1</v>
      </c>
      <c r="S250" s="11">
        <v>2</v>
      </c>
      <c r="T250" s="11">
        <v>5</v>
      </c>
      <c r="U250" s="10">
        <v>2</v>
      </c>
      <c r="V250" s="6">
        <f t="shared" ca="1" si="13"/>
        <v>38.610621615227863</v>
      </c>
      <c r="W250" s="6">
        <f t="shared" ca="1" si="13"/>
        <v>39.198664828697495</v>
      </c>
      <c r="X250" s="6">
        <f t="shared" ca="1" si="13"/>
        <v>38.600455608156643</v>
      </c>
      <c r="Y250" s="6">
        <f t="shared" ca="1" si="12"/>
        <v>38.766299917206709</v>
      </c>
      <c r="Z250" s="6">
        <f t="shared" ca="1" si="14"/>
        <v>38.600455608156643</v>
      </c>
      <c r="AA250" s="6">
        <f t="shared" ca="1" si="15"/>
        <v>3</v>
      </c>
    </row>
    <row r="251" spans="1:27">
      <c r="A251" s="11">
        <v>250</v>
      </c>
      <c r="B251" s="12">
        <v>3</v>
      </c>
      <c r="C251" s="11">
        <v>2</v>
      </c>
      <c r="D251" s="11">
        <v>2</v>
      </c>
      <c r="E251" s="11">
        <v>4</v>
      </c>
      <c r="F251" s="11">
        <v>5</v>
      </c>
      <c r="G251" s="11">
        <v>2</v>
      </c>
      <c r="H251" s="11">
        <v>3</v>
      </c>
      <c r="I251" s="11">
        <v>2</v>
      </c>
      <c r="J251" s="11">
        <v>2</v>
      </c>
      <c r="K251" s="11">
        <v>4</v>
      </c>
      <c r="L251" s="11">
        <v>1</v>
      </c>
      <c r="M251" s="11">
        <v>2</v>
      </c>
      <c r="N251" s="11">
        <v>4</v>
      </c>
      <c r="O251" s="11">
        <v>5</v>
      </c>
      <c r="P251" s="11">
        <v>3</v>
      </c>
      <c r="Q251" s="11">
        <v>4</v>
      </c>
      <c r="R251" s="11">
        <v>1</v>
      </c>
      <c r="S251" s="11">
        <v>2</v>
      </c>
      <c r="T251" s="11">
        <v>2</v>
      </c>
      <c r="U251" s="10">
        <v>5</v>
      </c>
      <c r="V251" s="6">
        <f t="shared" ca="1" si="13"/>
        <v>32.496397953727069</v>
      </c>
      <c r="W251" s="6">
        <f t="shared" ca="1" si="13"/>
        <v>32.557127375158892</v>
      </c>
      <c r="X251" s="6">
        <f t="shared" ca="1" si="13"/>
        <v>32.233696765053423</v>
      </c>
      <c r="Y251" s="6">
        <f t="shared" ca="1" si="12"/>
        <v>32.124495510109526</v>
      </c>
      <c r="Z251" s="6">
        <f t="shared" ca="1" si="14"/>
        <v>32.124495510109526</v>
      </c>
      <c r="AA251" s="6">
        <f t="shared" ca="1" si="15"/>
        <v>4</v>
      </c>
    </row>
    <row r="252" spans="1:27">
      <c r="A252" s="11">
        <v>251</v>
      </c>
      <c r="B252" s="12">
        <v>3</v>
      </c>
      <c r="C252" s="11">
        <v>2</v>
      </c>
      <c r="D252" s="11">
        <v>2</v>
      </c>
      <c r="E252" s="11">
        <v>1</v>
      </c>
      <c r="F252" s="11">
        <v>2</v>
      </c>
      <c r="G252" s="11">
        <v>2</v>
      </c>
      <c r="H252" s="11">
        <v>3</v>
      </c>
      <c r="I252" s="11">
        <v>1</v>
      </c>
      <c r="J252" s="11">
        <v>2</v>
      </c>
      <c r="K252" s="11">
        <v>2</v>
      </c>
      <c r="L252" s="11">
        <v>2</v>
      </c>
      <c r="M252" s="11">
        <v>3</v>
      </c>
      <c r="N252" s="11">
        <v>5</v>
      </c>
      <c r="O252" s="11">
        <v>2</v>
      </c>
      <c r="P252" s="11">
        <v>3</v>
      </c>
      <c r="Q252" s="11">
        <v>2</v>
      </c>
      <c r="R252" s="11">
        <v>2</v>
      </c>
      <c r="S252" s="11">
        <v>4</v>
      </c>
      <c r="T252" s="11">
        <v>4</v>
      </c>
      <c r="U252" s="10">
        <v>2</v>
      </c>
      <c r="V252" s="6">
        <f t="shared" ca="1" si="13"/>
        <v>24.841660760507871</v>
      </c>
      <c r="W252" s="6">
        <f t="shared" ca="1" si="13"/>
        <v>25.081674726310901</v>
      </c>
      <c r="X252" s="6">
        <f t="shared" ca="1" si="13"/>
        <v>24.985130976042225</v>
      </c>
      <c r="Y252" s="6">
        <f t="shared" ca="1" si="12"/>
        <v>24.801646716301157</v>
      </c>
      <c r="Z252" s="6">
        <f t="shared" ca="1" si="14"/>
        <v>24.801646716301157</v>
      </c>
      <c r="AA252" s="6">
        <f t="shared" ca="1" si="15"/>
        <v>4</v>
      </c>
    </row>
    <row r="253" spans="1:27">
      <c r="A253" s="11">
        <v>252</v>
      </c>
      <c r="B253" s="12">
        <v>1</v>
      </c>
      <c r="C253" s="11">
        <v>1</v>
      </c>
      <c r="D253" s="11">
        <v>1</v>
      </c>
      <c r="E253" s="11">
        <v>5</v>
      </c>
      <c r="F253" s="11">
        <v>5</v>
      </c>
      <c r="G253" s="11">
        <v>5</v>
      </c>
      <c r="H253" s="11">
        <v>3</v>
      </c>
      <c r="I253" s="11">
        <v>1</v>
      </c>
      <c r="J253" s="11">
        <v>1</v>
      </c>
      <c r="K253" s="11">
        <v>4</v>
      </c>
      <c r="L253" s="11">
        <v>2</v>
      </c>
      <c r="M253" s="11">
        <v>1</v>
      </c>
      <c r="N253" s="11">
        <v>1</v>
      </c>
      <c r="O253" s="11">
        <v>4</v>
      </c>
      <c r="P253" s="11">
        <v>3</v>
      </c>
      <c r="Q253" s="11">
        <v>3</v>
      </c>
      <c r="R253" s="11">
        <v>2</v>
      </c>
      <c r="S253" s="11">
        <v>4</v>
      </c>
      <c r="T253" s="11">
        <v>3</v>
      </c>
      <c r="U253" s="10">
        <v>2</v>
      </c>
      <c r="V253" s="6">
        <f t="shared" ca="1" si="13"/>
        <v>45.721942072811096</v>
      </c>
      <c r="W253" s="6">
        <f t="shared" ca="1" si="13"/>
        <v>45.628360381194753</v>
      </c>
      <c r="X253" s="6">
        <f t="shared" ca="1" si="13"/>
        <v>45.623290494615517</v>
      </c>
      <c r="Y253" s="6">
        <f t="shared" ca="1" si="12"/>
        <v>46.121122447507041</v>
      </c>
      <c r="Z253" s="6">
        <f t="shared" ca="1" si="14"/>
        <v>45.623290494615517</v>
      </c>
      <c r="AA253" s="6">
        <f t="shared" ca="1" si="15"/>
        <v>3</v>
      </c>
    </row>
    <row r="254" spans="1:27">
      <c r="A254" s="11">
        <v>253</v>
      </c>
      <c r="B254" s="12">
        <v>5</v>
      </c>
      <c r="C254" s="11">
        <v>1</v>
      </c>
      <c r="D254" s="11">
        <v>3</v>
      </c>
      <c r="E254" s="11">
        <v>5</v>
      </c>
      <c r="F254" s="11">
        <v>1</v>
      </c>
      <c r="G254" s="11">
        <v>3</v>
      </c>
      <c r="H254" s="11">
        <v>3</v>
      </c>
      <c r="I254" s="11">
        <v>3</v>
      </c>
      <c r="J254" s="11">
        <v>3</v>
      </c>
      <c r="K254" s="11">
        <v>2</v>
      </c>
      <c r="L254" s="11">
        <v>1</v>
      </c>
      <c r="M254" s="11">
        <v>5</v>
      </c>
      <c r="N254" s="11">
        <v>3</v>
      </c>
      <c r="O254" s="11">
        <v>1</v>
      </c>
      <c r="P254" s="11">
        <v>3</v>
      </c>
      <c r="Q254" s="11">
        <v>3</v>
      </c>
      <c r="R254" s="11">
        <v>1</v>
      </c>
      <c r="S254" s="11">
        <v>1</v>
      </c>
      <c r="T254" s="11">
        <v>3</v>
      </c>
      <c r="U254" s="10">
        <v>5</v>
      </c>
      <c r="V254" s="6">
        <f t="shared" ca="1" si="13"/>
        <v>40.99912384869161</v>
      </c>
      <c r="W254" s="6">
        <f t="shared" ca="1" si="13"/>
        <v>41.572321368553972</v>
      </c>
      <c r="X254" s="6">
        <f t="shared" ca="1" si="13"/>
        <v>41.30019170979763</v>
      </c>
      <c r="Y254" s="6">
        <f t="shared" ca="1" si="12"/>
        <v>41.040498689521506</v>
      </c>
      <c r="Z254" s="6">
        <f t="shared" ca="1" si="14"/>
        <v>40.99912384869161</v>
      </c>
      <c r="AA254" s="6">
        <f t="shared" ca="1" si="15"/>
        <v>1</v>
      </c>
    </row>
    <row r="255" spans="1:27">
      <c r="A255" s="11">
        <v>254</v>
      </c>
      <c r="B255" s="12">
        <v>2</v>
      </c>
      <c r="C255" s="11">
        <v>2</v>
      </c>
      <c r="D255" s="11">
        <v>1</v>
      </c>
      <c r="E255" s="11">
        <v>2</v>
      </c>
      <c r="F255" s="11">
        <v>3</v>
      </c>
      <c r="G255" s="11">
        <v>2</v>
      </c>
      <c r="H255" s="11">
        <v>3</v>
      </c>
      <c r="I255" s="11">
        <v>1</v>
      </c>
      <c r="J255" s="11">
        <v>2</v>
      </c>
      <c r="K255" s="11">
        <v>3</v>
      </c>
      <c r="L255" s="11">
        <v>2</v>
      </c>
      <c r="M255" s="11">
        <v>1</v>
      </c>
      <c r="N255" s="11">
        <v>1</v>
      </c>
      <c r="O255" s="11">
        <v>5</v>
      </c>
      <c r="P255" s="11">
        <v>5</v>
      </c>
      <c r="Q255" s="11">
        <v>2</v>
      </c>
      <c r="R255" s="11">
        <v>2</v>
      </c>
      <c r="S255" s="11">
        <v>2</v>
      </c>
      <c r="T255" s="11">
        <v>2</v>
      </c>
      <c r="U255" s="10">
        <v>3</v>
      </c>
      <c r="V255" s="6">
        <f t="shared" ca="1" si="13"/>
        <v>34.000561087518989</v>
      </c>
      <c r="W255" s="6">
        <f t="shared" ca="1" si="13"/>
        <v>34.181068228684367</v>
      </c>
      <c r="X255" s="6">
        <f t="shared" ca="1" si="13"/>
        <v>34.009746509582968</v>
      </c>
      <c r="Y255" s="6">
        <f t="shared" ca="1" si="12"/>
        <v>34.047472887461538</v>
      </c>
      <c r="Z255" s="6">
        <f t="shared" ca="1" si="14"/>
        <v>34.000561087518989</v>
      </c>
      <c r="AA255" s="6">
        <f t="shared" ca="1" si="15"/>
        <v>1</v>
      </c>
    </row>
    <row r="256" spans="1:27">
      <c r="A256" s="11">
        <v>255</v>
      </c>
      <c r="B256" s="12">
        <v>3</v>
      </c>
      <c r="C256" s="11">
        <v>2</v>
      </c>
      <c r="D256" s="11">
        <v>2</v>
      </c>
      <c r="E256" s="11">
        <v>5</v>
      </c>
      <c r="F256" s="11">
        <v>3</v>
      </c>
      <c r="G256" s="11">
        <v>3</v>
      </c>
      <c r="H256" s="11">
        <v>4</v>
      </c>
      <c r="I256" s="11">
        <v>2</v>
      </c>
      <c r="J256" s="11">
        <v>2</v>
      </c>
      <c r="K256" s="11">
        <v>2</v>
      </c>
      <c r="L256" s="11">
        <v>2</v>
      </c>
      <c r="M256" s="11">
        <v>2</v>
      </c>
      <c r="N256" s="11">
        <v>2</v>
      </c>
      <c r="O256" s="11">
        <v>5</v>
      </c>
      <c r="P256" s="11">
        <v>1</v>
      </c>
      <c r="Q256" s="11">
        <v>5</v>
      </c>
      <c r="R256" s="11">
        <v>2</v>
      </c>
      <c r="S256" s="11">
        <v>4</v>
      </c>
      <c r="T256" s="11">
        <v>3</v>
      </c>
      <c r="U256" s="10">
        <v>3</v>
      </c>
      <c r="V256" s="6">
        <f t="shared" ca="1" si="13"/>
        <v>26.839928370229227</v>
      </c>
      <c r="W256" s="6">
        <f t="shared" ca="1" si="13"/>
        <v>26.973200157484442</v>
      </c>
      <c r="X256" s="6">
        <f t="shared" ca="1" si="13"/>
        <v>26.762538551253467</v>
      </c>
      <c r="Y256" s="6">
        <f t="shared" ca="1" si="12"/>
        <v>27.010936810738222</v>
      </c>
      <c r="Z256" s="6">
        <f t="shared" ca="1" si="14"/>
        <v>26.762538551253467</v>
      </c>
      <c r="AA256" s="6">
        <f t="shared" ca="1" si="15"/>
        <v>3</v>
      </c>
    </row>
    <row r="257" spans="1:27">
      <c r="A257" s="11">
        <v>256</v>
      </c>
      <c r="B257" s="12">
        <v>4</v>
      </c>
      <c r="C257" s="11">
        <v>2</v>
      </c>
      <c r="D257" s="11">
        <v>3</v>
      </c>
      <c r="E257" s="11">
        <v>4</v>
      </c>
      <c r="F257" s="11">
        <v>2</v>
      </c>
      <c r="G257" s="11">
        <v>3</v>
      </c>
      <c r="H257" s="11">
        <v>3</v>
      </c>
      <c r="I257" s="11">
        <v>4</v>
      </c>
      <c r="J257" s="11">
        <v>3</v>
      </c>
      <c r="K257" s="11">
        <v>3</v>
      </c>
      <c r="L257" s="11">
        <v>2</v>
      </c>
      <c r="M257" s="11">
        <v>3</v>
      </c>
      <c r="N257" s="11">
        <v>3</v>
      </c>
      <c r="O257" s="11">
        <v>2</v>
      </c>
      <c r="P257" s="11">
        <v>2</v>
      </c>
      <c r="Q257" s="11">
        <v>1</v>
      </c>
      <c r="R257" s="11">
        <v>5</v>
      </c>
      <c r="S257" s="11">
        <v>3</v>
      </c>
      <c r="T257" s="11">
        <v>1</v>
      </c>
      <c r="U257" s="10">
        <v>5</v>
      </c>
      <c r="V257" s="6">
        <f t="shared" ca="1" si="13"/>
        <v>24.118918481202108</v>
      </c>
      <c r="W257" s="6">
        <f t="shared" ca="1" si="13"/>
        <v>24.424580772123932</v>
      </c>
      <c r="X257" s="6">
        <f t="shared" ca="1" si="13"/>
        <v>23.907340501361439</v>
      </c>
      <c r="Y257" s="6">
        <f t="shared" ca="1" si="13"/>
        <v>24.324034867921082</v>
      </c>
      <c r="Z257" s="6">
        <f t="shared" ca="1" si="14"/>
        <v>23.907340501361439</v>
      </c>
      <c r="AA257" s="6">
        <f t="shared" ca="1" si="15"/>
        <v>3</v>
      </c>
    </row>
    <row r="258" spans="1:27">
      <c r="A258" s="11">
        <v>257</v>
      </c>
      <c r="B258" s="12">
        <v>5</v>
      </c>
      <c r="C258" s="11">
        <v>1</v>
      </c>
      <c r="D258" s="11">
        <v>1</v>
      </c>
      <c r="E258" s="11">
        <v>3</v>
      </c>
      <c r="F258" s="11">
        <v>1</v>
      </c>
      <c r="G258" s="11">
        <v>1</v>
      </c>
      <c r="H258" s="11">
        <v>1</v>
      </c>
      <c r="I258" s="11">
        <v>1</v>
      </c>
      <c r="J258" s="11">
        <v>1</v>
      </c>
      <c r="K258" s="11">
        <v>5</v>
      </c>
      <c r="L258" s="11">
        <v>4</v>
      </c>
      <c r="M258" s="11">
        <v>1</v>
      </c>
      <c r="N258" s="11">
        <v>1</v>
      </c>
      <c r="O258" s="11">
        <v>5</v>
      </c>
      <c r="P258" s="11">
        <v>4</v>
      </c>
      <c r="Q258" s="11">
        <v>1</v>
      </c>
      <c r="R258" s="11">
        <v>1</v>
      </c>
      <c r="S258" s="11">
        <v>5</v>
      </c>
      <c r="T258" s="11">
        <v>1</v>
      </c>
      <c r="U258" s="10">
        <v>1</v>
      </c>
      <c r="V258" s="6">
        <f t="shared" ref="V258:Y321" ca="1" si="16">SUMXMY2($B258:$U258,AE$2:AE$21)</f>
        <v>69.905953747505066</v>
      </c>
      <c r="W258" s="6">
        <f t="shared" ca="1" si="16"/>
        <v>70.735053547462812</v>
      </c>
      <c r="X258" s="6">
        <f t="shared" ca="1" si="16"/>
        <v>69.733619151843186</v>
      </c>
      <c r="Y258" s="6">
        <f t="shared" ca="1" si="16"/>
        <v>69.56944865696137</v>
      </c>
      <c r="Z258" s="6">
        <f t="shared" ref="Z258:Z321" ca="1" si="17">MIN(V258:Y258)</f>
        <v>69.56944865696137</v>
      </c>
      <c r="AA258" s="6">
        <f t="shared" ca="1" si="15"/>
        <v>4</v>
      </c>
    </row>
    <row r="259" spans="1:27">
      <c r="A259" s="11">
        <v>258</v>
      </c>
      <c r="B259" s="12">
        <v>1</v>
      </c>
      <c r="C259" s="11">
        <v>1</v>
      </c>
      <c r="D259" s="11">
        <v>5</v>
      </c>
      <c r="E259" s="11">
        <v>1</v>
      </c>
      <c r="F259" s="11">
        <v>1</v>
      </c>
      <c r="G259" s="11">
        <v>1</v>
      </c>
      <c r="H259" s="11">
        <v>1</v>
      </c>
      <c r="I259" s="11">
        <v>1</v>
      </c>
      <c r="J259" s="11">
        <v>1</v>
      </c>
      <c r="K259" s="11">
        <v>5</v>
      </c>
      <c r="L259" s="11">
        <v>1</v>
      </c>
      <c r="M259" s="11">
        <v>5</v>
      </c>
      <c r="N259" s="11">
        <v>5</v>
      </c>
      <c r="O259" s="11">
        <v>1</v>
      </c>
      <c r="P259" s="11">
        <v>5</v>
      </c>
      <c r="Q259" s="11">
        <v>1</v>
      </c>
      <c r="R259" s="11">
        <v>5</v>
      </c>
      <c r="S259" s="11">
        <v>1</v>
      </c>
      <c r="T259" s="11">
        <v>1</v>
      </c>
      <c r="U259" s="10">
        <v>5</v>
      </c>
      <c r="V259" s="6">
        <f t="shared" ca="1" si="16"/>
        <v>80.212490182056612</v>
      </c>
      <c r="W259" s="6">
        <f t="shared" ca="1" si="16"/>
        <v>80.740241377642093</v>
      </c>
      <c r="X259" s="6">
        <f t="shared" ca="1" si="16"/>
        <v>80.469723526927908</v>
      </c>
      <c r="Y259" s="6">
        <f t="shared" ca="1" si="16"/>
        <v>80.080127070481538</v>
      </c>
      <c r="Z259" s="6">
        <f t="shared" ca="1" si="17"/>
        <v>80.080127070481538</v>
      </c>
      <c r="AA259" s="6">
        <f t="shared" ref="AA259:AA322" ca="1" si="18">IF(Z259=V259,1,IF(Z259=W259,2,IF(Z259=X259,3,4)))</f>
        <v>4</v>
      </c>
    </row>
    <row r="260" spans="1:27">
      <c r="A260" s="11">
        <v>259</v>
      </c>
      <c r="B260" s="12">
        <v>5</v>
      </c>
      <c r="C260" s="11">
        <v>2</v>
      </c>
      <c r="D260" s="11">
        <v>1</v>
      </c>
      <c r="E260" s="11">
        <v>3</v>
      </c>
      <c r="F260" s="11">
        <v>4</v>
      </c>
      <c r="G260" s="11">
        <v>3</v>
      </c>
      <c r="H260" s="11">
        <v>3</v>
      </c>
      <c r="I260" s="11">
        <v>2</v>
      </c>
      <c r="J260" s="11">
        <v>2</v>
      </c>
      <c r="K260" s="11">
        <v>2</v>
      </c>
      <c r="L260" s="11">
        <v>1</v>
      </c>
      <c r="M260" s="11">
        <v>2</v>
      </c>
      <c r="N260" s="11">
        <v>2</v>
      </c>
      <c r="O260" s="11">
        <v>4</v>
      </c>
      <c r="P260" s="11">
        <v>4</v>
      </c>
      <c r="Q260" s="11">
        <v>2</v>
      </c>
      <c r="R260" s="11">
        <v>4</v>
      </c>
      <c r="S260" s="11">
        <v>2</v>
      </c>
      <c r="T260" s="11">
        <v>4</v>
      </c>
      <c r="U260" s="10">
        <v>2</v>
      </c>
      <c r="V260" s="6">
        <f t="shared" ca="1" si="16"/>
        <v>25.807280400358099</v>
      </c>
      <c r="W260" s="6">
        <f t="shared" ca="1" si="16"/>
        <v>25.997786676305122</v>
      </c>
      <c r="X260" s="6">
        <f t="shared" ca="1" si="16"/>
        <v>25.457395823636912</v>
      </c>
      <c r="Y260" s="6">
        <f t="shared" ca="1" si="16"/>
        <v>26.061856828084224</v>
      </c>
      <c r="Z260" s="6">
        <f t="shared" ca="1" si="17"/>
        <v>25.457395823636912</v>
      </c>
      <c r="AA260" s="6">
        <f t="shared" ca="1" si="18"/>
        <v>3</v>
      </c>
    </row>
    <row r="261" spans="1:27">
      <c r="A261" s="11">
        <v>260</v>
      </c>
      <c r="B261" s="12">
        <v>2</v>
      </c>
      <c r="C261" s="11">
        <v>1</v>
      </c>
      <c r="D261" s="11">
        <v>1</v>
      </c>
      <c r="E261" s="11">
        <v>4</v>
      </c>
      <c r="F261" s="11">
        <v>2</v>
      </c>
      <c r="G261" s="11">
        <v>3</v>
      </c>
      <c r="H261" s="11">
        <v>3</v>
      </c>
      <c r="I261" s="11">
        <v>2</v>
      </c>
      <c r="J261" s="11">
        <v>3</v>
      </c>
      <c r="K261" s="11">
        <v>2</v>
      </c>
      <c r="L261" s="11">
        <v>2</v>
      </c>
      <c r="M261" s="11">
        <v>2</v>
      </c>
      <c r="N261" s="11">
        <v>3</v>
      </c>
      <c r="O261" s="11">
        <v>4</v>
      </c>
      <c r="P261" s="11">
        <v>4</v>
      </c>
      <c r="Q261" s="11">
        <v>2</v>
      </c>
      <c r="R261" s="11">
        <v>4</v>
      </c>
      <c r="S261" s="11">
        <v>1</v>
      </c>
      <c r="T261" s="11">
        <v>3</v>
      </c>
      <c r="U261" s="10">
        <v>2</v>
      </c>
      <c r="V261" s="6">
        <f t="shared" ca="1" si="16"/>
        <v>23.692005604007679</v>
      </c>
      <c r="W261" s="6">
        <f t="shared" ca="1" si="16"/>
        <v>24.070535829656716</v>
      </c>
      <c r="X261" s="6">
        <f t="shared" ca="1" si="16"/>
        <v>23.670664085626775</v>
      </c>
      <c r="Y261" s="6">
        <f t="shared" ca="1" si="16"/>
        <v>23.941567123087157</v>
      </c>
      <c r="Z261" s="6">
        <f t="shared" ca="1" si="17"/>
        <v>23.670664085626775</v>
      </c>
      <c r="AA261" s="6">
        <f t="shared" ca="1" si="18"/>
        <v>3</v>
      </c>
    </row>
    <row r="262" spans="1:27">
      <c r="A262" s="11">
        <v>261</v>
      </c>
      <c r="B262" s="12">
        <v>1</v>
      </c>
      <c r="C262" s="11">
        <v>2</v>
      </c>
      <c r="D262" s="11">
        <v>3</v>
      </c>
      <c r="E262" s="11">
        <v>2</v>
      </c>
      <c r="F262" s="11">
        <v>5</v>
      </c>
      <c r="G262" s="11">
        <v>3</v>
      </c>
      <c r="H262" s="11">
        <v>3</v>
      </c>
      <c r="I262" s="11">
        <v>2</v>
      </c>
      <c r="J262" s="11">
        <v>2</v>
      </c>
      <c r="K262" s="11">
        <v>1</v>
      </c>
      <c r="L262" s="11">
        <v>1</v>
      </c>
      <c r="M262" s="11">
        <v>3</v>
      </c>
      <c r="N262" s="11">
        <v>4</v>
      </c>
      <c r="O262" s="11">
        <v>4</v>
      </c>
      <c r="P262" s="11">
        <v>3</v>
      </c>
      <c r="Q262" s="11">
        <v>2</v>
      </c>
      <c r="R262" s="11">
        <v>3</v>
      </c>
      <c r="S262" s="11">
        <v>3</v>
      </c>
      <c r="T262" s="11">
        <v>4</v>
      </c>
      <c r="U262" s="10">
        <v>3</v>
      </c>
      <c r="V262" s="6">
        <f t="shared" ca="1" si="16"/>
        <v>23.747892114772242</v>
      </c>
      <c r="W262" s="6">
        <f t="shared" ca="1" si="16"/>
        <v>23.812734027692052</v>
      </c>
      <c r="X262" s="6">
        <f t="shared" ca="1" si="16"/>
        <v>23.904394796933609</v>
      </c>
      <c r="Y262" s="6">
        <f t="shared" ca="1" si="16"/>
        <v>24.364329974312401</v>
      </c>
      <c r="Z262" s="6">
        <f t="shared" ca="1" si="17"/>
        <v>23.747892114772242</v>
      </c>
      <c r="AA262" s="6">
        <f t="shared" ca="1" si="18"/>
        <v>1</v>
      </c>
    </row>
    <row r="263" spans="1:27">
      <c r="A263" s="11">
        <v>262</v>
      </c>
      <c r="B263" s="12">
        <v>3</v>
      </c>
      <c r="C263" s="11">
        <v>4</v>
      </c>
      <c r="D263" s="11">
        <v>5</v>
      </c>
      <c r="E263" s="11">
        <v>4</v>
      </c>
      <c r="F263" s="11">
        <v>5</v>
      </c>
      <c r="G263" s="11">
        <v>4</v>
      </c>
      <c r="H263" s="11">
        <v>5</v>
      </c>
      <c r="I263" s="11">
        <v>2</v>
      </c>
      <c r="J263" s="11">
        <v>4</v>
      </c>
      <c r="K263" s="11">
        <v>4</v>
      </c>
      <c r="L263" s="11">
        <v>4</v>
      </c>
      <c r="M263" s="11">
        <v>1</v>
      </c>
      <c r="N263" s="11">
        <v>3</v>
      </c>
      <c r="O263" s="11">
        <v>3</v>
      </c>
      <c r="P263" s="11">
        <v>4</v>
      </c>
      <c r="Q263" s="11">
        <v>2</v>
      </c>
      <c r="R263" s="11">
        <v>4</v>
      </c>
      <c r="S263" s="11">
        <v>5</v>
      </c>
      <c r="T263" s="11">
        <v>4</v>
      </c>
      <c r="U263" s="10">
        <v>5</v>
      </c>
      <c r="V263" s="6">
        <f t="shared" ca="1" si="16"/>
        <v>35.082923355231543</v>
      </c>
      <c r="W263" s="6">
        <f t="shared" ca="1" si="16"/>
        <v>34.826695840122277</v>
      </c>
      <c r="X263" s="6">
        <f t="shared" ca="1" si="16"/>
        <v>35.041872835272031</v>
      </c>
      <c r="Y263" s="6">
        <f t="shared" ca="1" si="16"/>
        <v>35.533621067835398</v>
      </c>
      <c r="Z263" s="6">
        <f t="shared" ca="1" si="17"/>
        <v>34.826695840122277</v>
      </c>
      <c r="AA263" s="6">
        <f t="shared" ca="1" si="18"/>
        <v>2</v>
      </c>
    </row>
    <row r="264" spans="1:27">
      <c r="A264" s="11">
        <v>263</v>
      </c>
      <c r="B264" s="12">
        <v>5</v>
      </c>
      <c r="C264" s="11">
        <v>5</v>
      </c>
      <c r="D264" s="11">
        <v>5</v>
      </c>
      <c r="E264" s="11">
        <v>4</v>
      </c>
      <c r="F264" s="11">
        <v>4</v>
      </c>
      <c r="G264" s="11">
        <v>5</v>
      </c>
      <c r="H264" s="11">
        <v>3</v>
      </c>
      <c r="I264" s="11">
        <v>3</v>
      </c>
      <c r="J264" s="11">
        <v>4</v>
      </c>
      <c r="K264" s="11">
        <v>2</v>
      </c>
      <c r="L264" s="11">
        <v>3</v>
      </c>
      <c r="M264" s="11">
        <v>2</v>
      </c>
      <c r="N264" s="11">
        <v>3</v>
      </c>
      <c r="O264" s="11">
        <v>4</v>
      </c>
      <c r="P264" s="11">
        <v>2</v>
      </c>
      <c r="Q264" s="11">
        <v>2</v>
      </c>
      <c r="R264" s="11">
        <v>2</v>
      </c>
      <c r="S264" s="11">
        <v>4</v>
      </c>
      <c r="T264" s="11">
        <v>4</v>
      </c>
      <c r="U264" s="10">
        <v>3</v>
      </c>
      <c r="V264" s="6">
        <f t="shared" ca="1" si="16"/>
        <v>26.815935845574849</v>
      </c>
      <c r="W264" s="6">
        <f t="shared" ca="1" si="16"/>
        <v>27.040668303736389</v>
      </c>
      <c r="X264" s="6">
        <f t="shared" ca="1" si="16"/>
        <v>26.812610319631439</v>
      </c>
      <c r="Y264" s="6">
        <f t="shared" ca="1" si="16"/>
        <v>27.308350704234567</v>
      </c>
      <c r="Z264" s="6">
        <f t="shared" ca="1" si="17"/>
        <v>26.812610319631439</v>
      </c>
      <c r="AA264" s="6">
        <f t="shared" ca="1" si="18"/>
        <v>3</v>
      </c>
    </row>
    <row r="265" spans="1:27">
      <c r="A265" s="11">
        <v>264</v>
      </c>
      <c r="B265" s="12">
        <v>2</v>
      </c>
      <c r="C265" s="11">
        <v>3</v>
      </c>
      <c r="D265" s="11">
        <v>2</v>
      </c>
      <c r="E265" s="11">
        <v>3</v>
      </c>
      <c r="F265" s="11">
        <v>4</v>
      </c>
      <c r="G265" s="11">
        <v>3</v>
      </c>
      <c r="H265" s="11">
        <v>3</v>
      </c>
      <c r="I265" s="11">
        <v>2</v>
      </c>
      <c r="J265" s="11">
        <v>1</v>
      </c>
      <c r="K265" s="11">
        <v>2</v>
      </c>
      <c r="L265" s="11">
        <v>3</v>
      </c>
      <c r="M265" s="11">
        <v>2</v>
      </c>
      <c r="N265" s="11">
        <v>3</v>
      </c>
      <c r="O265" s="11">
        <v>4</v>
      </c>
      <c r="P265" s="11">
        <v>5</v>
      </c>
      <c r="Q265" s="11">
        <v>4</v>
      </c>
      <c r="R265" s="11">
        <v>3</v>
      </c>
      <c r="S265" s="11">
        <v>2</v>
      </c>
      <c r="T265" s="11">
        <v>4</v>
      </c>
      <c r="U265" s="10">
        <v>2</v>
      </c>
      <c r="V265" s="6">
        <f t="shared" ca="1" si="16"/>
        <v>18.820908994116021</v>
      </c>
      <c r="W265" s="6">
        <f t="shared" ca="1" si="16"/>
        <v>18.579845390349167</v>
      </c>
      <c r="X265" s="6">
        <f t="shared" ca="1" si="16"/>
        <v>18.724046813426082</v>
      </c>
      <c r="Y265" s="6">
        <f t="shared" ca="1" si="16"/>
        <v>19.017045656443536</v>
      </c>
      <c r="Z265" s="6">
        <f t="shared" ca="1" si="17"/>
        <v>18.579845390349167</v>
      </c>
      <c r="AA265" s="6">
        <f t="shared" ca="1" si="18"/>
        <v>2</v>
      </c>
    </row>
    <row r="266" spans="1:27">
      <c r="A266" s="11">
        <v>265</v>
      </c>
      <c r="B266" s="12">
        <v>3</v>
      </c>
      <c r="C266" s="11">
        <v>2</v>
      </c>
      <c r="D266" s="11">
        <v>1</v>
      </c>
      <c r="E266" s="11">
        <v>2</v>
      </c>
      <c r="F266" s="11">
        <v>2</v>
      </c>
      <c r="G266" s="11">
        <v>4</v>
      </c>
      <c r="H266" s="11">
        <v>3</v>
      </c>
      <c r="I266" s="11">
        <v>2</v>
      </c>
      <c r="J266" s="11">
        <v>2</v>
      </c>
      <c r="K266" s="11">
        <v>3</v>
      </c>
      <c r="L266" s="11">
        <v>1</v>
      </c>
      <c r="M266" s="11">
        <v>4</v>
      </c>
      <c r="N266" s="11">
        <v>3</v>
      </c>
      <c r="O266" s="11">
        <v>5</v>
      </c>
      <c r="P266" s="11">
        <v>4</v>
      </c>
      <c r="Q266" s="11">
        <v>4</v>
      </c>
      <c r="R266" s="11">
        <v>2</v>
      </c>
      <c r="S266" s="11">
        <v>2</v>
      </c>
      <c r="T266" s="11">
        <v>3</v>
      </c>
      <c r="U266" s="10">
        <v>3</v>
      </c>
      <c r="V266" s="6">
        <f t="shared" ca="1" si="16"/>
        <v>23.097414469375057</v>
      </c>
      <c r="W266" s="6">
        <f t="shared" ca="1" si="16"/>
        <v>23.204823729841685</v>
      </c>
      <c r="X266" s="6">
        <f t="shared" ca="1" si="16"/>
        <v>22.963807268514476</v>
      </c>
      <c r="Y266" s="6">
        <f t="shared" ca="1" si="16"/>
        <v>22.660190559096225</v>
      </c>
      <c r="Z266" s="6">
        <f t="shared" ca="1" si="17"/>
        <v>22.660190559096225</v>
      </c>
      <c r="AA266" s="6">
        <f t="shared" ca="1" si="18"/>
        <v>4</v>
      </c>
    </row>
    <row r="267" spans="1:27">
      <c r="A267" s="11">
        <v>266</v>
      </c>
      <c r="B267" s="12">
        <v>2</v>
      </c>
      <c r="C267" s="11">
        <v>4</v>
      </c>
      <c r="D267" s="11">
        <v>2</v>
      </c>
      <c r="E267" s="11">
        <v>4</v>
      </c>
      <c r="F267" s="11">
        <v>5</v>
      </c>
      <c r="G267" s="11">
        <v>3</v>
      </c>
      <c r="H267" s="11">
        <v>3</v>
      </c>
      <c r="I267" s="11">
        <v>2</v>
      </c>
      <c r="J267" s="11">
        <v>2</v>
      </c>
      <c r="K267" s="11">
        <v>2</v>
      </c>
      <c r="L267" s="11">
        <v>1</v>
      </c>
      <c r="M267" s="11">
        <v>2</v>
      </c>
      <c r="N267" s="11">
        <v>3</v>
      </c>
      <c r="O267" s="11">
        <v>5</v>
      </c>
      <c r="P267" s="11">
        <v>5</v>
      </c>
      <c r="Q267" s="11">
        <v>4</v>
      </c>
      <c r="R267" s="11">
        <v>3</v>
      </c>
      <c r="S267" s="11">
        <v>2</v>
      </c>
      <c r="T267" s="11">
        <v>3</v>
      </c>
      <c r="U267" s="10">
        <v>5</v>
      </c>
      <c r="V267" s="6">
        <f t="shared" ca="1" si="16"/>
        <v>30.18818324179313</v>
      </c>
      <c r="W267" s="6">
        <f t="shared" ca="1" si="16"/>
        <v>29.817585953019133</v>
      </c>
      <c r="X267" s="6">
        <f t="shared" ca="1" si="16"/>
        <v>30.023569747196049</v>
      </c>
      <c r="Y267" s="6">
        <f t="shared" ca="1" si="16"/>
        <v>30.371011823557321</v>
      </c>
      <c r="Z267" s="6">
        <f t="shared" ca="1" si="17"/>
        <v>29.817585953019133</v>
      </c>
      <c r="AA267" s="6">
        <f t="shared" ca="1" si="18"/>
        <v>2</v>
      </c>
    </row>
    <row r="268" spans="1:27">
      <c r="A268" s="11">
        <v>267</v>
      </c>
      <c r="B268" s="12">
        <v>3</v>
      </c>
      <c r="C268" s="11">
        <v>4</v>
      </c>
      <c r="D268" s="11">
        <v>3</v>
      </c>
      <c r="E268" s="11">
        <v>3</v>
      </c>
      <c r="F268" s="11">
        <v>3</v>
      </c>
      <c r="G268" s="11">
        <v>3</v>
      </c>
      <c r="H268" s="11">
        <v>2</v>
      </c>
      <c r="I268" s="11">
        <v>3</v>
      </c>
      <c r="J268" s="11">
        <v>4</v>
      </c>
      <c r="K268" s="11">
        <v>4</v>
      </c>
      <c r="L268" s="11">
        <v>4</v>
      </c>
      <c r="M268" s="11">
        <v>2</v>
      </c>
      <c r="N268" s="11">
        <v>2</v>
      </c>
      <c r="O268" s="11">
        <v>4</v>
      </c>
      <c r="P268" s="11">
        <v>3</v>
      </c>
      <c r="Q268" s="11">
        <v>3</v>
      </c>
      <c r="R268" s="11">
        <v>3</v>
      </c>
      <c r="S268" s="11">
        <v>4</v>
      </c>
      <c r="T268" s="11">
        <v>3</v>
      </c>
      <c r="U268" s="10">
        <v>3</v>
      </c>
      <c r="V268" s="6">
        <f t="shared" ca="1" si="16"/>
        <v>9.0762628499415587</v>
      </c>
      <c r="W268" s="6">
        <f t="shared" ca="1" si="16"/>
        <v>9.0760703449925479</v>
      </c>
      <c r="X268" s="6">
        <f t="shared" ca="1" si="16"/>
        <v>9.0597298754907492</v>
      </c>
      <c r="Y268" s="6">
        <f t="shared" ca="1" si="16"/>
        <v>8.9309185784501057</v>
      </c>
      <c r="Z268" s="6">
        <f t="shared" ca="1" si="17"/>
        <v>8.9309185784501057</v>
      </c>
      <c r="AA268" s="6">
        <f t="shared" ca="1" si="18"/>
        <v>4</v>
      </c>
    </row>
    <row r="269" spans="1:27">
      <c r="A269" s="11">
        <v>268</v>
      </c>
      <c r="B269" s="12">
        <v>3</v>
      </c>
      <c r="C269" s="11">
        <v>3</v>
      </c>
      <c r="D269" s="11">
        <v>2</v>
      </c>
      <c r="E269" s="11">
        <v>3</v>
      </c>
      <c r="F269" s="11">
        <v>2</v>
      </c>
      <c r="G269" s="11">
        <v>2</v>
      </c>
      <c r="H269" s="11">
        <v>3</v>
      </c>
      <c r="I269" s="11">
        <v>2</v>
      </c>
      <c r="J269" s="11">
        <v>2</v>
      </c>
      <c r="K269" s="11">
        <v>2</v>
      </c>
      <c r="L269" s="11">
        <v>2</v>
      </c>
      <c r="M269" s="11">
        <v>2</v>
      </c>
      <c r="N269" s="11">
        <v>2</v>
      </c>
      <c r="O269" s="11">
        <v>3</v>
      </c>
      <c r="P269" s="11">
        <v>2</v>
      </c>
      <c r="Q269" s="11">
        <v>2</v>
      </c>
      <c r="R269" s="11">
        <v>3</v>
      </c>
      <c r="S269" s="11">
        <v>2</v>
      </c>
      <c r="T269" s="11">
        <v>3</v>
      </c>
      <c r="U269" s="10">
        <v>3</v>
      </c>
      <c r="V269" s="6">
        <f t="shared" ca="1" si="16"/>
        <v>11.77680397666445</v>
      </c>
      <c r="W269" s="6">
        <f t="shared" ca="1" si="16"/>
        <v>12.136553766250483</v>
      </c>
      <c r="X269" s="6">
        <f t="shared" ca="1" si="16"/>
        <v>11.802286854955556</v>
      </c>
      <c r="Y269" s="6">
        <f t="shared" ca="1" si="16"/>
        <v>12.153566627923183</v>
      </c>
      <c r="Z269" s="6">
        <f t="shared" ca="1" si="17"/>
        <v>11.77680397666445</v>
      </c>
      <c r="AA269" s="6">
        <f t="shared" ca="1" si="18"/>
        <v>1</v>
      </c>
    </row>
    <row r="270" spans="1:27">
      <c r="A270" s="11">
        <v>269</v>
      </c>
      <c r="B270" s="12">
        <v>1</v>
      </c>
      <c r="C270" s="11">
        <v>2</v>
      </c>
      <c r="D270" s="11">
        <v>2</v>
      </c>
      <c r="E270" s="11">
        <v>3</v>
      </c>
      <c r="F270" s="11">
        <v>3</v>
      </c>
      <c r="G270" s="11">
        <v>3</v>
      </c>
      <c r="H270" s="11">
        <v>3</v>
      </c>
      <c r="I270" s="11">
        <v>3</v>
      </c>
      <c r="J270" s="11">
        <v>2</v>
      </c>
      <c r="K270" s="11">
        <v>3</v>
      </c>
      <c r="L270" s="11">
        <v>3</v>
      </c>
      <c r="M270" s="11">
        <v>2</v>
      </c>
      <c r="N270" s="11">
        <v>3</v>
      </c>
      <c r="O270" s="11">
        <v>4</v>
      </c>
      <c r="P270" s="11">
        <v>3</v>
      </c>
      <c r="Q270" s="11">
        <v>2</v>
      </c>
      <c r="R270" s="11">
        <v>2</v>
      </c>
      <c r="S270" s="11">
        <v>2</v>
      </c>
      <c r="T270" s="11">
        <v>2</v>
      </c>
      <c r="U270" s="10">
        <v>3</v>
      </c>
      <c r="V270" s="6">
        <f t="shared" ca="1" si="16"/>
        <v>12.951811031087777</v>
      </c>
      <c r="W270" s="6">
        <f t="shared" ca="1" si="16"/>
        <v>13.151599546669663</v>
      </c>
      <c r="X270" s="6">
        <f t="shared" ca="1" si="16"/>
        <v>12.98979581608944</v>
      </c>
      <c r="Y270" s="6">
        <f t="shared" ca="1" si="16"/>
        <v>13.095863888298664</v>
      </c>
      <c r="Z270" s="6">
        <f t="shared" ca="1" si="17"/>
        <v>12.951811031087777</v>
      </c>
      <c r="AA270" s="6">
        <f t="shared" ca="1" si="18"/>
        <v>1</v>
      </c>
    </row>
    <row r="271" spans="1:27">
      <c r="A271" s="11">
        <v>270</v>
      </c>
      <c r="B271" s="12">
        <v>2</v>
      </c>
      <c r="C271" s="11">
        <v>2</v>
      </c>
      <c r="D271" s="11">
        <v>3</v>
      </c>
      <c r="E271" s="11">
        <v>2</v>
      </c>
      <c r="F271" s="11">
        <v>2</v>
      </c>
      <c r="G271" s="11">
        <v>2</v>
      </c>
      <c r="H271" s="11">
        <v>2</v>
      </c>
      <c r="I271" s="11">
        <v>2</v>
      </c>
      <c r="J271" s="11">
        <v>2</v>
      </c>
      <c r="K271" s="11">
        <v>2</v>
      </c>
      <c r="L271" s="11">
        <v>2</v>
      </c>
      <c r="M271" s="11">
        <v>3</v>
      </c>
      <c r="N271" s="11">
        <v>2</v>
      </c>
      <c r="O271" s="11">
        <v>2</v>
      </c>
      <c r="P271" s="11">
        <v>2</v>
      </c>
      <c r="Q271" s="11">
        <v>2</v>
      </c>
      <c r="R271" s="11">
        <v>2</v>
      </c>
      <c r="S271" s="11">
        <v>2</v>
      </c>
      <c r="T271" s="11">
        <v>2</v>
      </c>
      <c r="U271" s="10">
        <v>2</v>
      </c>
      <c r="V271" s="6">
        <f t="shared" ca="1" si="16"/>
        <v>17.745736425123546</v>
      </c>
      <c r="W271" s="6">
        <f t="shared" ca="1" si="16"/>
        <v>18.127857905277015</v>
      </c>
      <c r="X271" s="6">
        <f t="shared" ca="1" si="16"/>
        <v>18.081214329529008</v>
      </c>
      <c r="Y271" s="6">
        <f t="shared" ca="1" si="16"/>
        <v>18.044847515671798</v>
      </c>
      <c r="Z271" s="6">
        <f t="shared" ca="1" si="17"/>
        <v>17.745736425123546</v>
      </c>
      <c r="AA271" s="6">
        <f t="shared" ca="1" si="18"/>
        <v>1</v>
      </c>
    </row>
    <row r="272" spans="1:27">
      <c r="A272" s="11">
        <v>271</v>
      </c>
      <c r="B272" s="12">
        <v>3</v>
      </c>
      <c r="C272" s="11">
        <v>2</v>
      </c>
      <c r="D272" s="11">
        <v>2</v>
      </c>
      <c r="E272" s="11">
        <v>3</v>
      </c>
      <c r="F272" s="11">
        <v>3</v>
      </c>
      <c r="G272" s="11">
        <v>4</v>
      </c>
      <c r="H272" s="11">
        <v>3</v>
      </c>
      <c r="I272" s="11">
        <v>2</v>
      </c>
      <c r="J272" s="11">
        <v>3</v>
      </c>
      <c r="K272" s="11">
        <v>4</v>
      </c>
      <c r="L272" s="11">
        <v>2</v>
      </c>
      <c r="M272" s="11">
        <v>3</v>
      </c>
      <c r="N272" s="11">
        <v>2</v>
      </c>
      <c r="O272" s="11">
        <v>4</v>
      </c>
      <c r="P272" s="11">
        <v>2</v>
      </c>
      <c r="Q272" s="11">
        <v>2</v>
      </c>
      <c r="R272" s="11">
        <v>3</v>
      </c>
      <c r="S272" s="11">
        <v>2</v>
      </c>
      <c r="T272" s="11">
        <v>5</v>
      </c>
      <c r="U272" s="10">
        <v>4</v>
      </c>
      <c r="V272" s="6">
        <f t="shared" ca="1" si="16"/>
        <v>15.887002487078405</v>
      </c>
      <c r="W272" s="6">
        <f t="shared" ca="1" si="16"/>
        <v>16.357619366203139</v>
      </c>
      <c r="X272" s="6">
        <f t="shared" ca="1" si="16"/>
        <v>15.803193879147743</v>
      </c>
      <c r="Y272" s="6">
        <f t="shared" ca="1" si="16"/>
        <v>16.085652149293267</v>
      </c>
      <c r="Z272" s="6">
        <f t="shared" ca="1" si="17"/>
        <v>15.803193879147743</v>
      </c>
      <c r="AA272" s="6">
        <f t="shared" ca="1" si="18"/>
        <v>3</v>
      </c>
    </row>
    <row r="273" spans="1:27">
      <c r="A273" s="11">
        <v>272</v>
      </c>
      <c r="B273" s="12">
        <v>2</v>
      </c>
      <c r="C273" s="11">
        <v>1</v>
      </c>
      <c r="D273" s="11">
        <v>2</v>
      </c>
      <c r="E273" s="11">
        <v>1</v>
      </c>
      <c r="F273" s="11">
        <v>3</v>
      </c>
      <c r="G273" s="11">
        <v>2</v>
      </c>
      <c r="H273" s="11">
        <v>3</v>
      </c>
      <c r="I273" s="11">
        <v>3</v>
      </c>
      <c r="J273" s="11">
        <v>2</v>
      </c>
      <c r="K273" s="11">
        <v>4</v>
      </c>
      <c r="L273" s="11">
        <v>2</v>
      </c>
      <c r="M273" s="11">
        <v>3</v>
      </c>
      <c r="N273" s="11">
        <v>2</v>
      </c>
      <c r="O273" s="11">
        <v>3</v>
      </c>
      <c r="P273" s="11">
        <v>3</v>
      </c>
      <c r="Q273" s="11">
        <v>4</v>
      </c>
      <c r="R273" s="11">
        <v>3</v>
      </c>
      <c r="S273" s="11">
        <v>3</v>
      </c>
      <c r="T273" s="11">
        <v>2</v>
      </c>
      <c r="U273" s="10">
        <v>2</v>
      </c>
      <c r="V273" s="6">
        <f t="shared" ca="1" si="16"/>
        <v>18.136008878200524</v>
      </c>
      <c r="W273" s="6">
        <f t="shared" ca="1" si="16"/>
        <v>18.049583443688046</v>
      </c>
      <c r="X273" s="6">
        <f t="shared" ca="1" si="16"/>
        <v>18.176556504332531</v>
      </c>
      <c r="Y273" s="6">
        <f t="shared" ca="1" si="16"/>
        <v>17.664547582688471</v>
      </c>
      <c r="Z273" s="6">
        <f t="shared" ca="1" si="17"/>
        <v>17.664547582688471</v>
      </c>
      <c r="AA273" s="6">
        <f t="shared" ca="1" si="18"/>
        <v>4</v>
      </c>
    </row>
    <row r="274" spans="1:27">
      <c r="A274" s="11">
        <v>273</v>
      </c>
      <c r="B274" s="12">
        <v>5</v>
      </c>
      <c r="C274" s="11">
        <v>2</v>
      </c>
      <c r="D274" s="11">
        <v>1</v>
      </c>
      <c r="E274" s="11">
        <v>3</v>
      </c>
      <c r="F274" s="11">
        <v>3</v>
      </c>
      <c r="G274" s="11">
        <v>5</v>
      </c>
      <c r="H274" s="11">
        <v>3</v>
      </c>
      <c r="I274" s="11">
        <v>3</v>
      </c>
      <c r="J274" s="11">
        <v>1</v>
      </c>
      <c r="K274" s="11">
        <v>3</v>
      </c>
      <c r="L274" s="11">
        <v>2</v>
      </c>
      <c r="M274" s="11">
        <v>1</v>
      </c>
      <c r="N274" s="11">
        <v>1</v>
      </c>
      <c r="O274" s="11">
        <v>5</v>
      </c>
      <c r="P274" s="11">
        <v>5</v>
      </c>
      <c r="Q274" s="11">
        <v>2</v>
      </c>
      <c r="R274" s="11">
        <v>3</v>
      </c>
      <c r="S274" s="11">
        <v>4</v>
      </c>
      <c r="T274" s="11">
        <v>5</v>
      </c>
      <c r="U274" s="10">
        <v>1</v>
      </c>
      <c r="V274" s="6">
        <f t="shared" ca="1" si="16"/>
        <v>43.547748956476866</v>
      </c>
      <c r="W274" s="6">
        <f t="shared" ca="1" si="16"/>
        <v>43.861298715939299</v>
      </c>
      <c r="X274" s="6">
        <f t="shared" ca="1" si="16"/>
        <v>43.313044513361369</v>
      </c>
      <c r="Y274" s="6">
        <f t="shared" ca="1" si="16"/>
        <v>43.733813844906834</v>
      </c>
      <c r="Z274" s="6">
        <f t="shared" ca="1" si="17"/>
        <v>43.313044513361369</v>
      </c>
      <c r="AA274" s="6">
        <f t="shared" ca="1" si="18"/>
        <v>3</v>
      </c>
    </row>
    <row r="275" spans="1:27">
      <c r="A275" s="11">
        <v>274</v>
      </c>
      <c r="B275" s="12">
        <v>4</v>
      </c>
      <c r="C275" s="11">
        <v>2</v>
      </c>
      <c r="D275" s="11">
        <v>2</v>
      </c>
      <c r="E275" s="11">
        <v>4</v>
      </c>
      <c r="F275" s="11">
        <v>2</v>
      </c>
      <c r="G275" s="11">
        <v>2</v>
      </c>
      <c r="H275" s="11">
        <v>3</v>
      </c>
      <c r="I275" s="11">
        <v>2</v>
      </c>
      <c r="J275" s="11">
        <v>2</v>
      </c>
      <c r="K275" s="11">
        <v>2</v>
      </c>
      <c r="L275" s="11">
        <v>2</v>
      </c>
      <c r="M275" s="11">
        <v>2</v>
      </c>
      <c r="N275" s="11">
        <v>2</v>
      </c>
      <c r="O275" s="11">
        <v>4</v>
      </c>
      <c r="P275" s="11">
        <v>4</v>
      </c>
      <c r="Q275" s="11">
        <v>2</v>
      </c>
      <c r="R275" s="11">
        <v>2</v>
      </c>
      <c r="S275" s="11">
        <v>4</v>
      </c>
      <c r="T275" s="11">
        <v>3</v>
      </c>
      <c r="U275" s="10">
        <v>4</v>
      </c>
      <c r="V275" s="6">
        <f t="shared" ca="1" si="16"/>
        <v>17.834427384459062</v>
      </c>
      <c r="W275" s="6">
        <f t="shared" ca="1" si="16"/>
        <v>18.280941150875631</v>
      </c>
      <c r="X275" s="6">
        <f t="shared" ca="1" si="16"/>
        <v>17.93534319486125</v>
      </c>
      <c r="Y275" s="6">
        <f t="shared" ca="1" si="16"/>
        <v>18.121261818534801</v>
      </c>
      <c r="Z275" s="6">
        <f t="shared" ca="1" si="17"/>
        <v>17.834427384459062</v>
      </c>
      <c r="AA275" s="6">
        <f t="shared" ca="1" si="18"/>
        <v>1</v>
      </c>
    </row>
    <row r="276" spans="1:27">
      <c r="A276" s="11">
        <v>275</v>
      </c>
      <c r="B276" s="12">
        <v>5</v>
      </c>
      <c r="C276" s="11">
        <v>4</v>
      </c>
      <c r="D276" s="11">
        <v>3</v>
      </c>
      <c r="E276" s="11">
        <v>3</v>
      </c>
      <c r="F276" s="11">
        <v>4</v>
      </c>
      <c r="G276" s="11">
        <v>4</v>
      </c>
      <c r="H276" s="11">
        <v>3</v>
      </c>
      <c r="I276" s="11">
        <v>2</v>
      </c>
      <c r="J276" s="11">
        <v>4</v>
      </c>
      <c r="K276" s="11">
        <v>2</v>
      </c>
      <c r="L276" s="11">
        <v>4</v>
      </c>
      <c r="M276" s="11">
        <v>3</v>
      </c>
      <c r="N276" s="11">
        <v>4</v>
      </c>
      <c r="O276" s="11">
        <v>2</v>
      </c>
      <c r="P276" s="11">
        <v>4</v>
      </c>
      <c r="Q276" s="11">
        <v>3</v>
      </c>
      <c r="R276" s="11">
        <v>2</v>
      </c>
      <c r="S276" s="11">
        <v>4</v>
      </c>
      <c r="T276" s="11">
        <v>1</v>
      </c>
      <c r="U276" s="10">
        <v>3</v>
      </c>
      <c r="V276" s="6">
        <f t="shared" ca="1" si="16"/>
        <v>20.366086258322433</v>
      </c>
      <c r="W276" s="6">
        <f t="shared" ca="1" si="16"/>
        <v>19.833439573729315</v>
      </c>
      <c r="X276" s="6">
        <f t="shared" ca="1" si="16"/>
        <v>20.062366910435884</v>
      </c>
      <c r="Y276" s="6">
        <f t="shared" ca="1" si="16"/>
        <v>20.147289390382095</v>
      </c>
      <c r="Z276" s="6">
        <f t="shared" ca="1" si="17"/>
        <v>19.833439573729315</v>
      </c>
      <c r="AA276" s="6">
        <f t="shared" ca="1" si="18"/>
        <v>2</v>
      </c>
    </row>
    <row r="277" spans="1:27">
      <c r="A277" s="11">
        <v>276</v>
      </c>
      <c r="B277" s="12">
        <v>1</v>
      </c>
      <c r="C277" s="11">
        <v>1</v>
      </c>
      <c r="D277" s="11">
        <v>3</v>
      </c>
      <c r="E277" s="11">
        <v>3</v>
      </c>
      <c r="F277" s="11">
        <v>3</v>
      </c>
      <c r="G277" s="11">
        <v>3</v>
      </c>
      <c r="H277" s="11">
        <v>2</v>
      </c>
      <c r="I277" s="11">
        <v>5</v>
      </c>
      <c r="J277" s="11">
        <v>2</v>
      </c>
      <c r="K277" s="11">
        <v>3</v>
      </c>
      <c r="L277" s="11">
        <v>4</v>
      </c>
      <c r="M277" s="11">
        <v>1</v>
      </c>
      <c r="N277" s="11">
        <v>2</v>
      </c>
      <c r="O277" s="11">
        <v>3</v>
      </c>
      <c r="P277" s="11">
        <v>4</v>
      </c>
      <c r="Q277" s="11">
        <v>3</v>
      </c>
      <c r="R277" s="11">
        <v>3</v>
      </c>
      <c r="S277" s="11">
        <v>4</v>
      </c>
      <c r="T277" s="11">
        <v>5</v>
      </c>
      <c r="U277" s="10">
        <v>5</v>
      </c>
      <c r="V277" s="6">
        <f t="shared" ca="1" si="16"/>
        <v>29.819870707003908</v>
      </c>
      <c r="W277" s="6">
        <f t="shared" ca="1" si="16"/>
        <v>30.037113521863787</v>
      </c>
      <c r="X277" s="6">
        <f t="shared" ca="1" si="16"/>
        <v>30.168149650618801</v>
      </c>
      <c r="Y277" s="6">
        <f t="shared" ca="1" si="16"/>
        <v>30.089966913123288</v>
      </c>
      <c r="Z277" s="6">
        <f t="shared" ca="1" si="17"/>
        <v>29.819870707003908</v>
      </c>
      <c r="AA277" s="6">
        <f t="shared" ca="1" si="18"/>
        <v>1</v>
      </c>
    </row>
    <row r="278" spans="1:27">
      <c r="A278" s="11">
        <v>277</v>
      </c>
      <c r="B278" s="12">
        <v>3</v>
      </c>
      <c r="C278" s="11">
        <v>2</v>
      </c>
      <c r="D278" s="11">
        <v>2</v>
      </c>
      <c r="E278" s="11">
        <v>2</v>
      </c>
      <c r="F278" s="11">
        <v>2</v>
      </c>
      <c r="G278" s="11">
        <v>2</v>
      </c>
      <c r="H278" s="11">
        <v>2</v>
      </c>
      <c r="I278" s="11">
        <v>1</v>
      </c>
      <c r="J278" s="11">
        <v>1</v>
      </c>
      <c r="K278" s="11">
        <v>2</v>
      </c>
      <c r="L278" s="11">
        <v>1</v>
      </c>
      <c r="M278" s="11">
        <v>5</v>
      </c>
      <c r="N278" s="11">
        <v>2</v>
      </c>
      <c r="O278" s="11">
        <v>2</v>
      </c>
      <c r="P278" s="11">
        <v>1</v>
      </c>
      <c r="Q278" s="11">
        <v>1</v>
      </c>
      <c r="R278" s="11">
        <v>1</v>
      </c>
      <c r="S278" s="11">
        <v>5</v>
      </c>
      <c r="T278" s="11">
        <v>2</v>
      </c>
      <c r="U278" s="10">
        <v>5</v>
      </c>
      <c r="V278" s="6">
        <f t="shared" ca="1" si="16"/>
        <v>45.944991497470724</v>
      </c>
      <c r="W278" s="6">
        <f t="shared" ca="1" si="16"/>
        <v>46.360174484932088</v>
      </c>
      <c r="X278" s="6">
        <f t="shared" ca="1" si="16"/>
        <v>46.135883384665796</v>
      </c>
      <c r="Y278" s="6">
        <f t="shared" ca="1" si="16"/>
        <v>46.361808492821979</v>
      </c>
      <c r="Z278" s="6">
        <f t="shared" ca="1" si="17"/>
        <v>45.944991497470724</v>
      </c>
      <c r="AA278" s="6">
        <f t="shared" ca="1" si="18"/>
        <v>1</v>
      </c>
    </row>
    <row r="279" spans="1:27">
      <c r="A279" s="11">
        <v>278</v>
      </c>
      <c r="B279" s="12">
        <v>2</v>
      </c>
      <c r="C279" s="11">
        <v>2</v>
      </c>
      <c r="D279" s="11">
        <v>1</v>
      </c>
      <c r="E279" s="11">
        <v>4</v>
      </c>
      <c r="F279" s="11">
        <v>2</v>
      </c>
      <c r="G279" s="11">
        <v>4</v>
      </c>
      <c r="H279" s="11">
        <v>3</v>
      </c>
      <c r="I279" s="11">
        <v>2</v>
      </c>
      <c r="J279" s="11">
        <v>2</v>
      </c>
      <c r="K279" s="11">
        <v>3</v>
      </c>
      <c r="L279" s="11">
        <v>2</v>
      </c>
      <c r="M279" s="11">
        <v>1</v>
      </c>
      <c r="N279" s="11">
        <v>1</v>
      </c>
      <c r="O279" s="11">
        <v>4</v>
      </c>
      <c r="P279" s="11">
        <v>3</v>
      </c>
      <c r="Q279" s="11">
        <v>3</v>
      </c>
      <c r="R279" s="11">
        <v>2</v>
      </c>
      <c r="S279" s="11">
        <v>3</v>
      </c>
      <c r="T279" s="11">
        <v>2</v>
      </c>
      <c r="U279" s="10">
        <v>3</v>
      </c>
      <c r="V279" s="6">
        <f t="shared" ca="1" si="16"/>
        <v>22.853526885242879</v>
      </c>
      <c r="W279" s="6">
        <f t="shared" ca="1" si="16"/>
        <v>23.010002939337955</v>
      </c>
      <c r="X279" s="6">
        <f t="shared" ca="1" si="16"/>
        <v>22.871552440734241</v>
      </c>
      <c r="Y279" s="6">
        <f t="shared" ca="1" si="16"/>
        <v>22.949436453992025</v>
      </c>
      <c r="Z279" s="6">
        <f t="shared" ca="1" si="17"/>
        <v>22.853526885242879</v>
      </c>
      <c r="AA279" s="6">
        <f t="shared" ca="1" si="18"/>
        <v>1</v>
      </c>
    </row>
    <row r="280" spans="1:27">
      <c r="A280" s="11">
        <v>279</v>
      </c>
      <c r="B280" s="12">
        <v>2</v>
      </c>
      <c r="C280" s="11">
        <v>1</v>
      </c>
      <c r="D280" s="11">
        <v>2</v>
      </c>
      <c r="E280" s="11">
        <v>5</v>
      </c>
      <c r="F280" s="11">
        <v>1</v>
      </c>
      <c r="G280" s="11">
        <v>2</v>
      </c>
      <c r="H280" s="11">
        <v>1</v>
      </c>
      <c r="I280" s="11">
        <v>5</v>
      </c>
      <c r="J280" s="11">
        <v>1</v>
      </c>
      <c r="K280" s="11">
        <v>5</v>
      </c>
      <c r="L280" s="11">
        <v>1</v>
      </c>
      <c r="M280" s="11">
        <v>1</v>
      </c>
      <c r="N280" s="11">
        <v>1</v>
      </c>
      <c r="O280" s="11">
        <v>5</v>
      </c>
      <c r="P280" s="11">
        <v>5</v>
      </c>
      <c r="Q280" s="11">
        <v>1</v>
      </c>
      <c r="R280" s="11">
        <v>1</v>
      </c>
      <c r="S280" s="11">
        <v>1</v>
      </c>
      <c r="T280" s="11">
        <v>1</v>
      </c>
      <c r="U280" s="10">
        <v>5</v>
      </c>
      <c r="V280" s="6">
        <f t="shared" ca="1" si="16"/>
        <v>71.001109648374396</v>
      </c>
      <c r="W280" s="6">
        <f t="shared" ca="1" si="16"/>
        <v>72.024889505938987</v>
      </c>
      <c r="X280" s="6">
        <f t="shared" ca="1" si="16"/>
        <v>71.327688277647013</v>
      </c>
      <c r="Y280" s="6">
        <f t="shared" ca="1" si="16"/>
        <v>70.921180981833018</v>
      </c>
      <c r="Z280" s="6">
        <f t="shared" ca="1" si="17"/>
        <v>70.921180981833018</v>
      </c>
      <c r="AA280" s="6">
        <f t="shared" ca="1" si="18"/>
        <v>4</v>
      </c>
    </row>
    <row r="281" spans="1:27">
      <c r="A281" s="11">
        <v>280</v>
      </c>
      <c r="B281" s="12">
        <v>3</v>
      </c>
      <c r="C281" s="11">
        <v>2</v>
      </c>
      <c r="D281" s="11">
        <v>2</v>
      </c>
      <c r="E281" s="11">
        <v>4</v>
      </c>
      <c r="F281" s="11">
        <v>2</v>
      </c>
      <c r="G281" s="11">
        <v>2</v>
      </c>
      <c r="H281" s="11">
        <v>3</v>
      </c>
      <c r="I281" s="11">
        <v>4</v>
      </c>
      <c r="J281" s="11">
        <v>2</v>
      </c>
      <c r="K281" s="11">
        <v>3</v>
      </c>
      <c r="L281" s="11">
        <v>4</v>
      </c>
      <c r="M281" s="11">
        <v>2</v>
      </c>
      <c r="N281" s="11">
        <v>3</v>
      </c>
      <c r="O281" s="11">
        <v>2</v>
      </c>
      <c r="P281" s="11">
        <v>5</v>
      </c>
      <c r="Q281" s="11">
        <v>4</v>
      </c>
      <c r="R281" s="11">
        <v>4</v>
      </c>
      <c r="S281" s="11">
        <v>2</v>
      </c>
      <c r="T281" s="11">
        <v>5</v>
      </c>
      <c r="U281" s="10">
        <v>2</v>
      </c>
      <c r="V281" s="6">
        <f t="shared" ca="1" si="16"/>
        <v>21.746795397058442</v>
      </c>
      <c r="W281" s="6">
        <f t="shared" ca="1" si="16"/>
        <v>21.784305213063483</v>
      </c>
      <c r="X281" s="6">
        <f t="shared" ca="1" si="16"/>
        <v>21.831525440469409</v>
      </c>
      <c r="Y281" s="6">
        <f t="shared" ca="1" si="16"/>
        <v>21.691814321719772</v>
      </c>
      <c r="Z281" s="6">
        <f t="shared" ca="1" si="17"/>
        <v>21.691814321719772</v>
      </c>
      <c r="AA281" s="6">
        <f t="shared" ca="1" si="18"/>
        <v>4</v>
      </c>
    </row>
    <row r="282" spans="1:27">
      <c r="A282" s="11">
        <v>281</v>
      </c>
      <c r="B282" s="12">
        <v>2</v>
      </c>
      <c r="C282" s="11">
        <v>2</v>
      </c>
      <c r="D282" s="11">
        <v>2</v>
      </c>
      <c r="E282" s="11">
        <v>2</v>
      </c>
      <c r="F282" s="11">
        <v>5</v>
      </c>
      <c r="G282" s="11">
        <v>4</v>
      </c>
      <c r="H282" s="11">
        <v>3</v>
      </c>
      <c r="I282" s="11">
        <v>2</v>
      </c>
      <c r="J282" s="11">
        <v>1</v>
      </c>
      <c r="K282" s="11">
        <v>2</v>
      </c>
      <c r="L282" s="11">
        <v>1</v>
      </c>
      <c r="M282" s="11">
        <v>1</v>
      </c>
      <c r="N282" s="11">
        <v>2</v>
      </c>
      <c r="O282" s="11">
        <v>5</v>
      </c>
      <c r="P282" s="11">
        <v>5</v>
      </c>
      <c r="Q282" s="11">
        <v>2</v>
      </c>
      <c r="R282" s="11">
        <v>2</v>
      </c>
      <c r="S282" s="11">
        <v>2</v>
      </c>
      <c r="T282" s="11">
        <v>3</v>
      </c>
      <c r="U282" s="10">
        <v>4</v>
      </c>
      <c r="V282" s="6">
        <f t="shared" ca="1" si="16"/>
        <v>35.973474007677524</v>
      </c>
      <c r="W282" s="6">
        <f t="shared" ca="1" si="16"/>
        <v>36.002712195840672</v>
      </c>
      <c r="X282" s="6">
        <f t="shared" ca="1" si="16"/>
        <v>35.896930517217712</v>
      </c>
      <c r="Y282" s="6">
        <f t="shared" ca="1" si="16"/>
        <v>36.357005223836481</v>
      </c>
      <c r="Z282" s="6">
        <f t="shared" ca="1" si="17"/>
        <v>35.896930517217712</v>
      </c>
      <c r="AA282" s="6">
        <f t="shared" ca="1" si="18"/>
        <v>3</v>
      </c>
    </row>
    <row r="283" spans="1:27">
      <c r="A283" s="11">
        <v>282</v>
      </c>
      <c r="B283" s="12">
        <v>5</v>
      </c>
      <c r="C283" s="11">
        <v>2</v>
      </c>
      <c r="D283" s="11">
        <v>1</v>
      </c>
      <c r="E283" s="11">
        <v>1</v>
      </c>
      <c r="F283" s="11">
        <v>2</v>
      </c>
      <c r="G283" s="11">
        <v>3</v>
      </c>
      <c r="H283" s="11">
        <v>3</v>
      </c>
      <c r="I283" s="11">
        <v>3</v>
      </c>
      <c r="J283" s="11">
        <v>1</v>
      </c>
      <c r="K283" s="11">
        <v>3</v>
      </c>
      <c r="L283" s="11">
        <v>3</v>
      </c>
      <c r="M283" s="11">
        <v>3</v>
      </c>
      <c r="N283" s="11">
        <v>3</v>
      </c>
      <c r="O283" s="11">
        <v>2</v>
      </c>
      <c r="P283" s="11">
        <v>4</v>
      </c>
      <c r="Q283" s="11">
        <v>3</v>
      </c>
      <c r="R283" s="11">
        <v>4</v>
      </c>
      <c r="S283" s="11">
        <v>2</v>
      </c>
      <c r="T283" s="11">
        <v>3</v>
      </c>
      <c r="U283" s="10">
        <v>3</v>
      </c>
      <c r="V283" s="6">
        <f t="shared" ca="1" si="16"/>
        <v>22.178127964793532</v>
      </c>
      <c r="W283" s="6">
        <f t="shared" ca="1" si="16"/>
        <v>22.109957830178381</v>
      </c>
      <c r="X283" s="6">
        <f t="shared" ca="1" si="16"/>
        <v>21.693970050433069</v>
      </c>
      <c r="Y283" s="6">
        <f t="shared" ca="1" si="16"/>
        <v>21.793338951895642</v>
      </c>
      <c r="Z283" s="6">
        <f t="shared" ca="1" si="17"/>
        <v>21.693970050433069</v>
      </c>
      <c r="AA283" s="6">
        <f t="shared" ca="1" si="18"/>
        <v>3</v>
      </c>
    </row>
    <row r="284" spans="1:27">
      <c r="A284" s="11">
        <v>283</v>
      </c>
      <c r="B284" s="12">
        <v>3</v>
      </c>
      <c r="C284" s="11">
        <v>3</v>
      </c>
      <c r="D284" s="11">
        <v>2</v>
      </c>
      <c r="E284" s="11">
        <v>2</v>
      </c>
      <c r="F284" s="11">
        <v>3</v>
      </c>
      <c r="G284" s="11">
        <v>3</v>
      </c>
      <c r="H284" s="11">
        <v>3</v>
      </c>
      <c r="I284" s="11">
        <v>2</v>
      </c>
      <c r="J284" s="11">
        <v>2</v>
      </c>
      <c r="K284" s="11">
        <v>4</v>
      </c>
      <c r="L284" s="11">
        <v>3</v>
      </c>
      <c r="M284" s="11">
        <v>2</v>
      </c>
      <c r="N284" s="11">
        <v>3</v>
      </c>
      <c r="O284" s="11">
        <v>4</v>
      </c>
      <c r="P284" s="11">
        <v>3</v>
      </c>
      <c r="Q284" s="11">
        <v>3</v>
      </c>
      <c r="R284" s="11">
        <v>3</v>
      </c>
      <c r="S284" s="11">
        <v>3</v>
      </c>
      <c r="T284" s="11">
        <v>3</v>
      </c>
      <c r="U284" s="10">
        <v>2</v>
      </c>
      <c r="V284" s="6">
        <f t="shared" ca="1" si="16"/>
        <v>8.0429820986844067</v>
      </c>
      <c r="W284" s="6">
        <f t="shared" ca="1" si="16"/>
        <v>8.0729177352459978</v>
      </c>
      <c r="X284" s="6">
        <f t="shared" ca="1" si="16"/>
        <v>7.7997504605298218</v>
      </c>
      <c r="Y284" s="6">
        <f t="shared" ca="1" si="16"/>
        <v>7.8111443302929473</v>
      </c>
      <c r="Z284" s="6">
        <f t="shared" ca="1" si="17"/>
        <v>7.7997504605298218</v>
      </c>
      <c r="AA284" s="6">
        <f t="shared" ca="1" si="18"/>
        <v>3</v>
      </c>
    </row>
    <row r="285" spans="1:27">
      <c r="A285" s="11">
        <v>284</v>
      </c>
      <c r="B285" s="12">
        <v>2</v>
      </c>
      <c r="C285" s="11">
        <v>5</v>
      </c>
      <c r="D285" s="11">
        <v>5</v>
      </c>
      <c r="E285" s="11">
        <v>2</v>
      </c>
      <c r="F285" s="11">
        <v>5</v>
      </c>
      <c r="G285" s="11">
        <v>2</v>
      </c>
      <c r="H285" s="11">
        <v>2</v>
      </c>
      <c r="I285" s="11">
        <v>3</v>
      </c>
      <c r="J285" s="11">
        <v>2</v>
      </c>
      <c r="K285" s="11">
        <v>2</v>
      </c>
      <c r="L285" s="11">
        <v>1</v>
      </c>
      <c r="M285" s="11">
        <v>1</v>
      </c>
      <c r="N285" s="11">
        <v>2</v>
      </c>
      <c r="O285" s="11">
        <v>3</v>
      </c>
      <c r="P285" s="11">
        <v>5</v>
      </c>
      <c r="Q285" s="11">
        <v>3</v>
      </c>
      <c r="R285" s="11">
        <v>3</v>
      </c>
      <c r="S285" s="11">
        <v>2</v>
      </c>
      <c r="T285" s="11">
        <v>5</v>
      </c>
      <c r="U285" s="10">
        <v>3</v>
      </c>
      <c r="V285" s="6">
        <f t="shared" ca="1" si="16"/>
        <v>35.749604972845894</v>
      </c>
      <c r="W285" s="6">
        <f t="shared" ca="1" si="16"/>
        <v>35.684095326570798</v>
      </c>
      <c r="X285" s="6">
        <f t="shared" ca="1" si="16"/>
        <v>36.226216000934265</v>
      </c>
      <c r="Y285" s="6">
        <f t="shared" ca="1" si="16"/>
        <v>36.281681187532961</v>
      </c>
      <c r="Z285" s="6">
        <f t="shared" ca="1" si="17"/>
        <v>35.684095326570798</v>
      </c>
      <c r="AA285" s="6">
        <f t="shared" ca="1" si="18"/>
        <v>2</v>
      </c>
    </row>
    <row r="286" spans="1:27">
      <c r="A286" s="11">
        <v>285</v>
      </c>
      <c r="B286" s="12">
        <v>3</v>
      </c>
      <c r="C286" s="11">
        <v>2</v>
      </c>
      <c r="D286" s="11">
        <v>1</v>
      </c>
      <c r="E286" s="11">
        <v>2</v>
      </c>
      <c r="F286" s="11">
        <v>4</v>
      </c>
      <c r="G286" s="11">
        <v>1</v>
      </c>
      <c r="H286" s="11">
        <v>1</v>
      </c>
      <c r="I286" s="11">
        <v>1</v>
      </c>
      <c r="J286" s="11">
        <v>1</v>
      </c>
      <c r="K286" s="11">
        <v>3</v>
      </c>
      <c r="L286" s="11">
        <v>1</v>
      </c>
      <c r="M286" s="11">
        <v>3</v>
      </c>
      <c r="N286" s="11">
        <v>3</v>
      </c>
      <c r="O286" s="11">
        <v>1</v>
      </c>
      <c r="P286" s="11">
        <v>3</v>
      </c>
      <c r="Q286" s="11">
        <v>3</v>
      </c>
      <c r="R286" s="11">
        <v>2</v>
      </c>
      <c r="S286" s="11">
        <v>2</v>
      </c>
      <c r="T286" s="11">
        <v>1</v>
      </c>
      <c r="U286" s="10">
        <v>1</v>
      </c>
      <c r="V286" s="6">
        <f t="shared" ca="1" si="16"/>
        <v>41.133816126068083</v>
      </c>
      <c r="W286" s="6">
        <f t="shared" ca="1" si="16"/>
        <v>40.9568212999949</v>
      </c>
      <c r="X286" s="6">
        <f t="shared" ca="1" si="16"/>
        <v>41.028684156104987</v>
      </c>
      <c r="Y286" s="6">
        <f t="shared" ca="1" si="16"/>
        <v>40.860022293473179</v>
      </c>
      <c r="Z286" s="6">
        <f t="shared" ca="1" si="17"/>
        <v>40.860022293473179</v>
      </c>
      <c r="AA286" s="6">
        <f t="shared" ca="1" si="18"/>
        <v>4</v>
      </c>
    </row>
    <row r="287" spans="1:27">
      <c r="A287" s="11">
        <v>286</v>
      </c>
      <c r="B287" s="12">
        <v>1</v>
      </c>
      <c r="C287" s="11">
        <v>1</v>
      </c>
      <c r="D287" s="11">
        <v>1</v>
      </c>
      <c r="E287" s="11">
        <v>1</v>
      </c>
      <c r="F287" s="11">
        <v>1</v>
      </c>
      <c r="G287" s="11">
        <v>5</v>
      </c>
      <c r="H287" s="11">
        <v>1</v>
      </c>
      <c r="I287" s="11">
        <v>1</v>
      </c>
      <c r="J287" s="11">
        <v>1</v>
      </c>
      <c r="K287" s="11">
        <v>1</v>
      </c>
      <c r="L287" s="11">
        <v>1</v>
      </c>
      <c r="M287" s="11">
        <v>1</v>
      </c>
      <c r="N287" s="11">
        <v>2</v>
      </c>
      <c r="O287" s="11">
        <v>4</v>
      </c>
      <c r="P287" s="11">
        <v>5</v>
      </c>
      <c r="Q287" s="11">
        <v>1</v>
      </c>
      <c r="R287" s="11">
        <v>1</v>
      </c>
      <c r="S287" s="11">
        <v>4</v>
      </c>
      <c r="T287" s="11">
        <v>4</v>
      </c>
      <c r="U287" s="10">
        <v>4</v>
      </c>
      <c r="V287" s="6">
        <f t="shared" ca="1" si="16"/>
        <v>64.55659955242092</v>
      </c>
      <c r="W287" s="6">
        <f t="shared" ca="1" si="16"/>
        <v>65.1069307197249</v>
      </c>
      <c r="X287" s="6">
        <f t="shared" ca="1" si="16"/>
        <v>64.976004882116143</v>
      </c>
      <c r="Y287" s="6">
        <f t="shared" ca="1" si="16"/>
        <v>64.98974283520505</v>
      </c>
      <c r="Z287" s="6">
        <f t="shared" ca="1" si="17"/>
        <v>64.55659955242092</v>
      </c>
      <c r="AA287" s="6">
        <f t="shared" ca="1" si="18"/>
        <v>1</v>
      </c>
    </row>
    <row r="288" spans="1:27">
      <c r="A288" s="11">
        <v>287</v>
      </c>
      <c r="B288" s="12">
        <v>5</v>
      </c>
      <c r="C288" s="11">
        <v>1</v>
      </c>
      <c r="D288" s="11">
        <v>1</v>
      </c>
      <c r="E288" s="11">
        <v>1</v>
      </c>
      <c r="F288" s="11">
        <v>1</v>
      </c>
      <c r="G288" s="11">
        <v>1</v>
      </c>
      <c r="H288" s="11">
        <v>1</v>
      </c>
      <c r="I288" s="11">
        <v>1</v>
      </c>
      <c r="J288" s="11">
        <v>1</v>
      </c>
      <c r="K288" s="11">
        <v>1</v>
      </c>
      <c r="L288" s="11">
        <v>1</v>
      </c>
      <c r="M288" s="11">
        <v>1</v>
      </c>
      <c r="N288" s="11">
        <v>5</v>
      </c>
      <c r="O288" s="11">
        <v>5</v>
      </c>
      <c r="P288" s="11">
        <v>5</v>
      </c>
      <c r="Q288" s="11">
        <v>1</v>
      </c>
      <c r="R288" s="11">
        <v>1</v>
      </c>
      <c r="S288" s="11">
        <v>1</v>
      </c>
      <c r="T288" s="11">
        <v>1</v>
      </c>
      <c r="U288" s="10">
        <v>1</v>
      </c>
      <c r="V288" s="6">
        <f t="shared" ca="1" si="16"/>
        <v>79.956262562247971</v>
      </c>
      <c r="W288" s="6">
        <f t="shared" ca="1" si="16"/>
        <v>80.843513115206264</v>
      </c>
      <c r="X288" s="6">
        <f t="shared" ca="1" si="16"/>
        <v>79.78960525081969</v>
      </c>
      <c r="Y288" s="6">
        <f t="shared" ca="1" si="16"/>
        <v>79.622566507681356</v>
      </c>
      <c r="Z288" s="6">
        <f t="shared" ca="1" si="17"/>
        <v>79.622566507681356</v>
      </c>
      <c r="AA288" s="6">
        <f t="shared" ca="1" si="18"/>
        <v>4</v>
      </c>
    </row>
    <row r="289" spans="1:27">
      <c r="A289" s="11">
        <v>288</v>
      </c>
      <c r="B289" s="12">
        <v>3</v>
      </c>
      <c r="C289" s="11">
        <v>1</v>
      </c>
      <c r="D289" s="11">
        <v>4</v>
      </c>
      <c r="E289" s="11">
        <v>2</v>
      </c>
      <c r="F289" s="11">
        <v>4</v>
      </c>
      <c r="G289" s="11">
        <v>5</v>
      </c>
      <c r="H289" s="11">
        <v>2</v>
      </c>
      <c r="I289" s="11">
        <v>1</v>
      </c>
      <c r="J289" s="11">
        <v>1</v>
      </c>
      <c r="K289" s="11">
        <v>4</v>
      </c>
      <c r="L289" s="11">
        <v>2</v>
      </c>
      <c r="M289" s="11">
        <v>4</v>
      </c>
      <c r="N289" s="11">
        <v>1</v>
      </c>
      <c r="O289" s="11">
        <v>4</v>
      </c>
      <c r="P289" s="11">
        <v>3</v>
      </c>
      <c r="Q289" s="11">
        <v>1</v>
      </c>
      <c r="R289" s="11">
        <v>3</v>
      </c>
      <c r="S289" s="11">
        <v>2</v>
      </c>
      <c r="T289" s="11">
        <v>1</v>
      </c>
      <c r="U289" s="10">
        <v>1</v>
      </c>
      <c r="V289" s="6">
        <f t="shared" ca="1" si="16"/>
        <v>40.779092457159337</v>
      </c>
      <c r="W289" s="6">
        <f t="shared" ca="1" si="16"/>
        <v>41.170074166324234</v>
      </c>
      <c r="X289" s="6">
        <f t="shared" ca="1" si="16"/>
        <v>40.613677459668004</v>
      </c>
      <c r="Y289" s="6">
        <f t="shared" ca="1" si="16"/>
        <v>41.172610967485298</v>
      </c>
      <c r="Z289" s="6">
        <f t="shared" ca="1" si="17"/>
        <v>40.613677459668004</v>
      </c>
      <c r="AA289" s="6">
        <f t="shared" ca="1" si="18"/>
        <v>3</v>
      </c>
    </row>
    <row r="290" spans="1:27">
      <c r="A290" s="11">
        <v>289</v>
      </c>
      <c r="B290" s="12">
        <v>3</v>
      </c>
      <c r="C290" s="11">
        <v>1</v>
      </c>
      <c r="D290" s="11">
        <v>1</v>
      </c>
      <c r="E290" s="11">
        <v>3</v>
      </c>
      <c r="F290" s="11">
        <v>1</v>
      </c>
      <c r="G290" s="11">
        <v>1</v>
      </c>
      <c r="H290" s="11">
        <v>3</v>
      </c>
      <c r="I290" s="11">
        <v>3</v>
      </c>
      <c r="J290" s="11">
        <v>3</v>
      </c>
      <c r="K290" s="11">
        <v>3</v>
      </c>
      <c r="L290" s="11">
        <v>2</v>
      </c>
      <c r="M290" s="11">
        <v>3</v>
      </c>
      <c r="N290" s="11">
        <v>5</v>
      </c>
      <c r="O290" s="11">
        <v>3</v>
      </c>
      <c r="P290" s="11">
        <v>5</v>
      </c>
      <c r="Q290" s="11">
        <v>1</v>
      </c>
      <c r="R290" s="11">
        <v>1</v>
      </c>
      <c r="S290" s="11">
        <v>1</v>
      </c>
      <c r="T290" s="11">
        <v>3</v>
      </c>
      <c r="U290" s="10">
        <v>1</v>
      </c>
      <c r="V290" s="6">
        <f t="shared" ca="1" si="16"/>
        <v>40.839160091647408</v>
      </c>
      <c r="W290" s="6">
        <f t="shared" ca="1" si="16"/>
        <v>41.531429716200513</v>
      </c>
      <c r="X290" s="6">
        <f t="shared" ca="1" si="16"/>
        <v>41.137056624532526</v>
      </c>
      <c r="Y290" s="6">
        <f t="shared" ca="1" si="16"/>
        <v>40.511658192282617</v>
      </c>
      <c r="Z290" s="6">
        <f t="shared" ca="1" si="17"/>
        <v>40.511658192282617</v>
      </c>
      <c r="AA290" s="6">
        <f t="shared" ca="1" si="18"/>
        <v>4</v>
      </c>
    </row>
    <row r="291" spans="1:27">
      <c r="A291" s="11">
        <v>290</v>
      </c>
      <c r="B291" s="12">
        <v>3</v>
      </c>
      <c r="C291" s="11">
        <v>3</v>
      </c>
      <c r="D291" s="11">
        <v>1</v>
      </c>
      <c r="E291" s="11">
        <v>2</v>
      </c>
      <c r="F291" s="11">
        <v>2</v>
      </c>
      <c r="G291" s="11">
        <v>4</v>
      </c>
      <c r="H291" s="11">
        <v>3</v>
      </c>
      <c r="I291" s="11">
        <v>2</v>
      </c>
      <c r="J291" s="11">
        <v>2</v>
      </c>
      <c r="K291" s="11">
        <v>3</v>
      </c>
      <c r="L291" s="11">
        <v>2</v>
      </c>
      <c r="M291" s="11">
        <v>3</v>
      </c>
      <c r="N291" s="11">
        <v>3</v>
      </c>
      <c r="O291" s="11">
        <v>3</v>
      </c>
      <c r="P291" s="11">
        <v>4</v>
      </c>
      <c r="Q291" s="11">
        <v>4</v>
      </c>
      <c r="R291" s="11">
        <v>3</v>
      </c>
      <c r="S291" s="11">
        <v>1</v>
      </c>
      <c r="T291" s="11">
        <v>3</v>
      </c>
      <c r="U291" s="10">
        <v>3</v>
      </c>
      <c r="V291" s="6">
        <f t="shared" ca="1" si="16"/>
        <v>16.136898928910639</v>
      </c>
      <c r="W291" s="6">
        <f t="shared" ca="1" si="16"/>
        <v>15.965268413462136</v>
      </c>
      <c r="X291" s="6">
        <f t="shared" ca="1" si="16"/>
        <v>15.895822432652102</v>
      </c>
      <c r="Y291" s="6">
        <f t="shared" ca="1" si="16"/>
        <v>15.765631003737877</v>
      </c>
      <c r="Z291" s="6">
        <f t="shared" ca="1" si="17"/>
        <v>15.765631003737877</v>
      </c>
      <c r="AA291" s="6">
        <f t="shared" ca="1" si="18"/>
        <v>4</v>
      </c>
    </row>
    <row r="292" spans="1:27">
      <c r="A292" s="11">
        <v>291</v>
      </c>
      <c r="B292" s="12">
        <v>4</v>
      </c>
      <c r="C292" s="11">
        <v>1</v>
      </c>
      <c r="D292" s="11">
        <v>2</v>
      </c>
      <c r="E292" s="11">
        <v>4</v>
      </c>
      <c r="F292" s="11">
        <v>4</v>
      </c>
      <c r="G292" s="11">
        <v>2</v>
      </c>
      <c r="H292" s="11">
        <v>3</v>
      </c>
      <c r="I292" s="11">
        <v>2</v>
      </c>
      <c r="J292" s="11">
        <v>1</v>
      </c>
      <c r="K292" s="11">
        <v>1</v>
      </c>
      <c r="L292" s="11">
        <v>1</v>
      </c>
      <c r="M292" s="11">
        <v>1</v>
      </c>
      <c r="N292" s="11">
        <v>4</v>
      </c>
      <c r="O292" s="11">
        <v>4</v>
      </c>
      <c r="P292" s="11">
        <v>4</v>
      </c>
      <c r="Q292" s="11">
        <v>2</v>
      </c>
      <c r="R292" s="11">
        <v>1</v>
      </c>
      <c r="S292" s="11">
        <v>5</v>
      </c>
      <c r="T292" s="11">
        <v>1</v>
      </c>
      <c r="U292" s="10">
        <v>5</v>
      </c>
      <c r="V292" s="6">
        <f t="shared" ca="1" si="16"/>
        <v>46.154036029236849</v>
      </c>
      <c r="W292" s="6">
        <f t="shared" ca="1" si="16"/>
        <v>46.345718505286975</v>
      </c>
      <c r="X292" s="6">
        <f t="shared" ca="1" si="16"/>
        <v>46.047981962787453</v>
      </c>
      <c r="Y292" s="6">
        <f t="shared" ca="1" si="16"/>
        <v>46.371948727232791</v>
      </c>
      <c r="Z292" s="6">
        <f t="shared" ca="1" si="17"/>
        <v>46.047981962787453</v>
      </c>
      <c r="AA292" s="6">
        <f t="shared" ca="1" si="18"/>
        <v>3</v>
      </c>
    </row>
    <row r="293" spans="1:27">
      <c r="A293" s="11">
        <v>292</v>
      </c>
      <c r="B293" s="12">
        <v>3</v>
      </c>
      <c r="C293" s="11">
        <v>2</v>
      </c>
      <c r="D293" s="11">
        <v>2</v>
      </c>
      <c r="E293" s="11">
        <v>3</v>
      </c>
      <c r="F293" s="11">
        <v>2</v>
      </c>
      <c r="G293" s="11">
        <v>2</v>
      </c>
      <c r="H293" s="11">
        <v>3</v>
      </c>
      <c r="I293" s="11">
        <v>3</v>
      </c>
      <c r="J293" s="11">
        <v>5</v>
      </c>
      <c r="K293" s="11">
        <v>5</v>
      </c>
      <c r="L293" s="11">
        <v>1</v>
      </c>
      <c r="M293" s="11">
        <v>1</v>
      </c>
      <c r="N293" s="11">
        <v>2</v>
      </c>
      <c r="O293" s="11">
        <v>5</v>
      </c>
      <c r="P293" s="11">
        <v>5</v>
      </c>
      <c r="Q293" s="11">
        <v>3</v>
      </c>
      <c r="R293" s="11">
        <v>1</v>
      </c>
      <c r="S293" s="11">
        <v>4</v>
      </c>
      <c r="T293" s="11">
        <v>5</v>
      </c>
      <c r="U293" s="10">
        <v>4</v>
      </c>
      <c r="V293" s="6">
        <f t="shared" ca="1" si="16"/>
        <v>39.071888541097486</v>
      </c>
      <c r="W293" s="6">
        <f t="shared" ca="1" si="16"/>
        <v>39.598576103572071</v>
      </c>
      <c r="X293" s="6">
        <f t="shared" ca="1" si="16"/>
        <v>39.590218490807032</v>
      </c>
      <c r="Y293" s="6">
        <f t="shared" ca="1" si="16"/>
        <v>38.504375915881262</v>
      </c>
      <c r="Z293" s="6">
        <f t="shared" ca="1" si="17"/>
        <v>38.504375915881262</v>
      </c>
      <c r="AA293" s="6">
        <f t="shared" ca="1" si="18"/>
        <v>4</v>
      </c>
    </row>
    <row r="294" spans="1:27">
      <c r="A294" s="11">
        <v>293</v>
      </c>
      <c r="B294" s="12">
        <v>2</v>
      </c>
      <c r="C294" s="11">
        <v>2</v>
      </c>
      <c r="D294" s="11">
        <v>1</v>
      </c>
      <c r="E294" s="11">
        <v>2</v>
      </c>
      <c r="F294" s="11">
        <v>4</v>
      </c>
      <c r="G294" s="11">
        <v>2</v>
      </c>
      <c r="H294" s="11">
        <v>2</v>
      </c>
      <c r="I294" s="11">
        <v>2</v>
      </c>
      <c r="J294" s="11">
        <v>4</v>
      </c>
      <c r="K294" s="11">
        <v>4</v>
      </c>
      <c r="L294" s="11">
        <v>4</v>
      </c>
      <c r="M294" s="11">
        <v>2</v>
      </c>
      <c r="N294" s="11">
        <v>2</v>
      </c>
      <c r="O294" s="11">
        <v>4</v>
      </c>
      <c r="P294" s="11">
        <v>4</v>
      </c>
      <c r="Q294" s="11">
        <v>2</v>
      </c>
      <c r="R294" s="11">
        <v>2</v>
      </c>
      <c r="S294" s="11">
        <v>2</v>
      </c>
      <c r="T294" s="11">
        <v>2</v>
      </c>
      <c r="U294" s="10">
        <v>1</v>
      </c>
      <c r="V294" s="6">
        <f t="shared" ca="1" si="16"/>
        <v>26.103038219190342</v>
      </c>
      <c r="W294" s="6">
        <f t="shared" ca="1" si="16"/>
        <v>26.096975932035196</v>
      </c>
      <c r="X294" s="6">
        <f t="shared" ca="1" si="16"/>
        <v>26.041480047919144</v>
      </c>
      <c r="Y294" s="6">
        <f t="shared" ca="1" si="16"/>
        <v>25.817502543146823</v>
      </c>
      <c r="Z294" s="6">
        <f t="shared" ca="1" si="17"/>
        <v>25.817502543146823</v>
      </c>
      <c r="AA294" s="6">
        <f t="shared" ca="1" si="18"/>
        <v>4</v>
      </c>
    </row>
    <row r="295" spans="1:27">
      <c r="A295" s="11">
        <v>294</v>
      </c>
      <c r="B295" s="12">
        <v>2</v>
      </c>
      <c r="C295" s="11">
        <v>2</v>
      </c>
      <c r="D295" s="11">
        <v>2</v>
      </c>
      <c r="E295" s="11">
        <v>3</v>
      </c>
      <c r="F295" s="11">
        <v>2</v>
      </c>
      <c r="G295" s="11">
        <v>3</v>
      </c>
      <c r="H295" s="11">
        <v>4</v>
      </c>
      <c r="I295" s="11">
        <v>3</v>
      </c>
      <c r="J295" s="11">
        <v>3</v>
      </c>
      <c r="K295" s="11">
        <v>4</v>
      </c>
      <c r="L295" s="11">
        <v>1</v>
      </c>
      <c r="M295" s="11">
        <v>2</v>
      </c>
      <c r="N295" s="11">
        <v>4</v>
      </c>
      <c r="O295" s="11">
        <v>5</v>
      </c>
      <c r="P295" s="11">
        <v>3</v>
      </c>
      <c r="Q295" s="11">
        <v>2</v>
      </c>
      <c r="R295" s="11">
        <v>3</v>
      </c>
      <c r="S295" s="11">
        <v>3</v>
      </c>
      <c r="T295" s="11">
        <v>5</v>
      </c>
      <c r="U295" s="10">
        <v>4</v>
      </c>
      <c r="V295" s="6">
        <f t="shared" ca="1" si="16"/>
        <v>21.875557984802388</v>
      </c>
      <c r="W295" s="6">
        <f t="shared" ca="1" si="16"/>
        <v>22.461338238864851</v>
      </c>
      <c r="X295" s="6">
        <f t="shared" ca="1" si="16"/>
        <v>22.010611581049506</v>
      </c>
      <c r="Y295" s="6">
        <f t="shared" ca="1" si="16"/>
        <v>21.831808352027231</v>
      </c>
      <c r="Z295" s="6">
        <f t="shared" ca="1" si="17"/>
        <v>21.831808352027231</v>
      </c>
      <c r="AA295" s="6">
        <f t="shared" ca="1" si="18"/>
        <v>4</v>
      </c>
    </row>
    <row r="296" spans="1:27">
      <c r="A296" s="11">
        <v>295</v>
      </c>
      <c r="B296" s="12">
        <v>2</v>
      </c>
      <c r="C296" s="11">
        <v>3</v>
      </c>
      <c r="D296" s="11">
        <v>3</v>
      </c>
      <c r="E296" s="11">
        <v>2</v>
      </c>
      <c r="F296" s="11">
        <v>3</v>
      </c>
      <c r="G296" s="11">
        <v>4</v>
      </c>
      <c r="H296" s="11">
        <v>1</v>
      </c>
      <c r="I296" s="11">
        <v>5</v>
      </c>
      <c r="J296" s="11">
        <v>3</v>
      </c>
      <c r="K296" s="11">
        <v>4</v>
      </c>
      <c r="L296" s="11">
        <v>1</v>
      </c>
      <c r="M296" s="11">
        <v>1</v>
      </c>
      <c r="N296" s="11">
        <v>1</v>
      </c>
      <c r="O296" s="11">
        <v>1</v>
      </c>
      <c r="P296" s="11">
        <v>5</v>
      </c>
      <c r="Q296" s="11">
        <v>1</v>
      </c>
      <c r="R296" s="11">
        <v>3</v>
      </c>
      <c r="S296" s="11">
        <v>2</v>
      </c>
      <c r="T296" s="11">
        <v>4</v>
      </c>
      <c r="U296" s="10">
        <v>4</v>
      </c>
      <c r="V296" s="6">
        <f t="shared" ca="1" si="16"/>
        <v>38.887837787271081</v>
      </c>
      <c r="W296" s="6">
        <f t="shared" ca="1" si="16"/>
        <v>39.063199080009404</v>
      </c>
      <c r="X296" s="6">
        <f t="shared" ca="1" si="16"/>
        <v>39.374701772789038</v>
      </c>
      <c r="Y296" s="6">
        <f t="shared" ca="1" si="16"/>
        <v>39.016909665186063</v>
      </c>
      <c r="Z296" s="6">
        <f t="shared" ca="1" si="17"/>
        <v>38.887837787271081</v>
      </c>
      <c r="AA296" s="6">
        <f t="shared" ca="1" si="18"/>
        <v>1</v>
      </c>
    </row>
    <row r="297" spans="1:27">
      <c r="A297" s="11">
        <v>296</v>
      </c>
      <c r="B297" s="12">
        <v>3</v>
      </c>
      <c r="C297" s="11">
        <v>1</v>
      </c>
      <c r="D297" s="11">
        <v>1</v>
      </c>
      <c r="E297" s="11">
        <v>3</v>
      </c>
      <c r="F297" s="11">
        <v>3</v>
      </c>
      <c r="G297" s="11">
        <v>3</v>
      </c>
      <c r="H297" s="11">
        <v>3</v>
      </c>
      <c r="I297" s="11">
        <v>1</v>
      </c>
      <c r="J297" s="11">
        <v>1</v>
      </c>
      <c r="K297" s="11">
        <v>1</v>
      </c>
      <c r="L297" s="11">
        <v>1</v>
      </c>
      <c r="M297" s="11">
        <v>1</v>
      </c>
      <c r="N297" s="11">
        <v>3</v>
      </c>
      <c r="O297" s="11">
        <v>5</v>
      </c>
      <c r="P297" s="11">
        <v>1</v>
      </c>
      <c r="Q297" s="11">
        <v>1</v>
      </c>
      <c r="R297" s="11">
        <v>5</v>
      </c>
      <c r="S297" s="11">
        <v>3</v>
      </c>
      <c r="T297" s="11">
        <v>2</v>
      </c>
      <c r="U297" s="10">
        <v>1</v>
      </c>
      <c r="V297" s="6">
        <f t="shared" ca="1" si="16"/>
        <v>48.540363167387063</v>
      </c>
      <c r="W297" s="6">
        <f t="shared" ca="1" si="16"/>
        <v>49.052477728056715</v>
      </c>
      <c r="X297" s="6">
        <f t="shared" ca="1" si="16"/>
        <v>48.090845052743795</v>
      </c>
      <c r="Y297" s="6">
        <f t="shared" ca="1" si="16"/>
        <v>49.189122409321428</v>
      </c>
      <c r="Z297" s="6">
        <f t="shared" ca="1" si="17"/>
        <v>48.090845052743795</v>
      </c>
      <c r="AA297" s="6">
        <f t="shared" ca="1" si="18"/>
        <v>3</v>
      </c>
    </row>
    <row r="298" spans="1:27">
      <c r="A298" s="11">
        <v>297</v>
      </c>
      <c r="B298" s="12">
        <v>1</v>
      </c>
      <c r="C298" s="11">
        <v>1</v>
      </c>
      <c r="D298" s="11">
        <v>4</v>
      </c>
      <c r="E298" s="11">
        <v>4</v>
      </c>
      <c r="F298" s="11">
        <v>4</v>
      </c>
      <c r="G298" s="11">
        <v>4</v>
      </c>
      <c r="H298" s="11">
        <v>4</v>
      </c>
      <c r="I298" s="11">
        <v>4</v>
      </c>
      <c r="J298" s="11">
        <v>1</v>
      </c>
      <c r="K298" s="11">
        <v>1</v>
      </c>
      <c r="L298" s="11">
        <v>1</v>
      </c>
      <c r="M298" s="11">
        <v>1</v>
      </c>
      <c r="N298" s="11">
        <v>1</v>
      </c>
      <c r="O298" s="11">
        <v>1</v>
      </c>
      <c r="P298" s="11">
        <v>1</v>
      </c>
      <c r="Q298" s="11">
        <v>1</v>
      </c>
      <c r="R298" s="11">
        <v>1</v>
      </c>
      <c r="S298" s="11">
        <v>1</v>
      </c>
      <c r="T298" s="11">
        <v>1</v>
      </c>
      <c r="U298" s="10">
        <v>1</v>
      </c>
      <c r="V298" s="6">
        <f t="shared" ca="1" si="16"/>
        <v>61.407102253528151</v>
      </c>
      <c r="W298" s="6">
        <f t="shared" ca="1" si="16"/>
        <v>61.765125587086374</v>
      </c>
      <c r="X298" s="6">
        <f t="shared" ca="1" si="16"/>
        <v>61.930798137838167</v>
      </c>
      <c r="Y298" s="6">
        <f t="shared" ca="1" si="16"/>
        <v>62.446943346629837</v>
      </c>
      <c r="Z298" s="6">
        <f t="shared" ca="1" si="17"/>
        <v>61.407102253528151</v>
      </c>
      <c r="AA298" s="6">
        <f t="shared" ca="1" si="18"/>
        <v>1</v>
      </c>
    </row>
    <row r="299" spans="1:27">
      <c r="A299" s="11">
        <v>298</v>
      </c>
      <c r="B299" s="12">
        <v>3</v>
      </c>
      <c r="C299" s="11">
        <v>2</v>
      </c>
      <c r="D299" s="11">
        <v>2</v>
      </c>
      <c r="E299" s="11">
        <v>2</v>
      </c>
      <c r="F299" s="11">
        <v>2</v>
      </c>
      <c r="G299" s="11">
        <v>4</v>
      </c>
      <c r="H299" s="11">
        <v>4</v>
      </c>
      <c r="I299" s="11">
        <v>2</v>
      </c>
      <c r="J299" s="11">
        <v>1</v>
      </c>
      <c r="K299" s="11">
        <v>2</v>
      </c>
      <c r="L299" s="11">
        <v>2</v>
      </c>
      <c r="M299" s="11">
        <v>2</v>
      </c>
      <c r="N299" s="11">
        <v>2</v>
      </c>
      <c r="O299" s="11">
        <v>2</v>
      </c>
      <c r="P299" s="11">
        <v>5</v>
      </c>
      <c r="Q299" s="11">
        <v>4</v>
      </c>
      <c r="R299" s="11">
        <v>2</v>
      </c>
      <c r="S299" s="11">
        <v>2</v>
      </c>
      <c r="T299" s="11">
        <v>1</v>
      </c>
      <c r="U299" s="10">
        <v>3</v>
      </c>
      <c r="V299" s="6">
        <f t="shared" ca="1" si="16"/>
        <v>27.102723009289424</v>
      </c>
      <c r="W299" s="6">
        <f t="shared" ca="1" si="16"/>
        <v>26.789181517991455</v>
      </c>
      <c r="X299" s="6">
        <f t="shared" ca="1" si="16"/>
        <v>27.077393664029664</v>
      </c>
      <c r="Y299" s="6">
        <f t="shared" ca="1" si="16"/>
        <v>26.91895354009602</v>
      </c>
      <c r="Z299" s="6">
        <f t="shared" ca="1" si="17"/>
        <v>26.789181517991455</v>
      </c>
      <c r="AA299" s="6">
        <f t="shared" ca="1" si="18"/>
        <v>2</v>
      </c>
    </row>
    <row r="300" spans="1:27">
      <c r="A300" s="11">
        <v>299</v>
      </c>
      <c r="B300" s="12">
        <v>3</v>
      </c>
      <c r="C300" s="11">
        <v>2</v>
      </c>
      <c r="D300" s="11">
        <v>1</v>
      </c>
      <c r="E300" s="11">
        <v>2</v>
      </c>
      <c r="F300" s="11">
        <v>3</v>
      </c>
      <c r="G300" s="11">
        <v>2</v>
      </c>
      <c r="H300" s="11">
        <v>3</v>
      </c>
      <c r="I300" s="11">
        <v>2</v>
      </c>
      <c r="J300" s="11">
        <v>2</v>
      </c>
      <c r="K300" s="11">
        <v>2</v>
      </c>
      <c r="L300" s="11">
        <v>1</v>
      </c>
      <c r="M300" s="11">
        <v>1</v>
      </c>
      <c r="N300" s="11">
        <v>3</v>
      </c>
      <c r="O300" s="11">
        <v>4</v>
      </c>
      <c r="P300" s="11">
        <v>4</v>
      </c>
      <c r="Q300" s="11">
        <v>2</v>
      </c>
      <c r="R300" s="11">
        <v>1</v>
      </c>
      <c r="S300" s="11">
        <v>5</v>
      </c>
      <c r="T300" s="11">
        <v>2</v>
      </c>
      <c r="U300" s="10">
        <v>5</v>
      </c>
      <c r="V300" s="6">
        <f t="shared" ca="1" si="16"/>
        <v>34.205829721301605</v>
      </c>
      <c r="W300" s="6">
        <f t="shared" ca="1" si="16"/>
        <v>34.306109273506443</v>
      </c>
      <c r="X300" s="6">
        <f t="shared" ca="1" si="16"/>
        <v>34.254589856813581</v>
      </c>
      <c r="Y300" s="6">
        <f t="shared" ca="1" si="16"/>
        <v>34.113734814672611</v>
      </c>
      <c r="Z300" s="6">
        <f t="shared" ca="1" si="17"/>
        <v>34.113734814672611</v>
      </c>
      <c r="AA300" s="6">
        <f t="shared" ca="1" si="18"/>
        <v>4</v>
      </c>
    </row>
    <row r="301" spans="1:27">
      <c r="A301" s="11">
        <v>300</v>
      </c>
      <c r="B301" s="12">
        <v>4</v>
      </c>
      <c r="C301" s="11">
        <v>3</v>
      </c>
      <c r="D301" s="11">
        <v>3</v>
      </c>
      <c r="E301" s="11">
        <v>4</v>
      </c>
      <c r="F301" s="11">
        <v>3</v>
      </c>
      <c r="G301" s="11">
        <v>4</v>
      </c>
      <c r="H301" s="11">
        <v>3</v>
      </c>
      <c r="I301" s="11">
        <v>2</v>
      </c>
      <c r="J301" s="11">
        <v>2</v>
      </c>
      <c r="K301" s="11">
        <v>4</v>
      </c>
      <c r="L301" s="11">
        <v>2</v>
      </c>
      <c r="M301" s="11">
        <v>1</v>
      </c>
      <c r="N301" s="11">
        <v>2</v>
      </c>
      <c r="O301" s="11">
        <v>5</v>
      </c>
      <c r="P301" s="11">
        <v>4</v>
      </c>
      <c r="Q301" s="11">
        <v>2</v>
      </c>
      <c r="R301" s="11">
        <v>1</v>
      </c>
      <c r="S301" s="11">
        <v>3</v>
      </c>
      <c r="T301" s="11">
        <v>3</v>
      </c>
      <c r="U301" s="10">
        <v>4</v>
      </c>
      <c r="V301" s="6">
        <f t="shared" ca="1" si="16"/>
        <v>22.997120098683514</v>
      </c>
      <c r="W301" s="6">
        <f t="shared" ca="1" si="16"/>
        <v>23.461364698069719</v>
      </c>
      <c r="X301" s="6">
        <f t="shared" ca="1" si="16"/>
        <v>22.965060111977238</v>
      </c>
      <c r="Y301" s="6">
        <f t="shared" ca="1" si="16"/>
        <v>23.090110435443655</v>
      </c>
      <c r="Z301" s="6">
        <f t="shared" ca="1" si="17"/>
        <v>22.965060111977238</v>
      </c>
      <c r="AA301" s="6">
        <f t="shared" ca="1" si="18"/>
        <v>3</v>
      </c>
    </row>
    <row r="302" spans="1:27">
      <c r="A302" s="11">
        <v>301</v>
      </c>
      <c r="B302" s="12">
        <v>3</v>
      </c>
      <c r="C302" s="11">
        <v>1</v>
      </c>
      <c r="D302" s="11">
        <v>1</v>
      </c>
      <c r="E302" s="11">
        <v>3</v>
      </c>
      <c r="F302" s="11">
        <v>2</v>
      </c>
      <c r="G302" s="11">
        <v>3</v>
      </c>
      <c r="H302" s="11">
        <v>3</v>
      </c>
      <c r="I302" s="11">
        <v>2</v>
      </c>
      <c r="J302" s="11">
        <v>3</v>
      </c>
      <c r="K302" s="11">
        <v>2</v>
      </c>
      <c r="L302" s="11">
        <v>1</v>
      </c>
      <c r="M302" s="11">
        <v>2</v>
      </c>
      <c r="N302" s="11">
        <v>3</v>
      </c>
      <c r="O302" s="11">
        <v>4</v>
      </c>
      <c r="P302" s="11">
        <v>4</v>
      </c>
      <c r="Q302" s="11">
        <v>2</v>
      </c>
      <c r="R302" s="11">
        <v>2</v>
      </c>
      <c r="S302" s="11">
        <v>3</v>
      </c>
      <c r="T302" s="11">
        <v>3</v>
      </c>
      <c r="U302" s="10">
        <v>3</v>
      </c>
      <c r="V302" s="6">
        <f t="shared" ca="1" si="16"/>
        <v>19.865864671598278</v>
      </c>
      <c r="W302" s="6">
        <f t="shared" ca="1" si="16"/>
        <v>20.268633219792854</v>
      </c>
      <c r="X302" s="6">
        <f t="shared" ca="1" si="16"/>
        <v>19.989222448011422</v>
      </c>
      <c r="Y302" s="6">
        <f t="shared" ca="1" si="16"/>
        <v>19.863624766893054</v>
      </c>
      <c r="Z302" s="6">
        <f t="shared" ca="1" si="17"/>
        <v>19.863624766893054</v>
      </c>
      <c r="AA302" s="6">
        <f t="shared" ca="1" si="18"/>
        <v>4</v>
      </c>
    </row>
    <row r="303" spans="1:27">
      <c r="A303" s="11">
        <v>302</v>
      </c>
      <c r="B303" s="12">
        <v>4</v>
      </c>
      <c r="C303" s="11">
        <v>4</v>
      </c>
      <c r="D303" s="11">
        <v>4</v>
      </c>
      <c r="E303" s="11">
        <v>2</v>
      </c>
      <c r="F303" s="11">
        <v>3</v>
      </c>
      <c r="G303" s="11">
        <v>3</v>
      </c>
      <c r="H303" s="11">
        <v>2</v>
      </c>
      <c r="I303" s="11">
        <v>2</v>
      </c>
      <c r="J303" s="11">
        <v>2</v>
      </c>
      <c r="K303" s="11">
        <v>4</v>
      </c>
      <c r="L303" s="11">
        <v>2</v>
      </c>
      <c r="M303" s="11">
        <v>2</v>
      </c>
      <c r="N303" s="11">
        <v>2</v>
      </c>
      <c r="O303" s="11">
        <v>4</v>
      </c>
      <c r="P303" s="11">
        <v>4</v>
      </c>
      <c r="Q303" s="11">
        <v>2</v>
      </c>
      <c r="R303" s="11">
        <v>1</v>
      </c>
      <c r="S303" s="11">
        <v>3</v>
      </c>
      <c r="T303" s="11">
        <v>4</v>
      </c>
      <c r="U303" s="10">
        <v>5</v>
      </c>
      <c r="V303" s="6">
        <f t="shared" ca="1" si="16"/>
        <v>23.101185447950748</v>
      </c>
      <c r="W303" s="6">
        <f t="shared" ca="1" si="16"/>
        <v>23.531432942750179</v>
      </c>
      <c r="X303" s="6">
        <f t="shared" ca="1" si="16"/>
        <v>23.251579067967356</v>
      </c>
      <c r="Y303" s="6">
        <f t="shared" ca="1" si="16"/>
        <v>23.149759877058184</v>
      </c>
      <c r="Z303" s="6">
        <f t="shared" ca="1" si="17"/>
        <v>23.101185447950748</v>
      </c>
      <c r="AA303" s="6">
        <f t="shared" ca="1" si="18"/>
        <v>1</v>
      </c>
    </row>
    <row r="304" spans="1:27">
      <c r="A304" s="11">
        <v>303</v>
      </c>
      <c r="B304" s="12">
        <v>1</v>
      </c>
      <c r="C304" s="11">
        <v>3</v>
      </c>
      <c r="D304" s="11">
        <v>3</v>
      </c>
      <c r="E304" s="11">
        <v>4</v>
      </c>
      <c r="F304" s="11">
        <v>5</v>
      </c>
      <c r="G304" s="11">
        <v>3</v>
      </c>
      <c r="H304" s="11">
        <v>3</v>
      </c>
      <c r="I304" s="11">
        <v>1</v>
      </c>
      <c r="J304" s="11">
        <v>1</v>
      </c>
      <c r="K304" s="11">
        <v>3</v>
      </c>
      <c r="L304" s="11">
        <v>2</v>
      </c>
      <c r="M304" s="11">
        <v>1</v>
      </c>
      <c r="N304" s="11">
        <v>1</v>
      </c>
      <c r="O304" s="11">
        <v>4</v>
      </c>
      <c r="P304" s="11">
        <v>4</v>
      </c>
      <c r="Q304" s="11">
        <v>1</v>
      </c>
      <c r="R304" s="11">
        <v>2</v>
      </c>
      <c r="S304" s="11">
        <v>3</v>
      </c>
      <c r="T304" s="11">
        <v>3</v>
      </c>
      <c r="U304" s="10">
        <v>3</v>
      </c>
      <c r="V304" s="6">
        <f t="shared" ca="1" si="16"/>
        <v>32.655676320286837</v>
      </c>
      <c r="W304" s="6">
        <f t="shared" ca="1" si="16"/>
        <v>32.802632572799673</v>
      </c>
      <c r="X304" s="6">
        <f t="shared" ca="1" si="16"/>
        <v>32.845102810286939</v>
      </c>
      <c r="Y304" s="6">
        <f t="shared" ca="1" si="16"/>
        <v>33.54681759041663</v>
      </c>
      <c r="Z304" s="6">
        <f t="shared" ca="1" si="17"/>
        <v>32.655676320286837</v>
      </c>
      <c r="AA304" s="6">
        <f t="shared" ca="1" si="18"/>
        <v>1</v>
      </c>
    </row>
    <row r="305" spans="1:27">
      <c r="A305" s="11">
        <v>304</v>
      </c>
      <c r="B305" s="12">
        <v>3</v>
      </c>
      <c r="C305" s="11">
        <v>4</v>
      </c>
      <c r="D305" s="11">
        <v>4</v>
      </c>
      <c r="E305" s="11">
        <v>3</v>
      </c>
      <c r="F305" s="11">
        <v>4</v>
      </c>
      <c r="G305" s="11">
        <v>2</v>
      </c>
      <c r="H305" s="11">
        <v>3</v>
      </c>
      <c r="I305" s="11">
        <v>2</v>
      </c>
      <c r="J305" s="11">
        <v>2</v>
      </c>
      <c r="K305" s="11">
        <v>3</v>
      </c>
      <c r="L305" s="11">
        <v>2</v>
      </c>
      <c r="M305" s="11">
        <v>4</v>
      </c>
      <c r="N305" s="11">
        <v>4</v>
      </c>
      <c r="O305" s="11">
        <v>4</v>
      </c>
      <c r="P305" s="11">
        <v>4</v>
      </c>
      <c r="Q305" s="11">
        <v>3</v>
      </c>
      <c r="R305" s="11">
        <v>3</v>
      </c>
      <c r="S305" s="11">
        <v>2</v>
      </c>
      <c r="T305" s="11">
        <v>2</v>
      </c>
      <c r="U305" s="10">
        <v>4</v>
      </c>
      <c r="V305" s="6">
        <f t="shared" ca="1" si="16"/>
        <v>14.227349435479425</v>
      </c>
      <c r="W305" s="6">
        <f t="shared" ca="1" si="16"/>
        <v>14.166533487267621</v>
      </c>
      <c r="X305" s="6">
        <f t="shared" ca="1" si="16"/>
        <v>14.1112046924446</v>
      </c>
      <c r="Y305" s="6">
        <f t="shared" ca="1" si="16"/>
        <v>14.275178042698906</v>
      </c>
      <c r="Z305" s="6">
        <f t="shared" ca="1" si="17"/>
        <v>14.1112046924446</v>
      </c>
      <c r="AA305" s="6">
        <f t="shared" ca="1" si="18"/>
        <v>3</v>
      </c>
    </row>
    <row r="306" spans="1:27">
      <c r="A306" s="11">
        <v>305</v>
      </c>
      <c r="B306" s="12">
        <v>2</v>
      </c>
      <c r="C306" s="11">
        <v>2</v>
      </c>
      <c r="D306" s="11">
        <v>2</v>
      </c>
      <c r="E306" s="11">
        <v>5</v>
      </c>
      <c r="F306" s="11">
        <v>3</v>
      </c>
      <c r="G306" s="11">
        <v>5</v>
      </c>
      <c r="H306" s="11">
        <v>3</v>
      </c>
      <c r="I306" s="11">
        <v>3</v>
      </c>
      <c r="J306" s="11">
        <v>3</v>
      </c>
      <c r="K306" s="11">
        <v>2</v>
      </c>
      <c r="L306" s="11">
        <v>2</v>
      </c>
      <c r="M306" s="11">
        <v>2</v>
      </c>
      <c r="N306" s="11">
        <v>3</v>
      </c>
      <c r="O306" s="11">
        <v>5</v>
      </c>
      <c r="P306" s="11">
        <v>4</v>
      </c>
      <c r="Q306" s="11">
        <v>1</v>
      </c>
      <c r="R306" s="11">
        <v>2</v>
      </c>
      <c r="S306" s="11">
        <v>3</v>
      </c>
      <c r="T306" s="11">
        <v>3</v>
      </c>
      <c r="U306" s="10">
        <v>3</v>
      </c>
      <c r="V306" s="6">
        <f t="shared" ca="1" si="16"/>
        <v>23.657831692245512</v>
      </c>
      <c r="W306" s="6">
        <f t="shared" ca="1" si="16"/>
        <v>24.064357235916777</v>
      </c>
      <c r="X306" s="6">
        <f t="shared" ca="1" si="16"/>
        <v>23.767903674017568</v>
      </c>
      <c r="Y306" s="6">
        <f t="shared" ca="1" si="16"/>
        <v>24.184449621490543</v>
      </c>
      <c r="Z306" s="6">
        <f t="shared" ca="1" si="17"/>
        <v>23.657831692245512</v>
      </c>
      <c r="AA306" s="6">
        <f t="shared" ca="1" si="18"/>
        <v>1</v>
      </c>
    </row>
    <row r="307" spans="1:27">
      <c r="A307" s="11">
        <v>306</v>
      </c>
      <c r="B307" s="12">
        <v>2</v>
      </c>
      <c r="C307" s="11">
        <v>1</v>
      </c>
      <c r="D307" s="11">
        <v>2</v>
      </c>
      <c r="E307" s="11">
        <v>2</v>
      </c>
      <c r="F307" s="11">
        <v>2</v>
      </c>
      <c r="G307" s="11">
        <v>2</v>
      </c>
      <c r="H307" s="11">
        <v>4</v>
      </c>
      <c r="I307" s="11">
        <v>1</v>
      </c>
      <c r="J307" s="11">
        <v>1</v>
      </c>
      <c r="K307" s="11">
        <v>2</v>
      </c>
      <c r="L307" s="11">
        <v>1</v>
      </c>
      <c r="M307" s="11">
        <v>4</v>
      </c>
      <c r="N307" s="11">
        <v>2</v>
      </c>
      <c r="O307" s="11">
        <v>5</v>
      </c>
      <c r="P307" s="11">
        <v>2</v>
      </c>
      <c r="Q307" s="11">
        <v>1</v>
      </c>
      <c r="R307" s="11">
        <v>1</v>
      </c>
      <c r="S307" s="11">
        <v>1</v>
      </c>
      <c r="T307" s="11">
        <v>5</v>
      </c>
      <c r="U307" s="10">
        <v>5</v>
      </c>
      <c r="V307" s="6">
        <f t="shared" ca="1" si="16"/>
        <v>49.674858163330128</v>
      </c>
      <c r="W307" s="6">
        <f t="shared" ca="1" si="16"/>
        <v>50.658864786671344</v>
      </c>
      <c r="X307" s="6">
        <f t="shared" ca="1" si="16"/>
        <v>49.92901821742624</v>
      </c>
      <c r="Y307" s="6">
        <f t="shared" ca="1" si="16"/>
        <v>50.350943819520452</v>
      </c>
      <c r="Z307" s="6">
        <f t="shared" ca="1" si="17"/>
        <v>49.674858163330128</v>
      </c>
      <c r="AA307" s="6">
        <f t="shared" ca="1" si="18"/>
        <v>1</v>
      </c>
    </row>
    <row r="308" spans="1:27">
      <c r="A308" s="11">
        <v>307</v>
      </c>
      <c r="B308" s="12">
        <v>2</v>
      </c>
      <c r="C308" s="11">
        <v>3</v>
      </c>
      <c r="D308" s="11">
        <v>2</v>
      </c>
      <c r="E308" s="11">
        <v>4</v>
      </c>
      <c r="F308" s="11">
        <v>3</v>
      </c>
      <c r="G308" s="11">
        <v>3</v>
      </c>
      <c r="H308" s="11">
        <v>2</v>
      </c>
      <c r="I308" s="11">
        <v>4</v>
      </c>
      <c r="J308" s="11">
        <v>3</v>
      </c>
      <c r="K308" s="11">
        <v>2</v>
      </c>
      <c r="L308" s="11">
        <v>4</v>
      </c>
      <c r="M308" s="11">
        <v>3</v>
      </c>
      <c r="N308" s="11">
        <v>2</v>
      </c>
      <c r="O308" s="11">
        <v>4</v>
      </c>
      <c r="P308" s="11">
        <v>3</v>
      </c>
      <c r="Q308" s="11">
        <v>2</v>
      </c>
      <c r="R308" s="11">
        <v>3</v>
      </c>
      <c r="S308" s="11">
        <v>3</v>
      </c>
      <c r="T308" s="11">
        <v>2</v>
      </c>
      <c r="U308" s="10">
        <v>3</v>
      </c>
      <c r="V308" s="6">
        <f t="shared" ca="1" si="16"/>
        <v>10.868103318197427</v>
      </c>
      <c r="W308" s="6">
        <f t="shared" ca="1" si="16"/>
        <v>10.92844325940772</v>
      </c>
      <c r="X308" s="6">
        <f t="shared" ca="1" si="16"/>
        <v>10.855040637401485</v>
      </c>
      <c r="Y308" s="6">
        <f t="shared" ca="1" si="16"/>
        <v>11.212834326191564</v>
      </c>
      <c r="Z308" s="6">
        <f t="shared" ca="1" si="17"/>
        <v>10.855040637401485</v>
      </c>
      <c r="AA308" s="6">
        <f t="shared" ca="1" si="18"/>
        <v>3</v>
      </c>
    </row>
    <row r="309" spans="1:27">
      <c r="A309" s="11">
        <v>308</v>
      </c>
      <c r="B309" s="12">
        <v>2</v>
      </c>
      <c r="C309" s="11">
        <v>2</v>
      </c>
      <c r="D309" s="11">
        <v>2</v>
      </c>
      <c r="E309" s="11">
        <v>2</v>
      </c>
      <c r="F309" s="11">
        <v>1</v>
      </c>
      <c r="G309" s="11">
        <v>2</v>
      </c>
      <c r="H309" s="11">
        <v>2</v>
      </c>
      <c r="I309" s="11">
        <v>2</v>
      </c>
      <c r="J309" s="11">
        <v>2</v>
      </c>
      <c r="K309" s="11">
        <v>2</v>
      </c>
      <c r="L309" s="11">
        <v>2</v>
      </c>
      <c r="M309" s="11">
        <v>2</v>
      </c>
      <c r="N309" s="11">
        <v>4</v>
      </c>
      <c r="O309" s="11">
        <v>4</v>
      </c>
      <c r="P309" s="11">
        <v>5</v>
      </c>
      <c r="Q309" s="11">
        <v>1</v>
      </c>
      <c r="R309" s="11">
        <v>2</v>
      </c>
      <c r="S309" s="11">
        <v>4</v>
      </c>
      <c r="T309" s="11">
        <v>3</v>
      </c>
      <c r="U309" s="10">
        <v>4</v>
      </c>
      <c r="V309" s="6">
        <f t="shared" ca="1" si="16"/>
        <v>27.847005119447577</v>
      </c>
      <c r="W309" s="6">
        <f t="shared" ca="1" si="16"/>
        <v>28.378459904673093</v>
      </c>
      <c r="X309" s="6">
        <f t="shared" ca="1" si="16"/>
        <v>28.148143174979257</v>
      </c>
      <c r="Y309" s="6">
        <f t="shared" ca="1" si="16"/>
        <v>27.955193835613947</v>
      </c>
      <c r="Z309" s="6">
        <f t="shared" ca="1" si="17"/>
        <v>27.847005119447577</v>
      </c>
      <c r="AA309" s="6">
        <f t="shared" ca="1" si="18"/>
        <v>1</v>
      </c>
    </row>
    <row r="310" spans="1:27">
      <c r="A310" s="11">
        <v>309</v>
      </c>
      <c r="B310" s="12">
        <v>2</v>
      </c>
      <c r="C310" s="11">
        <v>2</v>
      </c>
      <c r="D310" s="11">
        <v>3</v>
      </c>
      <c r="E310" s="11">
        <v>3</v>
      </c>
      <c r="F310" s="11">
        <v>3</v>
      </c>
      <c r="G310" s="11">
        <v>2</v>
      </c>
      <c r="H310" s="11">
        <v>3</v>
      </c>
      <c r="I310" s="11">
        <v>2</v>
      </c>
      <c r="J310" s="11">
        <v>1</v>
      </c>
      <c r="K310" s="11">
        <v>3</v>
      </c>
      <c r="L310" s="11">
        <v>3</v>
      </c>
      <c r="M310" s="11">
        <v>3</v>
      </c>
      <c r="N310" s="11">
        <v>2</v>
      </c>
      <c r="O310" s="11">
        <v>3</v>
      </c>
      <c r="P310" s="11">
        <v>3</v>
      </c>
      <c r="Q310" s="11">
        <v>2</v>
      </c>
      <c r="R310" s="11">
        <v>3</v>
      </c>
      <c r="S310" s="11">
        <v>3</v>
      </c>
      <c r="T310" s="11">
        <v>2</v>
      </c>
      <c r="U310" s="10">
        <v>3</v>
      </c>
      <c r="V310" s="6">
        <f t="shared" ca="1" si="16"/>
        <v>10.852095289525328</v>
      </c>
      <c r="W310" s="6">
        <f t="shared" ca="1" si="16"/>
        <v>11.038053241830484</v>
      </c>
      <c r="X310" s="6">
        <f t="shared" ca="1" si="16"/>
        <v>10.894350795586975</v>
      </c>
      <c r="Y310" s="6">
        <f t="shared" ca="1" si="16"/>
        <v>11.247594464511502</v>
      </c>
      <c r="Z310" s="6">
        <f t="shared" ca="1" si="17"/>
        <v>10.852095289525328</v>
      </c>
      <c r="AA310" s="6">
        <f t="shared" ca="1" si="18"/>
        <v>1</v>
      </c>
    </row>
    <row r="311" spans="1:27">
      <c r="A311" s="11">
        <v>310</v>
      </c>
      <c r="B311" s="12">
        <v>1</v>
      </c>
      <c r="C311" s="11">
        <v>2</v>
      </c>
      <c r="D311" s="11">
        <v>1</v>
      </c>
      <c r="E311" s="11">
        <v>1</v>
      </c>
      <c r="F311" s="11">
        <v>2</v>
      </c>
      <c r="G311" s="11">
        <v>1</v>
      </c>
      <c r="H311" s="11">
        <v>2</v>
      </c>
      <c r="I311" s="11">
        <v>3</v>
      </c>
      <c r="J311" s="11">
        <v>2</v>
      </c>
      <c r="K311" s="11">
        <v>1</v>
      </c>
      <c r="L311" s="11">
        <v>1</v>
      </c>
      <c r="M311" s="11">
        <v>2</v>
      </c>
      <c r="N311" s="11">
        <v>3</v>
      </c>
      <c r="O311" s="11">
        <v>2</v>
      </c>
      <c r="P311" s="11">
        <v>1</v>
      </c>
      <c r="Q311" s="11">
        <v>3</v>
      </c>
      <c r="R311" s="11">
        <v>2</v>
      </c>
      <c r="S311" s="11">
        <v>3</v>
      </c>
      <c r="T311" s="11">
        <v>4</v>
      </c>
      <c r="U311" s="10">
        <v>4</v>
      </c>
      <c r="V311" s="6">
        <f t="shared" ca="1" si="16"/>
        <v>36.868024621723059</v>
      </c>
      <c r="W311" s="6">
        <f t="shared" ca="1" si="16"/>
        <v>37.100842829174468</v>
      </c>
      <c r="X311" s="6">
        <f t="shared" ca="1" si="16"/>
        <v>37.24249891577179</v>
      </c>
      <c r="Y311" s="6">
        <f t="shared" ca="1" si="16"/>
        <v>36.989950071088366</v>
      </c>
      <c r="Z311" s="6">
        <f t="shared" ca="1" si="17"/>
        <v>36.868024621723059</v>
      </c>
      <c r="AA311" s="6">
        <f t="shared" ca="1" si="18"/>
        <v>1</v>
      </c>
    </row>
    <row r="312" spans="1:27">
      <c r="A312" s="11">
        <v>311</v>
      </c>
      <c r="B312" s="12">
        <v>3</v>
      </c>
      <c r="C312" s="11">
        <v>4</v>
      </c>
      <c r="D312" s="11">
        <v>5</v>
      </c>
      <c r="E312" s="11">
        <v>4</v>
      </c>
      <c r="F312" s="11">
        <v>3</v>
      </c>
      <c r="G312" s="11">
        <v>3</v>
      </c>
      <c r="H312" s="11">
        <v>5</v>
      </c>
      <c r="I312" s="11">
        <v>4</v>
      </c>
      <c r="J312" s="11">
        <v>4</v>
      </c>
      <c r="K312" s="11">
        <v>4</v>
      </c>
      <c r="L312" s="11">
        <v>5</v>
      </c>
      <c r="M312" s="11">
        <v>4</v>
      </c>
      <c r="N312" s="11">
        <v>3</v>
      </c>
      <c r="O312" s="11">
        <v>3</v>
      </c>
      <c r="P312" s="11">
        <v>4</v>
      </c>
      <c r="Q312" s="11">
        <v>5</v>
      </c>
      <c r="R312" s="11">
        <v>4</v>
      </c>
      <c r="S312" s="11">
        <v>4</v>
      </c>
      <c r="T312" s="11">
        <v>4</v>
      </c>
      <c r="U312" s="10">
        <v>2</v>
      </c>
      <c r="V312" s="6">
        <f t="shared" ca="1" si="16"/>
        <v>26.955597492535183</v>
      </c>
      <c r="W312" s="6">
        <f t="shared" ca="1" si="16"/>
        <v>26.585383782672753</v>
      </c>
      <c r="X312" s="6">
        <f t="shared" ca="1" si="16"/>
        <v>27.104333469637485</v>
      </c>
      <c r="Y312" s="6">
        <f t="shared" ca="1" si="16"/>
        <v>26.813173190764825</v>
      </c>
      <c r="Z312" s="6">
        <f t="shared" ca="1" si="17"/>
        <v>26.585383782672753</v>
      </c>
      <c r="AA312" s="6">
        <f t="shared" ca="1" si="18"/>
        <v>2</v>
      </c>
    </row>
    <row r="313" spans="1:27">
      <c r="A313" s="11">
        <v>312</v>
      </c>
      <c r="B313" s="12">
        <v>2</v>
      </c>
      <c r="C313" s="11">
        <v>3</v>
      </c>
      <c r="D313" s="11">
        <v>3</v>
      </c>
      <c r="E313" s="11">
        <v>2</v>
      </c>
      <c r="F313" s="11">
        <v>3</v>
      </c>
      <c r="G313" s="11">
        <v>2</v>
      </c>
      <c r="H313" s="11">
        <v>2</v>
      </c>
      <c r="I313" s="11">
        <v>2</v>
      </c>
      <c r="J313" s="11">
        <v>2</v>
      </c>
      <c r="K313" s="11">
        <v>2</v>
      </c>
      <c r="L313" s="11">
        <v>2</v>
      </c>
      <c r="M313" s="11">
        <v>2</v>
      </c>
      <c r="N313" s="11">
        <v>3</v>
      </c>
      <c r="O313" s="11">
        <v>4</v>
      </c>
      <c r="P313" s="11">
        <v>4</v>
      </c>
      <c r="Q313" s="11">
        <v>2</v>
      </c>
      <c r="R313" s="11">
        <v>2</v>
      </c>
      <c r="S313" s="11">
        <v>3</v>
      </c>
      <c r="T313" s="11">
        <v>3</v>
      </c>
      <c r="U313" s="10">
        <v>4</v>
      </c>
      <c r="V313" s="6">
        <f t="shared" ca="1" si="16"/>
        <v>13.941773612127937</v>
      </c>
      <c r="W313" s="6">
        <f t="shared" ca="1" si="16"/>
        <v>14.201466689868928</v>
      </c>
      <c r="X313" s="6">
        <f t="shared" ca="1" si="16"/>
        <v>14.160484065636206</v>
      </c>
      <c r="Y313" s="6">
        <f t="shared" ca="1" si="16"/>
        <v>14.199296252338304</v>
      </c>
      <c r="Z313" s="6">
        <f t="shared" ca="1" si="17"/>
        <v>13.941773612127937</v>
      </c>
      <c r="AA313" s="6">
        <f t="shared" ca="1" si="18"/>
        <v>1</v>
      </c>
    </row>
    <row r="314" spans="1:27">
      <c r="A314" s="11">
        <v>313</v>
      </c>
      <c r="B314" s="12">
        <v>3</v>
      </c>
      <c r="C314" s="11">
        <v>2</v>
      </c>
      <c r="D314" s="11">
        <v>3</v>
      </c>
      <c r="E314" s="11">
        <v>4</v>
      </c>
      <c r="F314" s="11">
        <v>5</v>
      </c>
      <c r="G314" s="11">
        <v>3</v>
      </c>
      <c r="H314" s="11">
        <v>4</v>
      </c>
      <c r="I314" s="11">
        <v>2</v>
      </c>
      <c r="J314" s="11">
        <v>1</v>
      </c>
      <c r="K314" s="11">
        <v>3</v>
      </c>
      <c r="L314" s="11">
        <v>1</v>
      </c>
      <c r="M314" s="11">
        <v>1</v>
      </c>
      <c r="N314" s="11">
        <v>1</v>
      </c>
      <c r="O314" s="11">
        <v>1</v>
      </c>
      <c r="P314" s="11">
        <v>3</v>
      </c>
      <c r="Q314" s="11">
        <v>4</v>
      </c>
      <c r="R314" s="11">
        <v>3</v>
      </c>
      <c r="S314" s="11">
        <v>4</v>
      </c>
      <c r="T314" s="11">
        <v>1</v>
      </c>
      <c r="U314" s="10">
        <v>4</v>
      </c>
      <c r="V314" s="6">
        <f t="shared" ca="1" si="16"/>
        <v>35.154422932230808</v>
      </c>
      <c r="W314" s="6">
        <f t="shared" ca="1" si="16"/>
        <v>34.64238917738642</v>
      </c>
      <c r="X314" s="6">
        <f t="shared" ca="1" si="16"/>
        <v>35.094771176425937</v>
      </c>
      <c r="Y314" s="6">
        <f t="shared" ca="1" si="16"/>
        <v>35.373558467197213</v>
      </c>
      <c r="Z314" s="6">
        <f t="shared" ca="1" si="17"/>
        <v>34.64238917738642</v>
      </c>
      <c r="AA314" s="6">
        <f t="shared" ca="1" si="18"/>
        <v>2</v>
      </c>
    </row>
    <row r="315" spans="1:27">
      <c r="A315" s="11">
        <v>314</v>
      </c>
      <c r="B315" s="12">
        <v>4</v>
      </c>
      <c r="C315" s="11">
        <v>2</v>
      </c>
      <c r="D315" s="11">
        <v>3</v>
      </c>
      <c r="E315" s="11">
        <v>3</v>
      </c>
      <c r="F315" s="11">
        <v>2</v>
      </c>
      <c r="G315" s="11">
        <v>2</v>
      </c>
      <c r="H315" s="11">
        <v>3</v>
      </c>
      <c r="I315" s="11">
        <v>2</v>
      </c>
      <c r="J315" s="11">
        <v>4</v>
      </c>
      <c r="K315" s="11">
        <v>3</v>
      </c>
      <c r="L315" s="11">
        <v>2</v>
      </c>
      <c r="M315" s="11">
        <v>2</v>
      </c>
      <c r="N315" s="11">
        <v>2</v>
      </c>
      <c r="O315" s="11">
        <v>3</v>
      </c>
      <c r="P315" s="11">
        <v>4</v>
      </c>
      <c r="Q315" s="11">
        <v>3</v>
      </c>
      <c r="R315" s="11">
        <v>2</v>
      </c>
      <c r="S315" s="11">
        <v>4</v>
      </c>
      <c r="T315" s="11">
        <v>3</v>
      </c>
      <c r="U315" s="10">
        <v>4</v>
      </c>
      <c r="V315" s="6">
        <f t="shared" ca="1" si="16"/>
        <v>13.063265345610795</v>
      </c>
      <c r="W315" s="6">
        <f t="shared" ca="1" si="16"/>
        <v>13.336174072122535</v>
      </c>
      <c r="X315" s="6">
        <f t="shared" ca="1" si="16"/>
        <v>13.35400712438317</v>
      </c>
      <c r="Y315" s="6">
        <f t="shared" ca="1" si="16"/>
        <v>12.899400331681726</v>
      </c>
      <c r="Z315" s="6">
        <f t="shared" ca="1" si="17"/>
        <v>12.899400331681726</v>
      </c>
      <c r="AA315" s="6">
        <f t="shared" ca="1" si="18"/>
        <v>4</v>
      </c>
    </row>
    <row r="316" spans="1:27">
      <c r="A316" s="11">
        <v>315</v>
      </c>
      <c r="B316" s="12">
        <v>1</v>
      </c>
      <c r="C316" s="11">
        <v>4</v>
      </c>
      <c r="D316" s="11">
        <v>4</v>
      </c>
      <c r="E316" s="11">
        <v>4</v>
      </c>
      <c r="F316" s="11">
        <v>3</v>
      </c>
      <c r="G316" s="11">
        <v>4</v>
      </c>
      <c r="H316" s="11">
        <v>4</v>
      </c>
      <c r="I316" s="11">
        <v>4</v>
      </c>
      <c r="J316" s="11">
        <v>2</v>
      </c>
      <c r="K316" s="11">
        <v>4</v>
      </c>
      <c r="L316" s="11">
        <v>1</v>
      </c>
      <c r="M316" s="11">
        <v>1</v>
      </c>
      <c r="N316" s="11">
        <v>1</v>
      </c>
      <c r="O316" s="11">
        <v>3</v>
      </c>
      <c r="P316" s="11">
        <v>3</v>
      </c>
      <c r="Q316" s="11">
        <v>1</v>
      </c>
      <c r="R316" s="11">
        <v>1</v>
      </c>
      <c r="S316" s="11">
        <v>5</v>
      </c>
      <c r="T316" s="11">
        <v>3</v>
      </c>
      <c r="U316" s="10">
        <v>5</v>
      </c>
      <c r="V316" s="6">
        <f t="shared" ca="1" si="16"/>
        <v>39.780526517998069</v>
      </c>
      <c r="W316" s="6">
        <f t="shared" ca="1" si="16"/>
        <v>40.026207817761573</v>
      </c>
      <c r="X316" s="6">
        <f t="shared" ca="1" si="16"/>
        <v>40.392014947584258</v>
      </c>
      <c r="Y316" s="6">
        <f t="shared" ca="1" si="16"/>
        <v>40.353623636997078</v>
      </c>
      <c r="Z316" s="6">
        <f t="shared" ca="1" si="17"/>
        <v>39.780526517998069</v>
      </c>
      <c r="AA316" s="6">
        <f t="shared" ca="1" si="18"/>
        <v>1</v>
      </c>
    </row>
    <row r="317" spans="1:27">
      <c r="A317" s="11">
        <v>316</v>
      </c>
      <c r="B317" s="12">
        <v>4</v>
      </c>
      <c r="C317" s="11">
        <v>1</v>
      </c>
      <c r="D317" s="11">
        <v>1</v>
      </c>
      <c r="E317" s="11">
        <v>3</v>
      </c>
      <c r="F317" s="11">
        <v>1</v>
      </c>
      <c r="G317" s="11">
        <v>4</v>
      </c>
      <c r="H317" s="11">
        <v>3</v>
      </c>
      <c r="I317" s="11">
        <v>2</v>
      </c>
      <c r="J317" s="11">
        <v>3</v>
      </c>
      <c r="K317" s="11">
        <v>3</v>
      </c>
      <c r="L317" s="11">
        <v>2</v>
      </c>
      <c r="M317" s="11">
        <v>3</v>
      </c>
      <c r="N317" s="11">
        <v>3</v>
      </c>
      <c r="O317" s="11">
        <v>4</v>
      </c>
      <c r="P317" s="11">
        <v>5</v>
      </c>
      <c r="Q317" s="11">
        <v>1</v>
      </c>
      <c r="R317" s="11">
        <v>3</v>
      </c>
      <c r="S317" s="11">
        <v>2</v>
      </c>
      <c r="T317" s="11">
        <v>3</v>
      </c>
      <c r="U317" s="10">
        <v>2</v>
      </c>
      <c r="V317" s="6">
        <f t="shared" ca="1" si="16"/>
        <v>26.795695912730199</v>
      </c>
      <c r="W317" s="6">
        <f t="shared" ca="1" si="16"/>
        <v>27.353367987560727</v>
      </c>
      <c r="X317" s="6">
        <f t="shared" ca="1" si="16"/>
        <v>26.7127130522491</v>
      </c>
      <c r="Y317" s="6">
        <f t="shared" ca="1" si="16"/>
        <v>26.719160952837822</v>
      </c>
      <c r="Z317" s="6">
        <f t="shared" ca="1" si="17"/>
        <v>26.7127130522491</v>
      </c>
      <c r="AA317" s="6">
        <f t="shared" ca="1" si="18"/>
        <v>3</v>
      </c>
    </row>
    <row r="318" spans="1:27">
      <c r="A318" s="11">
        <v>317</v>
      </c>
      <c r="B318" s="12">
        <v>5</v>
      </c>
      <c r="C318" s="11">
        <v>1</v>
      </c>
      <c r="D318" s="11">
        <v>1</v>
      </c>
      <c r="E318" s="11">
        <v>5</v>
      </c>
      <c r="F318" s="11">
        <v>5</v>
      </c>
      <c r="G318" s="11">
        <v>5</v>
      </c>
      <c r="H318" s="11">
        <v>3</v>
      </c>
      <c r="I318" s="11">
        <v>1</v>
      </c>
      <c r="J318" s="11">
        <v>1</v>
      </c>
      <c r="K318" s="11">
        <v>5</v>
      </c>
      <c r="L318" s="11">
        <v>1</v>
      </c>
      <c r="M318" s="11">
        <v>1</v>
      </c>
      <c r="N318" s="11">
        <v>1</v>
      </c>
      <c r="O318" s="11">
        <v>5</v>
      </c>
      <c r="P318" s="11">
        <v>3</v>
      </c>
      <c r="Q318" s="11">
        <v>1</v>
      </c>
      <c r="R318" s="11">
        <v>1</v>
      </c>
      <c r="S318" s="11">
        <v>5</v>
      </c>
      <c r="T318" s="11">
        <v>2</v>
      </c>
      <c r="U318" s="10">
        <v>1</v>
      </c>
      <c r="V318" s="6">
        <f t="shared" ca="1" si="16"/>
        <v>68.828713097301431</v>
      </c>
      <c r="W318" s="6">
        <f t="shared" ca="1" si="16"/>
        <v>69.203212488782668</v>
      </c>
      <c r="X318" s="6">
        <f t="shared" ca="1" si="16"/>
        <v>68.421594807261073</v>
      </c>
      <c r="Y318" s="6">
        <f t="shared" ca="1" si="16"/>
        <v>68.979017384638368</v>
      </c>
      <c r="Z318" s="6">
        <f t="shared" ca="1" si="17"/>
        <v>68.421594807261073</v>
      </c>
      <c r="AA318" s="6">
        <f t="shared" ca="1" si="18"/>
        <v>3</v>
      </c>
    </row>
    <row r="319" spans="1:27">
      <c r="A319" s="11">
        <v>318</v>
      </c>
      <c r="B319" s="12">
        <v>5</v>
      </c>
      <c r="C319" s="11">
        <v>3</v>
      </c>
      <c r="D319" s="11">
        <v>2</v>
      </c>
      <c r="E319" s="11">
        <v>2</v>
      </c>
      <c r="F319" s="11">
        <v>2</v>
      </c>
      <c r="G319" s="11">
        <v>5</v>
      </c>
      <c r="H319" s="11">
        <v>1</v>
      </c>
      <c r="I319" s="11">
        <v>1</v>
      </c>
      <c r="J319" s="11">
        <v>3</v>
      </c>
      <c r="K319" s="11">
        <v>3</v>
      </c>
      <c r="L319" s="11">
        <v>2</v>
      </c>
      <c r="M319" s="11">
        <v>3</v>
      </c>
      <c r="N319" s="11">
        <v>3</v>
      </c>
      <c r="O319" s="11">
        <v>4</v>
      </c>
      <c r="P319" s="11">
        <v>4</v>
      </c>
      <c r="Q319" s="11">
        <v>4</v>
      </c>
      <c r="R319" s="11">
        <v>2</v>
      </c>
      <c r="S319" s="11">
        <v>2</v>
      </c>
      <c r="T319" s="11">
        <v>4</v>
      </c>
      <c r="U319" s="10">
        <v>2</v>
      </c>
      <c r="V319" s="6">
        <f t="shared" ca="1" si="16"/>
        <v>27.022671516453549</v>
      </c>
      <c r="W319" s="6">
        <f t="shared" ca="1" si="16"/>
        <v>27.215385127211835</v>
      </c>
      <c r="X319" s="6">
        <f t="shared" ca="1" si="16"/>
        <v>26.817167544439709</v>
      </c>
      <c r="Y319" s="6">
        <f t="shared" ca="1" si="16"/>
        <v>26.561539943440103</v>
      </c>
      <c r="Z319" s="6">
        <f t="shared" ca="1" si="17"/>
        <v>26.561539943440103</v>
      </c>
      <c r="AA319" s="6">
        <f t="shared" ca="1" si="18"/>
        <v>4</v>
      </c>
    </row>
    <row r="320" spans="1:27">
      <c r="A320" s="11">
        <v>319</v>
      </c>
      <c r="B320" s="12">
        <v>4</v>
      </c>
      <c r="C320" s="11">
        <v>3</v>
      </c>
      <c r="D320" s="11">
        <v>2</v>
      </c>
      <c r="E320" s="11">
        <v>4</v>
      </c>
      <c r="F320" s="11">
        <v>3</v>
      </c>
      <c r="G320" s="11">
        <v>2</v>
      </c>
      <c r="H320" s="11">
        <v>3</v>
      </c>
      <c r="I320" s="11">
        <v>4</v>
      </c>
      <c r="J320" s="11">
        <v>2</v>
      </c>
      <c r="K320" s="11">
        <v>3</v>
      </c>
      <c r="L320" s="11">
        <v>3</v>
      </c>
      <c r="M320" s="11">
        <v>3</v>
      </c>
      <c r="N320" s="11">
        <v>4</v>
      </c>
      <c r="O320" s="11">
        <v>4</v>
      </c>
      <c r="P320" s="11">
        <v>4</v>
      </c>
      <c r="Q320" s="11">
        <v>2</v>
      </c>
      <c r="R320" s="11">
        <v>2</v>
      </c>
      <c r="S320" s="11">
        <v>2</v>
      </c>
      <c r="T320" s="11">
        <v>3</v>
      </c>
      <c r="U320" s="10">
        <v>2</v>
      </c>
      <c r="V320" s="6">
        <f t="shared" ca="1" si="16"/>
        <v>12.948193928756163</v>
      </c>
      <c r="W320" s="6">
        <f t="shared" ca="1" si="16"/>
        <v>13.243383098868597</v>
      </c>
      <c r="X320" s="6">
        <f t="shared" ca="1" si="16"/>
        <v>12.82509350169396</v>
      </c>
      <c r="Y320" s="6">
        <f t="shared" ca="1" si="16"/>
        <v>12.900453570108686</v>
      </c>
      <c r="Z320" s="6">
        <f t="shared" ca="1" si="17"/>
        <v>12.82509350169396</v>
      </c>
      <c r="AA320" s="6">
        <f t="shared" ca="1" si="18"/>
        <v>3</v>
      </c>
    </row>
    <row r="321" spans="1:27">
      <c r="A321" s="11">
        <v>320</v>
      </c>
      <c r="B321" s="12">
        <v>2</v>
      </c>
      <c r="C321" s="11">
        <v>2</v>
      </c>
      <c r="D321" s="11">
        <v>1</v>
      </c>
      <c r="E321" s="11">
        <v>1</v>
      </c>
      <c r="F321" s="11">
        <v>2</v>
      </c>
      <c r="G321" s="11">
        <v>3</v>
      </c>
      <c r="H321" s="11">
        <v>3</v>
      </c>
      <c r="I321" s="11">
        <v>3</v>
      </c>
      <c r="J321" s="11">
        <v>4</v>
      </c>
      <c r="K321" s="11">
        <v>3</v>
      </c>
      <c r="L321" s="11">
        <v>3</v>
      </c>
      <c r="M321" s="11">
        <v>4</v>
      </c>
      <c r="N321" s="11">
        <v>3</v>
      </c>
      <c r="O321" s="11">
        <v>5</v>
      </c>
      <c r="P321" s="11">
        <v>5</v>
      </c>
      <c r="Q321" s="11">
        <v>2</v>
      </c>
      <c r="R321" s="11">
        <v>3</v>
      </c>
      <c r="S321" s="11">
        <v>4</v>
      </c>
      <c r="T321" s="11">
        <v>3</v>
      </c>
      <c r="U321" s="10">
        <v>2</v>
      </c>
      <c r="V321" s="6">
        <f t="shared" ca="1" si="16"/>
        <v>23.983902967069792</v>
      </c>
      <c r="W321" s="6">
        <f t="shared" ca="1" si="16"/>
        <v>24.031028387174509</v>
      </c>
      <c r="X321" s="6">
        <f t="shared" ca="1" si="16"/>
        <v>24.061627528252579</v>
      </c>
      <c r="Y321" s="6">
        <f t="shared" ref="Y321:Y341" ca="1" si="19">SUMXMY2($B321:$U321,AH$2:AH$21)</f>
        <v>23.642392794451954</v>
      </c>
      <c r="Z321" s="6">
        <f t="shared" ca="1" si="17"/>
        <v>23.642392794451954</v>
      </c>
      <c r="AA321" s="6">
        <f t="shared" ca="1" si="18"/>
        <v>4</v>
      </c>
    </row>
    <row r="322" spans="1:27">
      <c r="A322" s="11">
        <v>321</v>
      </c>
      <c r="B322" s="12">
        <v>3</v>
      </c>
      <c r="C322" s="11">
        <v>2</v>
      </c>
      <c r="D322" s="11">
        <v>4</v>
      </c>
      <c r="E322" s="11">
        <v>3</v>
      </c>
      <c r="F322" s="11">
        <v>1</v>
      </c>
      <c r="G322" s="11">
        <v>2</v>
      </c>
      <c r="H322" s="11">
        <v>3</v>
      </c>
      <c r="I322" s="11">
        <v>2</v>
      </c>
      <c r="J322" s="11">
        <v>1</v>
      </c>
      <c r="K322" s="11">
        <v>3</v>
      </c>
      <c r="L322" s="11">
        <v>2</v>
      </c>
      <c r="M322" s="11">
        <v>1</v>
      </c>
      <c r="N322" s="11">
        <v>2</v>
      </c>
      <c r="O322" s="11">
        <v>4</v>
      </c>
      <c r="P322" s="11">
        <v>5</v>
      </c>
      <c r="Q322" s="11">
        <v>1</v>
      </c>
      <c r="R322" s="11">
        <v>1</v>
      </c>
      <c r="S322" s="11">
        <v>5</v>
      </c>
      <c r="T322" s="11">
        <v>2</v>
      </c>
      <c r="U322" s="10">
        <v>5</v>
      </c>
      <c r="V322" s="6">
        <f t="shared" ref="V322:X341" ca="1" si="20">SUMXMY2($B322:$U322,AE$2:AE$21)</f>
        <v>39.85233671774624</v>
      </c>
      <c r="W322" s="6">
        <f t="shared" ca="1" si="20"/>
        <v>40.558703716488559</v>
      </c>
      <c r="X322" s="6">
        <f t="shared" ca="1" si="20"/>
        <v>40.299112450060008</v>
      </c>
      <c r="Y322" s="6">
        <f t="shared" ca="1" si="19"/>
        <v>40.157541624321802</v>
      </c>
      <c r="Z322" s="6">
        <f t="shared" ref="Z322:Z341" ca="1" si="21">MIN(V322:Y322)</f>
        <v>39.85233671774624</v>
      </c>
      <c r="AA322" s="6">
        <f t="shared" ca="1" si="18"/>
        <v>1</v>
      </c>
    </row>
    <row r="323" spans="1:27">
      <c r="A323" s="11">
        <v>322</v>
      </c>
      <c r="B323" s="12">
        <v>4</v>
      </c>
      <c r="C323" s="11">
        <v>2</v>
      </c>
      <c r="D323" s="11">
        <v>3</v>
      </c>
      <c r="E323" s="11">
        <v>2</v>
      </c>
      <c r="F323" s="11">
        <v>2</v>
      </c>
      <c r="G323" s="11">
        <v>3</v>
      </c>
      <c r="H323" s="11">
        <v>2</v>
      </c>
      <c r="I323" s="11">
        <v>2</v>
      </c>
      <c r="J323" s="11">
        <v>2</v>
      </c>
      <c r="K323" s="11">
        <v>3</v>
      </c>
      <c r="L323" s="11">
        <v>3</v>
      </c>
      <c r="M323" s="11">
        <v>4</v>
      </c>
      <c r="N323" s="11">
        <v>3</v>
      </c>
      <c r="O323" s="11">
        <v>1</v>
      </c>
      <c r="P323" s="11">
        <v>5</v>
      </c>
      <c r="Q323" s="11">
        <v>1</v>
      </c>
      <c r="R323" s="11">
        <v>2</v>
      </c>
      <c r="S323" s="11">
        <v>2</v>
      </c>
      <c r="T323" s="11">
        <v>3</v>
      </c>
      <c r="U323" s="10">
        <v>5</v>
      </c>
      <c r="V323" s="6">
        <f t="shared" ca="1" si="20"/>
        <v>26.109975627284715</v>
      </c>
      <c r="W323" s="6">
        <f t="shared" ca="1" si="20"/>
        <v>26.400353722037579</v>
      </c>
      <c r="X323" s="6">
        <f t="shared" ca="1" si="20"/>
        <v>26.2020102926992</v>
      </c>
      <c r="Y323" s="6">
        <f t="shared" ca="1" si="19"/>
        <v>26.209909823856741</v>
      </c>
      <c r="Z323" s="6">
        <f t="shared" ca="1" si="21"/>
        <v>26.109975627284715</v>
      </c>
      <c r="AA323" s="6">
        <f t="shared" ref="AA323:AA341" ca="1" si="22">IF(Z323=V323,1,IF(Z323=W323,2,IF(Z323=X323,3,4)))</f>
        <v>1</v>
      </c>
    </row>
    <row r="324" spans="1:27">
      <c r="A324" s="11">
        <v>323</v>
      </c>
      <c r="B324" s="12">
        <v>1</v>
      </c>
      <c r="C324" s="11">
        <v>1</v>
      </c>
      <c r="D324" s="11">
        <v>3</v>
      </c>
      <c r="E324" s="11">
        <v>2</v>
      </c>
      <c r="F324" s="11">
        <v>2</v>
      </c>
      <c r="G324" s="11">
        <v>2</v>
      </c>
      <c r="H324" s="11">
        <v>2</v>
      </c>
      <c r="I324" s="11">
        <v>2</v>
      </c>
      <c r="J324" s="11">
        <v>2</v>
      </c>
      <c r="K324" s="11">
        <v>2</v>
      </c>
      <c r="L324" s="11">
        <v>2</v>
      </c>
      <c r="M324" s="11">
        <v>4</v>
      </c>
      <c r="N324" s="11">
        <v>2</v>
      </c>
      <c r="O324" s="11">
        <v>4</v>
      </c>
      <c r="P324" s="11">
        <v>3</v>
      </c>
      <c r="Q324" s="11">
        <v>2</v>
      </c>
      <c r="R324" s="11">
        <v>2</v>
      </c>
      <c r="S324" s="11">
        <v>4</v>
      </c>
      <c r="T324" s="11">
        <v>2</v>
      </c>
      <c r="U324" s="10">
        <v>5</v>
      </c>
      <c r="V324" s="6">
        <f t="shared" ca="1" si="20"/>
        <v>26.919906007037998</v>
      </c>
      <c r="W324" s="6">
        <f t="shared" ca="1" si="20"/>
        <v>27.348297880015458</v>
      </c>
      <c r="X324" s="6">
        <f t="shared" ca="1" si="20"/>
        <v>27.305726856131038</v>
      </c>
      <c r="Y324" s="6">
        <f t="shared" ca="1" si="19"/>
        <v>27.251814214331205</v>
      </c>
      <c r="Z324" s="6">
        <f t="shared" ca="1" si="21"/>
        <v>26.919906007037998</v>
      </c>
      <c r="AA324" s="6">
        <f t="shared" ca="1" si="22"/>
        <v>1</v>
      </c>
    </row>
    <row r="325" spans="1:27">
      <c r="A325" s="11">
        <v>324</v>
      </c>
      <c r="B325" s="12">
        <v>5</v>
      </c>
      <c r="C325" s="11">
        <v>2</v>
      </c>
      <c r="D325" s="11">
        <v>2</v>
      </c>
      <c r="E325" s="11">
        <v>4</v>
      </c>
      <c r="F325" s="11">
        <v>4</v>
      </c>
      <c r="G325" s="11">
        <v>5</v>
      </c>
      <c r="H325" s="11">
        <v>3</v>
      </c>
      <c r="I325" s="11">
        <v>3</v>
      </c>
      <c r="J325" s="11">
        <v>2</v>
      </c>
      <c r="K325" s="11">
        <v>2</v>
      </c>
      <c r="L325" s="11">
        <v>1</v>
      </c>
      <c r="M325" s="11">
        <v>1</v>
      </c>
      <c r="N325" s="11">
        <v>2</v>
      </c>
      <c r="O325" s="11">
        <v>2</v>
      </c>
      <c r="P325" s="11">
        <v>4</v>
      </c>
      <c r="Q325" s="11">
        <v>3</v>
      </c>
      <c r="R325" s="11">
        <v>3</v>
      </c>
      <c r="S325" s="11">
        <v>1</v>
      </c>
      <c r="T325" s="11">
        <v>2</v>
      </c>
      <c r="U325" s="10">
        <v>3</v>
      </c>
      <c r="V325" s="6">
        <f t="shared" ca="1" si="20"/>
        <v>30.048086232460932</v>
      </c>
      <c r="W325" s="6">
        <f t="shared" ca="1" si="20"/>
        <v>29.936985208841289</v>
      </c>
      <c r="X325" s="6">
        <f t="shared" ca="1" si="20"/>
        <v>29.730207229212592</v>
      </c>
      <c r="Y325" s="6">
        <f t="shared" ca="1" si="19"/>
        <v>30.146333411256879</v>
      </c>
      <c r="Z325" s="6">
        <f t="shared" ca="1" si="21"/>
        <v>29.730207229212592</v>
      </c>
      <c r="AA325" s="6">
        <f t="shared" ca="1" si="22"/>
        <v>3</v>
      </c>
    </row>
    <row r="326" spans="1:27">
      <c r="A326" s="11">
        <v>325</v>
      </c>
      <c r="B326" s="12">
        <v>1</v>
      </c>
      <c r="C326" s="11">
        <v>1</v>
      </c>
      <c r="D326" s="11">
        <v>1</v>
      </c>
      <c r="E326" s="11">
        <v>4</v>
      </c>
      <c r="F326" s="11">
        <v>1</v>
      </c>
      <c r="G326" s="11">
        <v>5</v>
      </c>
      <c r="H326" s="11">
        <v>5</v>
      </c>
      <c r="I326" s="11">
        <v>5</v>
      </c>
      <c r="J326" s="11">
        <v>1</v>
      </c>
      <c r="K326" s="11">
        <v>1</v>
      </c>
      <c r="L326" s="11">
        <v>1</v>
      </c>
      <c r="M326" s="11">
        <v>1</v>
      </c>
      <c r="N326" s="11">
        <v>4</v>
      </c>
      <c r="O326" s="11">
        <v>3</v>
      </c>
      <c r="P326" s="11">
        <v>2</v>
      </c>
      <c r="Q326" s="11">
        <v>1</v>
      </c>
      <c r="R326" s="11">
        <v>3</v>
      </c>
      <c r="S326" s="11">
        <v>1</v>
      </c>
      <c r="T326" s="11">
        <v>2</v>
      </c>
      <c r="U326" s="10">
        <v>5</v>
      </c>
      <c r="V326" s="6">
        <f t="shared" ca="1" si="20"/>
        <v>59.76306182262077</v>
      </c>
      <c r="W326" s="6">
        <f t="shared" ca="1" si="20"/>
        <v>60.214391719189884</v>
      </c>
      <c r="X326" s="6">
        <f t="shared" ca="1" si="20"/>
        <v>59.747879477157568</v>
      </c>
      <c r="Y326" s="6">
        <f t="shared" ca="1" si="19"/>
        <v>60.290042190675862</v>
      </c>
      <c r="Z326" s="6">
        <f t="shared" ca="1" si="21"/>
        <v>59.747879477157568</v>
      </c>
      <c r="AA326" s="6">
        <f t="shared" ca="1" si="22"/>
        <v>3</v>
      </c>
    </row>
    <row r="327" spans="1:27">
      <c r="A327" s="11">
        <v>326</v>
      </c>
      <c r="B327" s="12">
        <v>3</v>
      </c>
      <c r="C327" s="11">
        <v>4</v>
      </c>
      <c r="D327" s="11">
        <v>1</v>
      </c>
      <c r="E327" s="11">
        <v>2</v>
      </c>
      <c r="F327" s="11">
        <v>2</v>
      </c>
      <c r="G327" s="11">
        <v>4</v>
      </c>
      <c r="H327" s="11">
        <v>4</v>
      </c>
      <c r="I327" s="11">
        <v>2</v>
      </c>
      <c r="J327" s="11">
        <v>2</v>
      </c>
      <c r="K327" s="11">
        <v>2</v>
      </c>
      <c r="L327" s="11">
        <v>3</v>
      </c>
      <c r="M327" s="11">
        <v>2</v>
      </c>
      <c r="N327" s="11">
        <v>2</v>
      </c>
      <c r="O327" s="11">
        <v>4</v>
      </c>
      <c r="P327" s="11">
        <v>4</v>
      </c>
      <c r="Q327" s="11">
        <v>1</v>
      </c>
      <c r="R327" s="11">
        <v>2</v>
      </c>
      <c r="S327" s="11">
        <v>3</v>
      </c>
      <c r="T327" s="11">
        <v>2</v>
      </c>
      <c r="U327" s="10">
        <v>5</v>
      </c>
      <c r="V327" s="6">
        <f t="shared" ca="1" si="20"/>
        <v>26.096875164832881</v>
      </c>
      <c r="W327" s="6">
        <f t="shared" ca="1" si="20"/>
        <v>26.085776435471544</v>
      </c>
      <c r="X327" s="6">
        <f t="shared" ca="1" si="20"/>
        <v>25.882470518681245</v>
      </c>
      <c r="Y327" s="6">
        <f t="shared" ca="1" si="19"/>
        <v>26.343784186088673</v>
      </c>
      <c r="Z327" s="6">
        <f t="shared" ca="1" si="21"/>
        <v>25.882470518681245</v>
      </c>
      <c r="AA327" s="6">
        <f t="shared" ca="1" si="22"/>
        <v>3</v>
      </c>
    </row>
    <row r="328" spans="1:27">
      <c r="A328" s="11">
        <v>327</v>
      </c>
      <c r="B328" s="12">
        <v>2</v>
      </c>
      <c r="C328" s="11">
        <v>1</v>
      </c>
      <c r="D328" s="11">
        <v>2</v>
      </c>
      <c r="E328" s="11">
        <v>4</v>
      </c>
      <c r="F328" s="11">
        <v>2</v>
      </c>
      <c r="G328" s="11">
        <v>4</v>
      </c>
      <c r="H328" s="11">
        <v>2</v>
      </c>
      <c r="I328" s="11">
        <v>1</v>
      </c>
      <c r="J328" s="11">
        <v>1</v>
      </c>
      <c r="K328" s="11">
        <v>4</v>
      </c>
      <c r="L328" s="11">
        <v>1</v>
      </c>
      <c r="M328" s="11">
        <v>2</v>
      </c>
      <c r="N328" s="11">
        <v>2</v>
      </c>
      <c r="O328" s="11">
        <v>5</v>
      </c>
      <c r="P328" s="11">
        <v>5</v>
      </c>
      <c r="Q328" s="11">
        <v>1</v>
      </c>
      <c r="R328" s="11">
        <v>1</v>
      </c>
      <c r="S328" s="11">
        <v>2</v>
      </c>
      <c r="T328" s="11">
        <v>4</v>
      </c>
      <c r="U328" s="10">
        <v>1</v>
      </c>
      <c r="V328" s="6">
        <f t="shared" ca="1" si="20"/>
        <v>46.423620698411362</v>
      </c>
      <c r="W328" s="6">
        <f t="shared" ca="1" si="20"/>
        <v>47.308032650014077</v>
      </c>
      <c r="X328" s="6">
        <f t="shared" ca="1" si="20"/>
        <v>46.746626232251195</v>
      </c>
      <c r="Y328" s="6">
        <f t="shared" ca="1" si="19"/>
        <v>46.751286606471332</v>
      </c>
      <c r="Z328" s="6">
        <f t="shared" ca="1" si="21"/>
        <v>46.423620698411362</v>
      </c>
      <c r="AA328" s="6">
        <f t="shared" ca="1" si="22"/>
        <v>1</v>
      </c>
    </row>
    <row r="329" spans="1:27">
      <c r="A329" s="11">
        <v>328</v>
      </c>
      <c r="B329" s="12">
        <v>3</v>
      </c>
      <c r="C329" s="11">
        <v>3</v>
      </c>
      <c r="D329" s="11">
        <v>3</v>
      </c>
      <c r="E329" s="11">
        <v>3</v>
      </c>
      <c r="F329" s="11">
        <v>3</v>
      </c>
      <c r="G329" s="11">
        <v>3</v>
      </c>
      <c r="H329" s="11">
        <v>3</v>
      </c>
      <c r="I329" s="11">
        <v>3</v>
      </c>
      <c r="J329" s="11">
        <v>3</v>
      </c>
      <c r="K329" s="11">
        <v>3</v>
      </c>
      <c r="L329" s="11">
        <v>3</v>
      </c>
      <c r="M329" s="11">
        <v>3</v>
      </c>
      <c r="N329" s="11">
        <v>3</v>
      </c>
      <c r="O329" s="11">
        <v>3</v>
      </c>
      <c r="P329" s="11">
        <v>3</v>
      </c>
      <c r="Q329" s="11">
        <v>3</v>
      </c>
      <c r="R329" s="11">
        <v>3</v>
      </c>
      <c r="S329" s="11">
        <v>3</v>
      </c>
      <c r="T329" s="11">
        <v>3</v>
      </c>
      <c r="U329" s="10">
        <v>3</v>
      </c>
      <c r="V329" s="6">
        <f t="shared" ca="1" si="20"/>
        <v>9.7592630879910717E-3</v>
      </c>
      <c r="W329" s="6">
        <f t="shared" ca="1" si="20"/>
        <v>1.5615414248899848E-2</v>
      </c>
      <c r="X329" s="6">
        <f t="shared" ca="1" si="20"/>
        <v>1.1583342454920906E-2</v>
      </c>
      <c r="Y329" s="6">
        <f t="shared" ca="1" si="19"/>
        <v>1.0603563737897758E-2</v>
      </c>
      <c r="Z329" s="6">
        <f t="shared" ca="1" si="21"/>
        <v>9.7592630879910717E-3</v>
      </c>
      <c r="AA329" s="6">
        <f t="shared" ca="1" si="22"/>
        <v>1</v>
      </c>
    </row>
    <row r="330" spans="1:27">
      <c r="A330" s="11">
        <v>329</v>
      </c>
      <c r="B330" s="12">
        <v>3</v>
      </c>
      <c r="C330" s="11">
        <v>1</v>
      </c>
      <c r="D330" s="11">
        <v>1</v>
      </c>
      <c r="E330" s="11">
        <v>4</v>
      </c>
      <c r="F330" s="11">
        <v>3</v>
      </c>
      <c r="G330" s="11">
        <v>4</v>
      </c>
      <c r="H330" s="11">
        <v>4</v>
      </c>
      <c r="I330" s="11">
        <v>2</v>
      </c>
      <c r="J330" s="11">
        <v>1</v>
      </c>
      <c r="K330" s="11">
        <v>2</v>
      </c>
      <c r="L330" s="11">
        <v>2</v>
      </c>
      <c r="M330" s="11">
        <v>2</v>
      </c>
      <c r="N330" s="11">
        <v>2</v>
      </c>
      <c r="O330" s="11">
        <v>4</v>
      </c>
      <c r="P330" s="11">
        <v>3</v>
      </c>
      <c r="Q330" s="11">
        <v>2</v>
      </c>
      <c r="R330" s="11">
        <v>2</v>
      </c>
      <c r="S330" s="11">
        <v>2</v>
      </c>
      <c r="T330" s="11">
        <v>1</v>
      </c>
      <c r="U330" s="10">
        <v>4</v>
      </c>
      <c r="V330" s="6">
        <f t="shared" ca="1" si="20"/>
        <v>29.004105981299929</v>
      </c>
      <c r="W330" s="6">
        <f t="shared" ca="1" si="20"/>
        <v>29.183023419063709</v>
      </c>
      <c r="X330" s="6">
        <f t="shared" ca="1" si="20"/>
        <v>28.698039313562663</v>
      </c>
      <c r="Y330" s="6">
        <f t="shared" ca="1" si="19"/>
        <v>29.3226569958032</v>
      </c>
      <c r="Z330" s="6">
        <f t="shared" ca="1" si="21"/>
        <v>28.698039313562663</v>
      </c>
      <c r="AA330" s="6">
        <f t="shared" ca="1" si="22"/>
        <v>3</v>
      </c>
    </row>
    <row r="331" spans="1:27">
      <c r="A331" s="11">
        <v>330</v>
      </c>
      <c r="B331" s="12">
        <v>2</v>
      </c>
      <c r="C331" s="11">
        <v>2</v>
      </c>
      <c r="D331" s="11">
        <v>2</v>
      </c>
      <c r="E331" s="11">
        <v>4</v>
      </c>
      <c r="F331" s="11">
        <v>2</v>
      </c>
      <c r="G331" s="11">
        <v>4</v>
      </c>
      <c r="H331" s="11">
        <v>2</v>
      </c>
      <c r="I331" s="11">
        <v>1</v>
      </c>
      <c r="J331" s="11">
        <v>1</v>
      </c>
      <c r="K331" s="11">
        <v>4</v>
      </c>
      <c r="L331" s="11">
        <v>1</v>
      </c>
      <c r="M331" s="11">
        <v>1</v>
      </c>
      <c r="N331" s="11">
        <v>1</v>
      </c>
      <c r="O331" s="11">
        <v>1</v>
      </c>
      <c r="P331" s="11">
        <v>4</v>
      </c>
      <c r="Q331" s="11">
        <v>1</v>
      </c>
      <c r="R331" s="11">
        <v>1</v>
      </c>
      <c r="S331" s="11">
        <v>4</v>
      </c>
      <c r="T331" s="11">
        <v>2</v>
      </c>
      <c r="U331" s="10">
        <v>2</v>
      </c>
      <c r="V331" s="6">
        <f t="shared" ca="1" si="20"/>
        <v>43.633749563302892</v>
      </c>
      <c r="W331" s="6">
        <f t="shared" ca="1" si="20"/>
        <v>43.920298385923132</v>
      </c>
      <c r="X331" s="6">
        <f t="shared" ca="1" si="20"/>
        <v>44.043486561376248</v>
      </c>
      <c r="Y331" s="6">
        <f t="shared" ca="1" si="19"/>
        <v>43.960629843905124</v>
      </c>
      <c r="Z331" s="6">
        <f t="shared" ca="1" si="21"/>
        <v>43.633749563302892</v>
      </c>
      <c r="AA331" s="6">
        <f t="shared" ca="1" si="22"/>
        <v>1</v>
      </c>
    </row>
    <row r="332" spans="1:27">
      <c r="A332" s="11">
        <v>331</v>
      </c>
      <c r="B332" s="12">
        <v>2</v>
      </c>
      <c r="C332" s="11">
        <v>2</v>
      </c>
      <c r="D332" s="11">
        <v>2</v>
      </c>
      <c r="E332" s="11">
        <v>4</v>
      </c>
      <c r="F332" s="11">
        <v>2</v>
      </c>
      <c r="G332" s="11">
        <v>2</v>
      </c>
      <c r="H332" s="11">
        <v>2</v>
      </c>
      <c r="I332" s="11">
        <v>2</v>
      </c>
      <c r="J332" s="11">
        <v>2</v>
      </c>
      <c r="K332" s="11">
        <v>3</v>
      </c>
      <c r="L332" s="11">
        <v>1</v>
      </c>
      <c r="M332" s="11">
        <v>1</v>
      </c>
      <c r="N332" s="11">
        <v>1</v>
      </c>
      <c r="O332" s="11">
        <v>4</v>
      </c>
      <c r="P332" s="11">
        <v>4</v>
      </c>
      <c r="Q332" s="11">
        <v>2</v>
      </c>
      <c r="R332" s="11">
        <v>2</v>
      </c>
      <c r="S332" s="11">
        <v>2</v>
      </c>
      <c r="T332" s="11">
        <v>2</v>
      </c>
      <c r="U332" s="10">
        <v>2</v>
      </c>
      <c r="V332" s="6">
        <f t="shared" ca="1" si="20"/>
        <v>27.688987609867226</v>
      </c>
      <c r="W332" s="6">
        <f t="shared" ca="1" si="20"/>
        <v>28.210791335151715</v>
      </c>
      <c r="X332" s="6">
        <f t="shared" ca="1" si="20"/>
        <v>28.018646485618493</v>
      </c>
      <c r="Y332" s="6">
        <f t="shared" ca="1" si="19"/>
        <v>27.919306702156693</v>
      </c>
      <c r="Z332" s="6">
        <f t="shared" ca="1" si="21"/>
        <v>27.688987609867226</v>
      </c>
      <c r="AA332" s="6">
        <f t="shared" ca="1" si="22"/>
        <v>1</v>
      </c>
    </row>
    <row r="333" spans="1:27">
      <c r="A333" s="11">
        <v>332</v>
      </c>
      <c r="B333" s="12">
        <v>2</v>
      </c>
      <c r="C333" s="11">
        <v>2</v>
      </c>
      <c r="D333" s="11">
        <v>1</v>
      </c>
      <c r="E333" s="11">
        <v>2</v>
      </c>
      <c r="F333" s="11">
        <v>3</v>
      </c>
      <c r="G333" s="11">
        <v>2</v>
      </c>
      <c r="H333" s="11">
        <v>2</v>
      </c>
      <c r="I333" s="11">
        <v>2</v>
      </c>
      <c r="J333" s="11">
        <v>5</v>
      </c>
      <c r="K333" s="11">
        <v>5</v>
      </c>
      <c r="L333" s="11">
        <v>1</v>
      </c>
      <c r="M333" s="11">
        <v>1</v>
      </c>
      <c r="N333" s="11">
        <v>1</v>
      </c>
      <c r="O333" s="11">
        <v>1</v>
      </c>
      <c r="P333" s="11">
        <v>5</v>
      </c>
      <c r="Q333" s="11">
        <v>1</v>
      </c>
      <c r="R333" s="11">
        <v>5</v>
      </c>
      <c r="S333" s="11">
        <v>4</v>
      </c>
      <c r="T333" s="11">
        <v>5</v>
      </c>
      <c r="U333" s="10">
        <v>1</v>
      </c>
      <c r="V333" s="6">
        <f t="shared" ca="1" si="20"/>
        <v>54.713052217825435</v>
      </c>
      <c r="W333" s="6">
        <f t="shared" ca="1" si="20"/>
        <v>54.751035697178445</v>
      </c>
      <c r="X333" s="6">
        <f t="shared" ca="1" si="20"/>
        <v>55.129199609723834</v>
      </c>
      <c r="Y333" s="6">
        <f t="shared" ca="1" si="19"/>
        <v>54.61834867560961</v>
      </c>
      <c r="Z333" s="6">
        <f t="shared" ca="1" si="21"/>
        <v>54.61834867560961</v>
      </c>
      <c r="AA333" s="6">
        <f t="shared" ca="1" si="22"/>
        <v>4</v>
      </c>
    </row>
    <row r="334" spans="1:27">
      <c r="A334" s="11">
        <v>333</v>
      </c>
      <c r="B334" s="12">
        <v>5</v>
      </c>
      <c r="C334" s="11">
        <v>2</v>
      </c>
      <c r="D334" s="11">
        <v>2</v>
      </c>
      <c r="E334" s="11">
        <v>4</v>
      </c>
      <c r="F334" s="11">
        <v>2</v>
      </c>
      <c r="G334" s="11">
        <v>2</v>
      </c>
      <c r="H334" s="11">
        <v>3</v>
      </c>
      <c r="I334" s="11">
        <v>2</v>
      </c>
      <c r="J334" s="11">
        <v>2</v>
      </c>
      <c r="K334" s="11">
        <v>2</v>
      </c>
      <c r="L334" s="11">
        <v>1</v>
      </c>
      <c r="M334" s="11">
        <v>4</v>
      </c>
      <c r="N334" s="11">
        <v>2</v>
      </c>
      <c r="O334" s="11">
        <v>4</v>
      </c>
      <c r="P334" s="11">
        <v>5</v>
      </c>
      <c r="Q334" s="11">
        <v>2</v>
      </c>
      <c r="R334" s="11">
        <v>2</v>
      </c>
      <c r="S334" s="11">
        <v>3</v>
      </c>
      <c r="T334" s="11">
        <v>4</v>
      </c>
      <c r="U334" s="10">
        <v>2</v>
      </c>
      <c r="V334" s="6">
        <f t="shared" ca="1" si="20"/>
        <v>26.633232264677545</v>
      </c>
      <c r="W334" s="6">
        <f t="shared" ca="1" si="20"/>
        <v>27.176377114967146</v>
      </c>
      <c r="X334" s="6">
        <f t="shared" ca="1" si="20"/>
        <v>26.819352424272669</v>
      </c>
      <c r="Y334" s="6">
        <f t="shared" ca="1" si="19"/>
        <v>26.877755389669431</v>
      </c>
      <c r="Z334" s="6">
        <f t="shared" ca="1" si="21"/>
        <v>26.633232264677545</v>
      </c>
      <c r="AA334" s="6">
        <f t="shared" ca="1" si="22"/>
        <v>1</v>
      </c>
    </row>
    <row r="335" spans="1:27">
      <c r="A335" s="11">
        <v>334</v>
      </c>
      <c r="B335" s="12">
        <v>3</v>
      </c>
      <c r="C335" s="11">
        <v>2</v>
      </c>
      <c r="D335" s="11">
        <v>5</v>
      </c>
      <c r="E335" s="11">
        <v>3</v>
      </c>
      <c r="F335" s="11">
        <v>3</v>
      </c>
      <c r="G335" s="11">
        <v>4</v>
      </c>
      <c r="H335" s="11">
        <v>2</v>
      </c>
      <c r="I335" s="11">
        <v>2</v>
      </c>
      <c r="J335" s="11">
        <v>1</v>
      </c>
      <c r="K335" s="11">
        <v>1</v>
      </c>
      <c r="L335" s="11">
        <v>1</v>
      </c>
      <c r="M335" s="11">
        <v>2</v>
      </c>
      <c r="N335" s="11">
        <v>2</v>
      </c>
      <c r="O335" s="11">
        <v>4</v>
      </c>
      <c r="P335" s="11">
        <v>3</v>
      </c>
      <c r="Q335" s="11">
        <v>2</v>
      </c>
      <c r="R335" s="11">
        <v>3</v>
      </c>
      <c r="S335" s="11">
        <v>2</v>
      </c>
      <c r="T335" s="11">
        <v>2</v>
      </c>
      <c r="U335" s="10">
        <v>4</v>
      </c>
      <c r="V335" s="6">
        <f t="shared" ca="1" si="20"/>
        <v>26.712969027044544</v>
      </c>
      <c r="W335" s="6">
        <f t="shared" ca="1" si="20"/>
        <v>27.244453953389897</v>
      </c>
      <c r="X335" s="6">
        <f t="shared" ca="1" si="20"/>
        <v>26.844652349070294</v>
      </c>
      <c r="Y335" s="6">
        <f t="shared" ca="1" si="19"/>
        <v>27.474666000897567</v>
      </c>
      <c r="Z335" s="6">
        <f t="shared" ca="1" si="21"/>
        <v>26.712969027044544</v>
      </c>
      <c r="AA335" s="6">
        <f t="shared" ca="1" si="22"/>
        <v>1</v>
      </c>
    </row>
    <row r="336" spans="1:27">
      <c r="A336" s="11">
        <v>335</v>
      </c>
      <c r="B336" s="12">
        <v>3</v>
      </c>
      <c r="C336" s="11">
        <v>4</v>
      </c>
      <c r="D336" s="11">
        <v>2</v>
      </c>
      <c r="E336" s="11">
        <v>3</v>
      </c>
      <c r="F336" s="11">
        <v>5</v>
      </c>
      <c r="G336" s="11">
        <v>5</v>
      </c>
      <c r="H336" s="11">
        <v>3</v>
      </c>
      <c r="I336" s="11">
        <v>1</v>
      </c>
      <c r="J336" s="11">
        <v>1</v>
      </c>
      <c r="K336" s="11">
        <v>3</v>
      </c>
      <c r="L336" s="11">
        <v>3</v>
      </c>
      <c r="M336" s="11">
        <v>1</v>
      </c>
      <c r="N336" s="11">
        <v>2</v>
      </c>
      <c r="O336" s="11">
        <v>5</v>
      </c>
      <c r="P336" s="11">
        <v>5</v>
      </c>
      <c r="Q336" s="11">
        <v>3</v>
      </c>
      <c r="R336" s="11">
        <v>1</v>
      </c>
      <c r="S336" s="11">
        <v>5</v>
      </c>
      <c r="T336" s="11">
        <v>2</v>
      </c>
      <c r="U336" s="10">
        <v>5</v>
      </c>
      <c r="V336" s="6">
        <f t="shared" ca="1" si="20"/>
        <v>44.277889621551935</v>
      </c>
      <c r="W336" s="6">
        <f t="shared" ca="1" si="20"/>
        <v>43.820407450391194</v>
      </c>
      <c r="X336" s="6">
        <f t="shared" ca="1" si="20"/>
        <v>43.924801789173351</v>
      </c>
      <c r="Y336" s="6">
        <f t="shared" ca="1" si="19"/>
        <v>44.391897835200673</v>
      </c>
      <c r="Z336" s="6">
        <f t="shared" ca="1" si="21"/>
        <v>43.820407450391194</v>
      </c>
      <c r="AA336" s="6">
        <f t="shared" ca="1" si="22"/>
        <v>2</v>
      </c>
    </row>
    <row r="337" spans="1:27">
      <c r="A337" s="11">
        <v>336</v>
      </c>
      <c r="B337" s="12">
        <v>4</v>
      </c>
      <c r="C337" s="11">
        <v>4</v>
      </c>
      <c r="D337" s="11">
        <v>1</v>
      </c>
      <c r="E337" s="11">
        <v>1</v>
      </c>
      <c r="F337" s="11">
        <v>4</v>
      </c>
      <c r="G337" s="11">
        <v>2</v>
      </c>
      <c r="H337" s="11">
        <v>3</v>
      </c>
      <c r="I337" s="11">
        <v>3</v>
      </c>
      <c r="J337" s="11">
        <v>3</v>
      </c>
      <c r="K337" s="11">
        <v>3</v>
      </c>
      <c r="L337" s="11">
        <v>1</v>
      </c>
      <c r="M337" s="11">
        <v>4</v>
      </c>
      <c r="N337" s="11">
        <v>1</v>
      </c>
      <c r="O337" s="11">
        <v>1</v>
      </c>
      <c r="P337" s="11">
        <v>5</v>
      </c>
      <c r="Q337" s="11">
        <v>1</v>
      </c>
      <c r="R337" s="11">
        <v>3</v>
      </c>
      <c r="S337" s="11">
        <v>4</v>
      </c>
      <c r="T337" s="11">
        <v>3</v>
      </c>
      <c r="U337" s="10">
        <v>2</v>
      </c>
      <c r="V337" s="6">
        <f t="shared" ca="1" si="20"/>
        <v>35.021781125030152</v>
      </c>
      <c r="W337" s="6">
        <f t="shared" ca="1" si="20"/>
        <v>34.609370345860576</v>
      </c>
      <c r="X337" s="6">
        <f t="shared" ca="1" si="20"/>
        <v>35.137078668811363</v>
      </c>
      <c r="Y337" s="6">
        <f t="shared" ca="1" si="19"/>
        <v>35.008391402009359</v>
      </c>
      <c r="Z337" s="6">
        <f t="shared" ca="1" si="21"/>
        <v>34.609370345860576</v>
      </c>
      <c r="AA337" s="6">
        <f t="shared" ca="1" si="22"/>
        <v>2</v>
      </c>
    </row>
    <row r="338" spans="1:27">
      <c r="A338" s="11">
        <v>337</v>
      </c>
      <c r="B338" s="12">
        <v>3</v>
      </c>
      <c r="C338" s="11">
        <v>1</v>
      </c>
      <c r="D338" s="11">
        <v>2</v>
      </c>
      <c r="E338" s="11">
        <v>2</v>
      </c>
      <c r="F338" s="11">
        <v>2</v>
      </c>
      <c r="G338" s="11">
        <v>1</v>
      </c>
      <c r="H338" s="11">
        <v>2</v>
      </c>
      <c r="I338" s="11">
        <v>2</v>
      </c>
      <c r="J338" s="11">
        <v>3</v>
      </c>
      <c r="K338" s="11">
        <v>2</v>
      </c>
      <c r="L338" s="11">
        <v>3</v>
      </c>
      <c r="M338" s="11">
        <v>2</v>
      </c>
      <c r="N338" s="11">
        <v>3</v>
      </c>
      <c r="O338" s="11">
        <v>4</v>
      </c>
      <c r="P338" s="11">
        <v>3</v>
      </c>
      <c r="Q338" s="11">
        <v>2</v>
      </c>
      <c r="R338" s="11">
        <v>2</v>
      </c>
      <c r="S338" s="11">
        <v>2</v>
      </c>
      <c r="T338" s="11">
        <v>4</v>
      </c>
      <c r="U338" s="10">
        <v>3</v>
      </c>
      <c r="V338" s="6">
        <f t="shared" ca="1" si="20"/>
        <v>19.842921221510682</v>
      </c>
      <c r="W338" s="6">
        <f t="shared" ca="1" si="20"/>
        <v>20.535446729667303</v>
      </c>
      <c r="X338" s="6">
        <f t="shared" ca="1" si="20"/>
        <v>20.014442354175188</v>
      </c>
      <c r="Y338" s="6">
        <f t="shared" ca="1" si="19"/>
        <v>19.92675869664544</v>
      </c>
      <c r="Z338" s="6">
        <f t="shared" ca="1" si="21"/>
        <v>19.842921221510682</v>
      </c>
      <c r="AA338" s="6">
        <f t="shared" ca="1" si="22"/>
        <v>1</v>
      </c>
    </row>
    <row r="339" spans="1:27">
      <c r="A339" s="11">
        <v>338</v>
      </c>
      <c r="B339" s="12">
        <v>2</v>
      </c>
      <c r="C339" s="11">
        <v>3</v>
      </c>
      <c r="D339" s="11">
        <v>2</v>
      </c>
      <c r="E339" s="11">
        <v>3</v>
      </c>
      <c r="F339" s="11">
        <v>4</v>
      </c>
      <c r="G339" s="11">
        <v>4</v>
      </c>
      <c r="H339" s="11">
        <v>3</v>
      </c>
      <c r="I339" s="11">
        <v>3</v>
      </c>
      <c r="J339" s="11">
        <v>2</v>
      </c>
      <c r="K339" s="11">
        <v>4</v>
      </c>
      <c r="L339" s="11">
        <v>2</v>
      </c>
      <c r="M339" s="11">
        <v>2</v>
      </c>
      <c r="N339" s="11">
        <v>2</v>
      </c>
      <c r="O339" s="11">
        <v>4</v>
      </c>
      <c r="P339" s="11">
        <v>4</v>
      </c>
      <c r="Q339" s="11">
        <v>3</v>
      </c>
      <c r="R339" s="11">
        <v>3</v>
      </c>
      <c r="S339" s="11">
        <v>4</v>
      </c>
      <c r="T339" s="11">
        <v>4</v>
      </c>
      <c r="U339" s="10">
        <v>5</v>
      </c>
      <c r="V339" s="6">
        <f t="shared" ca="1" si="20"/>
        <v>17.09989584457632</v>
      </c>
      <c r="W339" s="6">
        <f t="shared" ca="1" si="20"/>
        <v>16.949345569541556</v>
      </c>
      <c r="X339" s="6">
        <f t="shared" ca="1" si="20"/>
        <v>17.041102861777716</v>
      </c>
      <c r="Y339" s="6">
        <f t="shared" ca="1" si="19"/>
        <v>17.150531532303194</v>
      </c>
      <c r="Z339" s="6">
        <f t="shared" ca="1" si="21"/>
        <v>16.949345569541556</v>
      </c>
      <c r="AA339" s="6">
        <f t="shared" ca="1" si="22"/>
        <v>2</v>
      </c>
    </row>
    <row r="340" spans="1:27">
      <c r="A340" s="11">
        <v>339</v>
      </c>
      <c r="B340" s="12">
        <v>4</v>
      </c>
      <c r="C340" s="11">
        <v>2</v>
      </c>
      <c r="D340" s="11">
        <v>1</v>
      </c>
      <c r="E340" s="11">
        <v>3</v>
      </c>
      <c r="F340" s="11">
        <v>4</v>
      </c>
      <c r="G340" s="11">
        <v>3</v>
      </c>
      <c r="H340" s="11">
        <v>3</v>
      </c>
      <c r="I340" s="11">
        <v>2</v>
      </c>
      <c r="J340" s="11">
        <v>2</v>
      </c>
      <c r="K340" s="11">
        <v>2</v>
      </c>
      <c r="L340" s="11">
        <v>1</v>
      </c>
      <c r="M340" s="11">
        <v>2</v>
      </c>
      <c r="N340" s="11">
        <v>2</v>
      </c>
      <c r="O340" s="11">
        <v>2</v>
      </c>
      <c r="P340" s="11">
        <v>4</v>
      </c>
      <c r="Q340" s="11">
        <v>1</v>
      </c>
      <c r="R340" s="11">
        <v>3</v>
      </c>
      <c r="S340" s="11">
        <v>2</v>
      </c>
      <c r="T340" s="11">
        <v>3</v>
      </c>
      <c r="U340" s="10">
        <v>2</v>
      </c>
      <c r="V340" s="6">
        <f t="shared" ca="1" si="20"/>
        <v>23.808942573537053</v>
      </c>
      <c r="W340" s="6">
        <f t="shared" ca="1" si="20"/>
        <v>23.882231567255836</v>
      </c>
      <c r="X340" s="6">
        <f t="shared" ca="1" si="20"/>
        <v>23.692035097828398</v>
      </c>
      <c r="Y340" s="6">
        <f t="shared" ca="1" si="19"/>
        <v>24.178025607441203</v>
      </c>
      <c r="Z340" s="6">
        <f t="shared" ca="1" si="21"/>
        <v>23.692035097828398</v>
      </c>
      <c r="AA340" s="6">
        <f t="shared" ca="1" si="22"/>
        <v>3</v>
      </c>
    </row>
    <row r="341" spans="1:27">
      <c r="A341" s="8">
        <v>340</v>
      </c>
      <c r="B341" s="9">
        <v>3</v>
      </c>
      <c r="C341" s="8">
        <v>2</v>
      </c>
      <c r="D341" s="8">
        <v>1</v>
      </c>
      <c r="E341" s="8">
        <v>2</v>
      </c>
      <c r="F341" s="8">
        <v>2</v>
      </c>
      <c r="G341" s="8">
        <v>1</v>
      </c>
      <c r="H341" s="8">
        <v>3</v>
      </c>
      <c r="I341" s="8">
        <v>2</v>
      </c>
      <c r="J341" s="8">
        <v>2</v>
      </c>
      <c r="K341" s="8">
        <v>2</v>
      </c>
      <c r="L341" s="8">
        <v>3</v>
      </c>
      <c r="M341" s="8">
        <v>3</v>
      </c>
      <c r="N341" s="8">
        <v>3</v>
      </c>
      <c r="O341" s="8">
        <v>4</v>
      </c>
      <c r="P341" s="8">
        <v>4</v>
      </c>
      <c r="Q341" s="8">
        <v>1</v>
      </c>
      <c r="R341" s="8">
        <v>2</v>
      </c>
      <c r="S341" s="8">
        <v>1</v>
      </c>
      <c r="T341" s="8">
        <v>3</v>
      </c>
      <c r="U341" s="7">
        <v>3</v>
      </c>
      <c r="V341" s="6">
        <f t="shared" ca="1" si="20"/>
        <v>24.914194188809333</v>
      </c>
      <c r="W341" s="6">
        <f t="shared" ca="1" si="20"/>
        <v>25.411460003743507</v>
      </c>
      <c r="X341" s="6">
        <f t="shared" ca="1" si="20"/>
        <v>24.88437944869008</v>
      </c>
      <c r="Y341" s="6">
        <f t="shared" ca="1" si="19"/>
        <v>25.074340487525731</v>
      </c>
      <c r="Z341" s="6">
        <f t="shared" ca="1" si="21"/>
        <v>24.88437944869008</v>
      </c>
      <c r="AA341" s="6">
        <f t="shared" ca="1" si="22"/>
        <v>3</v>
      </c>
    </row>
    <row r="344" spans="1:27">
      <c r="A344" s="22"/>
      <c r="B344" s="22">
        <f>AVERAGE(B2:B341)</f>
        <v>2.8323529411764707</v>
      </c>
      <c r="C344" s="22">
        <f t="shared" ref="C344:U344" si="23">AVERAGE(C2:C341)</f>
        <v>2.302941176470588</v>
      </c>
      <c r="D344" s="22">
        <f t="shared" si="23"/>
        <v>2.1205882352941177</v>
      </c>
      <c r="E344" s="22">
        <f t="shared" si="23"/>
        <v>2.7941176470588234</v>
      </c>
      <c r="F344" s="22">
        <f t="shared" si="23"/>
        <v>2.9794117647058824</v>
      </c>
      <c r="G344" s="22">
        <f t="shared" si="23"/>
        <v>3.0676470588235296</v>
      </c>
      <c r="H344" s="22">
        <f t="shared" si="23"/>
        <v>2.9205882352941175</v>
      </c>
      <c r="I344" s="22">
        <f t="shared" si="23"/>
        <v>2.2411764705882353</v>
      </c>
      <c r="J344" s="22">
        <f t="shared" si="23"/>
        <v>2.0499999999999998</v>
      </c>
      <c r="K344" s="22">
        <f t="shared" si="23"/>
        <v>2.8264705882352943</v>
      </c>
      <c r="L344" s="22">
        <f t="shared" si="23"/>
        <v>2.0205882352941176</v>
      </c>
      <c r="M344" s="22">
        <f t="shared" si="23"/>
        <v>2.2970588235294116</v>
      </c>
      <c r="N344" s="22">
        <f t="shared" si="23"/>
        <v>2.6323529411764706</v>
      </c>
      <c r="O344" s="22">
        <f t="shared" si="23"/>
        <v>3.4617647058823531</v>
      </c>
      <c r="P344" s="22">
        <f t="shared" si="23"/>
        <v>3.5941176470588236</v>
      </c>
      <c r="Q344" s="22">
        <f t="shared" si="23"/>
        <v>2.4294117647058822</v>
      </c>
      <c r="R344" s="22">
        <f t="shared" si="23"/>
        <v>2.4970588235294118</v>
      </c>
      <c r="S344" s="22">
        <f t="shared" si="23"/>
        <v>2.7735294117647058</v>
      </c>
      <c r="T344" s="22">
        <f t="shared" si="23"/>
        <v>2.8911764705882352</v>
      </c>
      <c r="U344" s="22">
        <f t="shared" si="23"/>
        <v>3.1558823529411764</v>
      </c>
    </row>
    <row r="345" spans="1:27">
      <c r="A345" s="22"/>
      <c r="B345" s="22">
        <f>STDEV(B2:B341)</f>
        <v>1.1692270063889219</v>
      </c>
      <c r="C345" s="22">
        <f t="shared" ref="C345:U345" si="24">STDEV(C2:C341)</f>
        <v>1.0158000448133775</v>
      </c>
      <c r="D345" s="22">
        <f t="shared" si="24"/>
        <v>1.0890388205493609</v>
      </c>
      <c r="E345" s="22">
        <f t="shared" si="24"/>
        <v>1.0938123572368363</v>
      </c>
      <c r="F345" s="22">
        <f t="shared" si="24"/>
        <v>1.171006528643914</v>
      </c>
      <c r="G345" s="22">
        <f t="shared" si="24"/>
        <v>1.0963120231285526</v>
      </c>
      <c r="H345" s="22">
        <f t="shared" si="24"/>
        <v>0.86364782091038017</v>
      </c>
      <c r="I345" s="22">
        <f t="shared" si="24"/>
        <v>0.97191161180204455</v>
      </c>
      <c r="J345" s="22">
        <f t="shared" si="24"/>
        <v>0.98086410642873267</v>
      </c>
      <c r="K345" s="22">
        <f t="shared" si="24"/>
        <v>1.0401409093131524</v>
      </c>
      <c r="L345" s="22">
        <f t="shared" si="24"/>
        <v>0.96678752527906797</v>
      </c>
      <c r="M345" s="22">
        <f t="shared" si="24"/>
        <v>1.0433057553682201</v>
      </c>
      <c r="N345" s="22">
        <f t="shared" si="24"/>
        <v>1.0740216342957332</v>
      </c>
      <c r="O345" s="22">
        <f t="shared" si="24"/>
        <v>1.2004214367834716</v>
      </c>
      <c r="P345" s="22">
        <f t="shared" si="24"/>
        <v>1.1183482279592962</v>
      </c>
      <c r="Q345" s="22">
        <f t="shared" si="24"/>
        <v>1.1253395192072044</v>
      </c>
      <c r="R345" s="22">
        <f t="shared" si="24"/>
        <v>1.1037574051887198</v>
      </c>
      <c r="S345" s="22">
        <f t="shared" si="24"/>
        <v>1.1844142282280943</v>
      </c>
      <c r="T345" s="22">
        <f t="shared" si="24"/>
        <v>1.1117149437957972</v>
      </c>
      <c r="U345" s="22">
        <f t="shared" si="24"/>
        <v>1.3155953992603195</v>
      </c>
    </row>
  </sheetData>
  <phoneticPr fontId="1" type="noConversion"/>
  <conditionalFormatting sqref="AK2:AK21">
    <cfRule type="cellIs" dxfId="9" priority="4" operator="lessThan">
      <formula>-0.5</formula>
    </cfRule>
    <cfRule type="cellIs" dxfId="8" priority="5" operator="greaterThan">
      <formula>0.5</formula>
    </cfRule>
  </conditionalFormatting>
  <conditionalFormatting sqref="AE2:AH21">
    <cfRule type="cellIs" dxfId="7" priority="1" operator="greaterThan">
      <formula>3.5</formula>
    </cfRule>
    <cfRule type="cellIs" dxfId="6" priority="2" operator="between">
      <formula>2</formula>
      <formula>2.5</formula>
    </cfRule>
    <cfRule type="cellIs" dxfId="5" priority="3" operator="lessThan">
      <formula>2</formula>
    </cfRule>
  </conditionalFormatting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45"/>
  <sheetViews>
    <sheetView topLeftCell="R1" zoomScaleNormal="100" workbookViewId="0">
      <selection activeCell="AE2" sqref="AE2:AH21"/>
    </sheetView>
  </sheetViews>
  <sheetFormatPr defaultRowHeight="16.2"/>
  <cols>
    <col min="1" max="21" width="3.77734375" style="6" customWidth="1"/>
    <col min="22" max="26" width="8.88671875" style="6"/>
    <col min="27" max="27" width="10.33203125" style="6" bestFit="1" customWidth="1"/>
    <col min="28" max="29" width="8.88671875" style="6"/>
    <col min="30" max="30" width="26.88671875" style="6" customWidth="1"/>
    <col min="31" max="34" width="8.77734375" style="6" customWidth="1"/>
    <col min="35" max="35" width="46.5546875" style="6" customWidth="1"/>
    <col min="36" max="36" width="8.88671875" style="6"/>
    <col min="37" max="37" width="8.88671875" style="6" customWidth="1"/>
    <col min="38" max="16384" width="8.88671875" style="6"/>
  </cols>
  <sheetData>
    <row r="1" spans="1:37" ht="16.8" thickBot="1">
      <c r="A1" s="16" t="s">
        <v>70</v>
      </c>
      <c r="B1" s="16" t="s">
        <v>45</v>
      </c>
      <c r="C1" s="16" t="s">
        <v>44</v>
      </c>
      <c r="D1" s="16" t="s">
        <v>43</v>
      </c>
      <c r="E1" s="16" t="s">
        <v>42</v>
      </c>
      <c r="F1" s="16" t="s">
        <v>41</v>
      </c>
      <c r="G1" s="16" t="s">
        <v>40</v>
      </c>
      <c r="H1" s="16" t="s">
        <v>39</v>
      </c>
      <c r="I1" s="16" t="s">
        <v>38</v>
      </c>
      <c r="J1" s="16" t="s">
        <v>37</v>
      </c>
      <c r="K1" s="16" t="s">
        <v>36</v>
      </c>
      <c r="L1" s="16" t="s">
        <v>35</v>
      </c>
      <c r="M1" s="16" t="s">
        <v>34</v>
      </c>
      <c r="N1" s="16" t="s">
        <v>33</v>
      </c>
      <c r="O1" s="16" t="s">
        <v>32</v>
      </c>
      <c r="P1" s="16" t="s">
        <v>31</v>
      </c>
      <c r="Q1" s="16" t="s">
        <v>30</v>
      </c>
      <c r="R1" s="16" t="s">
        <v>29</v>
      </c>
      <c r="S1" s="16" t="s">
        <v>28</v>
      </c>
      <c r="T1" s="16" t="s">
        <v>27</v>
      </c>
      <c r="U1" s="16" t="s">
        <v>26</v>
      </c>
      <c r="V1" s="6" t="s">
        <v>0</v>
      </c>
      <c r="W1" s="6" t="s">
        <v>1</v>
      </c>
      <c r="X1" s="6" t="s">
        <v>2</v>
      </c>
      <c r="Y1" s="6" t="s">
        <v>46</v>
      </c>
      <c r="Z1" s="6" t="s">
        <v>3</v>
      </c>
      <c r="AA1" s="6" t="s">
        <v>68</v>
      </c>
      <c r="AB1" s="6" t="s">
        <v>67</v>
      </c>
      <c r="AD1" s="17"/>
      <c r="AE1" s="17" t="s">
        <v>0</v>
      </c>
      <c r="AF1" s="17" t="s">
        <v>1</v>
      </c>
      <c r="AG1" s="17" t="s">
        <v>2</v>
      </c>
      <c r="AH1" s="17" t="s">
        <v>46</v>
      </c>
    </row>
    <row r="2" spans="1:37" ht="15" customHeight="1" thickBot="1">
      <c r="A2" s="14">
        <v>1</v>
      </c>
      <c r="B2" s="15">
        <v>1</v>
      </c>
      <c r="C2" s="14">
        <v>1</v>
      </c>
      <c r="D2" s="14">
        <v>1</v>
      </c>
      <c r="E2" s="14">
        <v>1</v>
      </c>
      <c r="F2" s="14">
        <v>1</v>
      </c>
      <c r="G2" s="14">
        <v>3</v>
      </c>
      <c r="H2" s="14">
        <v>3</v>
      </c>
      <c r="I2" s="14">
        <v>3</v>
      </c>
      <c r="J2" s="14">
        <v>5</v>
      </c>
      <c r="K2" s="14">
        <v>1</v>
      </c>
      <c r="L2" s="14">
        <v>1</v>
      </c>
      <c r="M2" s="14">
        <v>3</v>
      </c>
      <c r="N2" s="14">
        <v>1</v>
      </c>
      <c r="O2" s="14">
        <v>1</v>
      </c>
      <c r="P2" s="14">
        <v>3</v>
      </c>
      <c r="Q2" s="14">
        <v>1</v>
      </c>
      <c r="R2" s="14">
        <v>1</v>
      </c>
      <c r="S2" s="14">
        <v>5</v>
      </c>
      <c r="T2" s="14">
        <v>5</v>
      </c>
      <c r="U2" s="13">
        <v>1</v>
      </c>
      <c r="V2" s="6">
        <f t="shared" ref="V2:V65" si="0">SUMXMY2($B2:$U2,AE$2:AE$21)</f>
        <v>71.495963070423443</v>
      </c>
      <c r="W2" s="6">
        <f t="shared" ref="W2:W65" si="1">SUMXMY2($B2:$U2,AF$2:AF$21)</f>
        <v>64.864161513558514</v>
      </c>
      <c r="X2" s="6">
        <f t="shared" ref="X2:X65" si="2">SUMXMY2($B2:$U2,AG$2:AG$21)</f>
        <v>57.731045299995891</v>
      </c>
      <c r="Y2" s="6">
        <f t="shared" ref="Y2:Y65" si="3">SUMXMY2($B2:$U2,AH$2:AH$21)</f>
        <v>46.50846807099888</v>
      </c>
      <c r="Z2" s="6">
        <f t="shared" ref="Z2:Z65" si="4">MIN(V2:Y2)</f>
        <v>46.50846807099888</v>
      </c>
      <c r="AA2" s="6">
        <f>IF(Z2=V2,1,IF(Z2=W2,2,IF(Z2=X2,3,4)))</f>
        <v>4</v>
      </c>
      <c r="AB2" s="6">
        <f>SUM(Z2:Z341)</f>
        <v>6696.6452937632512</v>
      </c>
      <c r="AD2" s="17" t="s">
        <v>47</v>
      </c>
      <c r="AE2" s="20">
        <v>2.6111077079672622</v>
      </c>
      <c r="AF2" s="20">
        <v>2.8480965225474892</v>
      </c>
      <c r="AG2" s="20">
        <v>3.2857138234372409</v>
      </c>
      <c r="AH2" s="20">
        <v>2.5612208028229282</v>
      </c>
      <c r="AI2" s="4" t="s">
        <v>24</v>
      </c>
      <c r="AK2" s="21"/>
    </row>
    <row r="3" spans="1:37" ht="15" customHeight="1" thickBot="1">
      <c r="A3" s="11">
        <v>2</v>
      </c>
      <c r="B3" s="12">
        <v>2</v>
      </c>
      <c r="C3" s="11">
        <v>4</v>
      </c>
      <c r="D3" s="11">
        <v>4</v>
      </c>
      <c r="E3" s="11">
        <v>4</v>
      </c>
      <c r="F3" s="11">
        <v>2</v>
      </c>
      <c r="G3" s="11">
        <v>2</v>
      </c>
      <c r="H3" s="11">
        <v>3</v>
      </c>
      <c r="I3" s="11">
        <v>2</v>
      </c>
      <c r="J3" s="11">
        <v>2</v>
      </c>
      <c r="K3" s="11">
        <v>2</v>
      </c>
      <c r="L3" s="11">
        <v>2</v>
      </c>
      <c r="M3" s="11">
        <v>2</v>
      </c>
      <c r="N3" s="11">
        <v>2</v>
      </c>
      <c r="O3" s="11">
        <v>2</v>
      </c>
      <c r="P3" s="11">
        <v>4</v>
      </c>
      <c r="Q3" s="11">
        <v>2</v>
      </c>
      <c r="R3" s="11">
        <v>2</v>
      </c>
      <c r="S3" s="11">
        <v>3</v>
      </c>
      <c r="T3" s="11">
        <v>3</v>
      </c>
      <c r="U3" s="10">
        <v>3</v>
      </c>
      <c r="V3" s="6">
        <f t="shared" si="0"/>
        <v>21.135008639001541</v>
      </c>
      <c r="W3" s="6">
        <f t="shared" si="1"/>
        <v>15.927497599908618</v>
      </c>
      <c r="X3" s="6">
        <f t="shared" si="2"/>
        <v>23.884845479018647</v>
      </c>
      <c r="Y3" s="6">
        <f t="shared" si="3"/>
        <v>14.549259201922874</v>
      </c>
      <c r="Z3" s="6">
        <f t="shared" si="4"/>
        <v>14.549259201922874</v>
      </c>
      <c r="AA3" s="6">
        <f t="shared" ref="AA3:AA66" si="5">IF(Z3=V3,1,IF(Z3=W3,2,IF(Z3=X3,3,4)))</f>
        <v>4</v>
      </c>
      <c r="AD3" s="17" t="s">
        <v>48</v>
      </c>
      <c r="AE3" s="20">
        <v>2.2916649715343484</v>
      </c>
      <c r="AF3" s="20">
        <v>3.0379742970871653</v>
      </c>
      <c r="AG3" s="20">
        <v>2.0109851270659833</v>
      </c>
      <c r="AH3" s="20">
        <v>1.9897939858855458</v>
      </c>
      <c r="AI3" s="3" t="s">
        <v>23</v>
      </c>
      <c r="AK3" s="21"/>
    </row>
    <row r="4" spans="1:37" ht="15" customHeight="1" thickBot="1">
      <c r="A4" s="11">
        <v>3</v>
      </c>
      <c r="B4" s="12">
        <v>2</v>
      </c>
      <c r="C4" s="11">
        <v>2</v>
      </c>
      <c r="D4" s="11">
        <v>2</v>
      </c>
      <c r="E4" s="11">
        <v>4</v>
      </c>
      <c r="F4" s="11">
        <v>3</v>
      </c>
      <c r="G4" s="11">
        <v>2</v>
      </c>
      <c r="H4" s="11">
        <v>2</v>
      </c>
      <c r="I4" s="11">
        <v>1</v>
      </c>
      <c r="J4" s="11">
        <v>2</v>
      </c>
      <c r="K4" s="11">
        <v>2</v>
      </c>
      <c r="L4" s="11">
        <v>1</v>
      </c>
      <c r="M4" s="11">
        <v>3</v>
      </c>
      <c r="N4" s="11">
        <v>3</v>
      </c>
      <c r="O4" s="11">
        <v>4</v>
      </c>
      <c r="P4" s="11">
        <v>5</v>
      </c>
      <c r="Q4" s="11">
        <v>5</v>
      </c>
      <c r="R4" s="11">
        <v>3</v>
      </c>
      <c r="S4" s="11">
        <v>2</v>
      </c>
      <c r="T4" s="11">
        <v>4</v>
      </c>
      <c r="U4" s="10">
        <v>2</v>
      </c>
      <c r="V4" s="6">
        <f t="shared" si="0"/>
        <v>20.357236619411225</v>
      </c>
      <c r="W4" s="6">
        <f t="shared" si="1"/>
        <v>29.421153484399291</v>
      </c>
      <c r="X4" s="6">
        <f t="shared" si="2"/>
        <v>20.698102074228625</v>
      </c>
      <c r="Y4" s="6">
        <f t="shared" si="3"/>
        <v>27.018659565653905</v>
      </c>
      <c r="Z4" s="6">
        <f t="shared" si="4"/>
        <v>20.357236619411225</v>
      </c>
      <c r="AA4" s="6">
        <f t="shared" si="5"/>
        <v>1</v>
      </c>
      <c r="AD4" s="17" t="s">
        <v>49</v>
      </c>
      <c r="AE4" s="20">
        <v>1.8194394806787892</v>
      </c>
      <c r="AF4" s="20">
        <v>3.2025285988935659</v>
      </c>
      <c r="AG4" s="20">
        <v>1.3736457336062764</v>
      </c>
      <c r="AH4" s="20">
        <v>2.1632662123786428</v>
      </c>
      <c r="AI4" s="3" t="s">
        <v>22</v>
      </c>
      <c r="AK4" s="21"/>
    </row>
    <row r="5" spans="1:37" ht="15" customHeight="1" thickBot="1">
      <c r="A5" s="11">
        <v>4</v>
      </c>
      <c r="B5" s="12">
        <v>2</v>
      </c>
      <c r="C5" s="11">
        <v>2</v>
      </c>
      <c r="D5" s="11">
        <v>2</v>
      </c>
      <c r="E5" s="11">
        <v>3</v>
      </c>
      <c r="F5" s="11">
        <v>3</v>
      </c>
      <c r="G5" s="11">
        <v>4</v>
      </c>
      <c r="H5" s="11">
        <v>3</v>
      </c>
      <c r="I5" s="11">
        <v>2</v>
      </c>
      <c r="J5" s="11">
        <v>2</v>
      </c>
      <c r="K5" s="11">
        <v>2</v>
      </c>
      <c r="L5" s="11">
        <v>3</v>
      </c>
      <c r="M5" s="11">
        <v>3</v>
      </c>
      <c r="N5" s="11">
        <v>1</v>
      </c>
      <c r="O5" s="11">
        <v>2</v>
      </c>
      <c r="P5" s="11">
        <v>2</v>
      </c>
      <c r="Q5" s="11">
        <v>3</v>
      </c>
      <c r="R5" s="11">
        <v>1</v>
      </c>
      <c r="S5" s="11">
        <v>2</v>
      </c>
      <c r="T5" s="11">
        <v>2</v>
      </c>
      <c r="U5" s="10">
        <v>4</v>
      </c>
      <c r="V5" s="6">
        <f t="shared" si="0"/>
        <v>18.718311265860791</v>
      </c>
      <c r="W5" s="6">
        <f t="shared" si="1"/>
        <v>22.433802708104583</v>
      </c>
      <c r="X5" s="6">
        <f t="shared" si="2"/>
        <v>25.643172495324443</v>
      </c>
      <c r="Y5" s="6">
        <f t="shared" si="3"/>
        <v>13.651305573686452</v>
      </c>
      <c r="Z5" s="6">
        <f t="shared" si="4"/>
        <v>13.651305573686452</v>
      </c>
      <c r="AA5" s="6">
        <f t="shared" si="5"/>
        <v>4</v>
      </c>
      <c r="AD5" s="17" t="s">
        <v>50</v>
      </c>
      <c r="AE5" s="20">
        <v>3.6666608680705322</v>
      </c>
      <c r="AF5" s="20">
        <v>3.1772116642038783</v>
      </c>
      <c r="AG5" s="20">
        <v>2.4285676611020222</v>
      </c>
      <c r="AH5" s="20">
        <v>2.1836684514987112</v>
      </c>
      <c r="AI5" s="3" t="s">
        <v>21</v>
      </c>
      <c r="AK5" s="21"/>
    </row>
    <row r="6" spans="1:37" ht="15" customHeight="1" thickBot="1">
      <c r="A6" s="11">
        <v>5</v>
      </c>
      <c r="B6" s="12">
        <v>2</v>
      </c>
      <c r="C6" s="11">
        <v>3</v>
      </c>
      <c r="D6" s="11">
        <v>2</v>
      </c>
      <c r="E6" s="11">
        <v>3</v>
      </c>
      <c r="F6" s="11">
        <v>1</v>
      </c>
      <c r="G6" s="11">
        <v>3</v>
      </c>
      <c r="H6" s="11">
        <v>3</v>
      </c>
      <c r="I6" s="11">
        <v>4</v>
      </c>
      <c r="J6" s="11">
        <v>4</v>
      </c>
      <c r="K6" s="11">
        <v>5</v>
      </c>
      <c r="L6" s="11">
        <v>3</v>
      </c>
      <c r="M6" s="11">
        <v>4</v>
      </c>
      <c r="N6" s="11">
        <v>4</v>
      </c>
      <c r="O6" s="11">
        <v>2</v>
      </c>
      <c r="P6" s="11">
        <v>2</v>
      </c>
      <c r="Q6" s="11">
        <v>2</v>
      </c>
      <c r="R6" s="11">
        <v>4</v>
      </c>
      <c r="S6" s="11">
        <v>5</v>
      </c>
      <c r="T6" s="11">
        <v>2</v>
      </c>
      <c r="U6" s="10">
        <v>2</v>
      </c>
      <c r="V6" s="6">
        <f t="shared" si="0"/>
        <v>50.690560180711557</v>
      </c>
      <c r="W6" s="6">
        <f t="shared" si="1"/>
        <v>30.281990946398317</v>
      </c>
      <c r="X6" s="6">
        <f t="shared" si="2"/>
        <v>44.038761406029558</v>
      </c>
      <c r="Y6" s="6">
        <f t="shared" si="3"/>
        <v>38.896238668956983</v>
      </c>
      <c r="Z6" s="6">
        <f t="shared" si="4"/>
        <v>30.281990946398317</v>
      </c>
      <c r="AA6" s="6">
        <f t="shared" si="5"/>
        <v>2</v>
      </c>
      <c r="AD6" s="17" t="s">
        <v>51</v>
      </c>
      <c r="AE6" s="20">
        <v>3.569440419292238</v>
      </c>
      <c r="AF6" s="20">
        <v>3.5822758524440337</v>
      </c>
      <c r="AG6" s="20">
        <v>2.6593380729169924</v>
      </c>
      <c r="AH6" s="20">
        <v>2.357140008637638</v>
      </c>
      <c r="AI6" s="3" t="s">
        <v>20</v>
      </c>
      <c r="AK6" s="21"/>
    </row>
    <row r="7" spans="1:37" ht="15" customHeight="1" thickBot="1">
      <c r="A7" s="11">
        <v>6</v>
      </c>
      <c r="B7" s="12">
        <v>2</v>
      </c>
      <c r="C7" s="11">
        <v>2</v>
      </c>
      <c r="D7" s="11">
        <v>2</v>
      </c>
      <c r="E7" s="11">
        <v>2</v>
      </c>
      <c r="F7" s="11">
        <v>5</v>
      </c>
      <c r="G7" s="11">
        <v>3</v>
      </c>
      <c r="H7" s="11">
        <v>4</v>
      </c>
      <c r="I7" s="11">
        <v>3</v>
      </c>
      <c r="J7" s="11">
        <v>1</v>
      </c>
      <c r="K7" s="11">
        <v>2</v>
      </c>
      <c r="L7" s="11">
        <v>1</v>
      </c>
      <c r="M7" s="11">
        <v>2</v>
      </c>
      <c r="N7" s="11">
        <v>1</v>
      </c>
      <c r="O7" s="11">
        <v>5</v>
      </c>
      <c r="P7" s="11">
        <v>1</v>
      </c>
      <c r="Q7" s="11">
        <v>3</v>
      </c>
      <c r="R7" s="11">
        <v>1</v>
      </c>
      <c r="S7" s="11">
        <v>2</v>
      </c>
      <c r="T7" s="11">
        <v>2</v>
      </c>
      <c r="U7" s="10">
        <v>2</v>
      </c>
      <c r="V7" s="6">
        <f t="shared" si="0"/>
        <v>22.940528450245623</v>
      </c>
      <c r="W7" s="6">
        <f t="shared" si="1"/>
        <v>39.699578393649482</v>
      </c>
      <c r="X7" s="6">
        <f t="shared" si="2"/>
        <v>31.599151906680206</v>
      </c>
      <c r="Y7" s="6">
        <f t="shared" si="3"/>
        <v>30.304366181913316</v>
      </c>
      <c r="Z7" s="6">
        <f t="shared" si="4"/>
        <v>22.940528450245623</v>
      </c>
      <c r="AA7" s="6">
        <f t="shared" si="5"/>
        <v>1</v>
      </c>
      <c r="AD7" s="17" t="s">
        <v>52</v>
      </c>
      <c r="AE7" s="20">
        <v>3.4999976278336478</v>
      </c>
      <c r="AF7" s="20">
        <v>3.1645543869464685</v>
      </c>
      <c r="AG7" s="20">
        <v>3.0439521136819612</v>
      </c>
      <c r="AH7" s="20">
        <v>2.6938747519355806</v>
      </c>
      <c r="AI7" s="3" t="s">
        <v>19</v>
      </c>
      <c r="AK7" s="21"/>
    </row>
    <row r="8" spans="1:37" ht="15" customHeight="1" thickBot="1">
      <c r="A8" s="11">
        <v>7</v>
      </c>
      <c r="B8" s="12">
        <v>5</v>
      </c>
      <c r="C8" s="11">
        <v>1</v>
      </c>
      <c r="D8" s="11">
        <v>1</v>
      </c>
      <c r="E8" s="11">
        <v>2</v>
      </c>
      <c r="F8" s="11">
        <v>5</v>
      </c>
      <c r="G8" s="11">
        <v>3</v>
      </c>
      <c r="H8" s="11">
        <v>3</v>
      </c>
      <c r="I8" s="11">
        <v>3</v>
      </c>
      <c r="J8" s="11">
        <v>1</v>
      </c>
      <c r="K8" s="11">
        <v>5</v>
      </c>
      <c r="L8" s="11">
        <v>1</v>
      </c>
      <c r="M8" s="11">
        <v>1</v>
      </c>
      <c r="N8" s="11">
        <v>1</v>
      </c>
      <c r="O8" s="11">
        <v>5</v>
      </c>
      <c r="P8" s="11">
        <v>1</v>
      </c>
      <c r="Q8" s="11">
        <v>3</v>
      </c>
      <c r="R8" s="11">
        <v>1</v>
      </c>
      <c r="S8" s="11">
        <v>3</v>
      </c>
      <c r="T8" s="11">
        <v>2</v>
      </c>
      <c r="U8" s="10">
        <v>2</v>
      </c>
      <c r="V8" s="6">
        <f t="shared" si="0"/>
        <v>32.02388312420792</v>
      </c>
      <c r="W8" s="6">
        <f t="shared" si="1"/>
        <v>52.598386284150102</v>
      </c>
      <c r="X8" s="6">
        <f t="shared" si="2"/>
        <v>37.434335394707624</v>
      </c>
      <c r="Y8" s="6">
        <f t="shared" si="3"/>
        <v>45.22272751890268</v>
      </c>
      <c r="Z8" s="6">
        <f t="shared" si="4"/>
        <v>32.02388312420792</v>
      </c>
      <c r="AA8" s="6">
        <f t="shared" si="5"/>
        <v>1</v>
      </c>
      <c r="AD8" s="17" t="s">
        <v>53</v>
      </c>
      <c r="AE8" s="20">
        <v>3.1111086788657483</v>
      </c>
      <c r="AF8" s="20">
        <v>3.1518990650151206</v>
      </c>
      <c r="AG8" s="20">
        <v>2.7582391305648892</v>
      </c>
      <c r="AH8" s="20">
        <v>2.7448963151183201</v>
      </c>
      <c r="AI8" s="3" t="s">
        <v>18</v>
      </c>
      <c r="AK8" s="21"/>
    </row>
    <row r="9" spans="1:37" ht="15" customHeight="1" thickBot="1">
      <c r="A9" s="11">
        <v>8</v>
      </c>
      <c r="B9" s="12">
        <v>2</v>
      </c>
      <c r="C9" s="11">
        <v>2</v>
      </c>
      <c r="D9" s="11">
        <v>3</v>
      </c>
      <c r="E9" s="11">
        <v>3</v>
      </c>
      <c r="F9" s="11">
        <v>2</v>
      </c>
      <c r="G9" s="11">
        <v>4</v>
      </c>
      <c r="H9" s="11">
        <v>3</v>
      </c>
      <c r="I9" s="11">
        <v>2</v>
      </c>
      <c r="J9" s="11">
        <v>2</v>
      </c>
      <c r="K9" s="11">
        <v>4</v>
      </c>
      <c r="L9" s="11">
        <v>2</v>
      </c>
      <c r="M9" s="11">
        <v>2</v>
      </c>
      <c r="N9" s="11">
        <v>2</v>
      </c>
      <c r="O9" s="11">
        <v>4</v>
      </c>
      <c r="P9" s="11">
        <v>4</v>
      </c>
      <c r="Q9" s="11">
        <v>4</v>
      </c>
      <c r="R9" s="11">
        <v>2</v>
      </c>
      <c r="S9" s="11">
        <v>2</v>
      </c>
      <c r="T9" s="11">
        <v>4</v>
      </c>
      <c r="U9" s="10">
        <v>4</v>
      </c>
      <c r="V9" s="6">
        <f t="shared" si="0"/>
        <v>10.357253173302951</v>
      </c>
      <c r="W9" s="6">
        <f t="shared" si="1"/>
        <v>15.737677101241944</v>
      </c>
      <c r="X9" s="6">
        <f t="shared" si="2"/>
        <v>17.434383173598381</v>
      </c>
      <c r="Y9" s="6">
        <f t="shared" si="3"/>
        <v>15.957412307798071</v>
      </c>
      <c r="Z9" s="6">
        <f t="shared" si="4"/>
        <v>10.357253173302951</v>
      </c>
      <c r="AA9" s="6">
        <f t="shared" si="5"/>
        <v>1</v>
      </c>
      <c r="AD9" s="17" t="s">
        <v>54</v>
      </c>
      <c r="AE9" s="20">
        <v>2.1805520721173561</v>
      </c>
      <c r="AF9" s="20">
        <v>2.8480998568685738</v>
      </c>
      <c r="AG9" s="20">
        <v>1.967028916968361</v>
      </c>
      <c r="AH9" s="20">
        <v>2.0510186754187858</v>
      </c>
      <c r="AI9" s="3" t="s">
        <v>17</v>
      </c>
      <c r="AK9" s="21"/>
    </row>
    <row r="10" spans="1:37" ht="15" customHeight="1" thickBot="1">
      <c r="A10" s="11">
        <v>9</v>
      </c>
      <c r="B10" s="12">
        <v>3</v>
      </c>
      <c r="C10" s="11">
        <v>3</v>
      </c>
      <c r="D10" s="11">
        <v>1</v>
      </c>
      <c r="E10" s="11">
        <v>2</v>
      </c>
      <c r="F10" s="11">
        <v>2</v>
      </c>
      <c r="G10" s="11">
        <v>4</v>
      </c>
      <c r="H10" s="11">
        <v>3</v>
      </c>
      <c r="I10" s="11">
        <v>2</v>
      </c>
      <c r="J10" s="11">
        <v>2</v>
      </c>
      <c r="K10" s="11">
        <v>3</v>
      </c>
      <c r="L10" s="11">
        <v>2</v>
      </c>
      <c r="M10" s="11">
        <v>3</v>
      </c>
      <c r="N10" s="11">
        <v>3</v>
      </c>
      <c r="O10" s="11">
        <v>3</v>
      </c>
      <c r="P10" s="11">
        <v>4</v>
      </c>
      <c r="Q10" s="11">
        <v>4</v>
      </c>
      <c r="R10" s="11">
        <v>3</v>
      </c>
      <c r="S10" s="11">
        <v>2</v>
      </c>
      <c r="T10" s="11">
        <v>3</v>
      </c>
      <c r="U10" s="10">
        <v>3</v>
      </c>
      <c r="V10" s="6">
        <f t="shared" si="0"/>
        <v>13.579449914302558</v>
      </c>
      <c r="W10" s="6">
        <f t="shared" si="1"/>
        <v>16.421172025227769</v>
      </c>
      <c r="X10" s="6">
        <f t="shared" si="2"/>
        <v>9.2146472971602424</v>
      </c>
      <c r="Y10" s="6">
        <f t="shared" si="3"/>
        <v>12.406406346854718</v>
      </c>
      <c r="Z10" s="6">
        <f t="shared" si="4"/>
        <v>9.2146472971602424</v>
      </c>
      <c r="AA10" s="6">
        <f t="shared" si="5"/>
        <v>3</v>
      </c>
      <c r="AD10" s="17" t="s">
        <v>55</v>
      </c>
      <c r="AE10" s="20">
        <v>1.6944429477445668</v>
      </c>
      <c r="AF10" s="20">
        <v>2.797460492332597</v>
      </c>
      <c r="AG10" s="20">
        <v>1.8351594931414024</v>
      </c>
      <c r="AH10" s="20">
        <v>1.908157072615533</v>
      </c>
      <c r="AI10" s="3" t="s">
        <v>16</v>
      </c>
      <c r="AK10" s="21"/>
    </row>
    <row r="11" spans="1:37" ht="15" customHeight="1" thickBot="1">
      <c r="A11" s="11">
        <v>10</v>
      </c>
      <c r="B11" s="12">
        <v>1</v>
      </c>
      <c r="C11" s="11">
        <v>2</v>
      </c>
      <c r="D11" s="11">
        <v>5</v>
      </c>
      <c r="E11" s="11">
        <v>2</v>
      </c>
      <c r="F11" s="11">
        <v>5</v>
      </c>
      <c r="G11" s="11">
        <v>5</v>
      </c>
      <c r="H11" s="11">
        <v>3</v>
      </c>
      <c r="I11" s="11">
        <v>2</v>
      </c>
      <c r="J11" s="11">
        <v>3</v>
      </c>
      <c r="K11" s="11">
        <v>4</v>
      </c>
      <c r="L11" s="11">
        <v>5</v>
      </c>
      <c r="M11" s="11">
        <v>4</v>
      </c>
      <c r="N11" s="11">
        <v>2</v>
      </c>
      <c r="O11" s="11">
        <v>4</v>
      </c>
      <c r="P11" s="11">
        <v>1</v>
      </c>
      <c r="Q11" s="11">
        <v>2</v>
      </c>
      <c r="R11" s="11">
        <v>3</v>
      </c>
      <c r="S11" s="11">
        <v>3</v>
      </c>
      <c r="T11" s="11">
        <v>3</v>
      </c>
      <c r="U11" s="10">
        <v>3</v>
      </c>
      <c r="V11" s="6">
        <f t="shared" si="0"/>
        <v>49.190616558856746</v>
      </c>
      <c r="W11" s="6">
        <f t="shared" si="1"/>
        <v>30.712386365137622</v>
      </c>
      <c r="X11" s="6">
        <f t="shared" si="2"/>
        <v>55.621113123466024</v>
      </c>
      <c r="Y11" s="6">
        <f t="shared" si="3"/>
        <v>48.079908678132341</v>
      </c>
      <c r="Z11" s="6">
        <f t="shared" si="4"/>
        <v>30.712386365137622</v>
      </c>
      <c r="AA11" s="6">
        <f t="shared" si="5"/>
        <v>2</v>
      </c>
      <c r="AD11" s="17" t="s">
        <v>56</v>
      </c>
      <c r="AE11" s="20">
        <v>3.0694413552386743</v>
      </c>
      <c r="AF11" s="20">
        <v>3.0632833716447321</v>
      </c>
      <c r="AG11" s="20">
        <v>3.0109899300858571</v>
      </c>
      <c r="AH11" s="20">
        <v>2.2857189553684352</v>
      </c>
      <c r="AI11" s="3" t="s">
        <v>15</v>
      </c>
      <c r="AK11" s="21"/>
    </row>
    <row r="12" spans="1:37" ht="15" customHeight="1" thickBot="1">
      <c r="A12" s="11">
        <v>11</v>
      </c>
      <c r="B12" s="12">
        <v>3</v>
      </c>
      <c r="C12" s="11">
        <v>2</v>
      </c>
      <c r="D12" s="11">
        <v>1</v>
      </c>
      <c r="E12" s="11">
        <v>4</v>
      </c>
      <c r="F12" s="11">
        <v>2</v>
      </c>
      <c r="G12" s="11">
        <v>2</v>
      </c>
      <c r="H12" s="11">
        <v>4</v>
      </c>
      <c r="I12" s="11">
        <v>2</v>
      </c>
      <c r="J12" s="11">
        <v>2</v>
      </c>
      <c r="K12" s="11">
        <v>5</v>
      </c>
      <c r="L12" s="11">
        <v>4</v>
      </c>
      <c r="M12" s="11">
        <v>2</v>
      </c>
      <c r="N12" s="11">
        <v>2</v>
      </c>
      <c r="O12" s="11">
        <v>5</v>
      </c>
      <c r="P12" s="11">
        <v>3</v>
      </c>
      <c r="Q12" s="11">
        <v>3</v>
      </c>
      <c r="R12" s="11">
        <v>2</v>
      </c>
      <c r="S12" s="11">
        <v>3</v>
      </c>
      <c r="T12" s="11">
        <v>3</v>
      </c>
      <c r="U12" s="10">
        <v>3</v>
      </c>
      <c r="V12" s="6">
        <f t="shared" si="0"/>
        <v>17.412830027124365</v>
      </c>
      <c r="W12" s="6">
        <f t="shared" si="1"/>
        <v>24.345277493131988</v>
      </c>
      <c r="X12" s="6">
        <f t="shared" si="2"/>
        <v>20.819050886966114</v>
      </c>
      <c r="Y12" s="6">
        <f t="shared" si="3"/>
        <v>27.0390672772721</v>
      </c>
      <c r="Z12" s="6">
        <f t="shared" si="4"/>
        <v>17.412830027124365</v>
      </c>
      <c r="AA12" s="6">
        <f t="shared" si="5"/>
        <v>1</v>
      </c>
      <c r="AD12" s="17" t="s">
        <v>57</v>
      </c>
      <c r="AE12" s="20">
        <v>1.6944365501357941</v>
      </c>
      <c r="AF12" s="20">
        <v>2.911389679678055</v>
      </c>
      <c r="AG12" s="20">
        <v>1.9340611250276643</v>
      </c>
      <c r="AH12" s="20">
        <v>1.6224469182358601</v>
      </c>
      <c r="AI12" s="3" t="s">
        <v>14</v>
      </c>
      <c r="AK12" s="21"/>
    </row>
    <row r="13" spans="1:37" ht="15" customHeight="1" thickBot="1">
      <c r="A13" s="11">
        <v>12</v>
      </c>
      <c r="B13" s="12">
        <v>4</v>
      </c>
      <c r="C13" s="11">
        <v>2</v>
      </c>
      <c r="D13" s="11">
        <v>2</v>
      </c>
      <c r="E13" s="11">
        <v>2</v>
      </c>
      <c r="F13" s="11">
        <v>3</v>
      </c>
      <c r="G13" s="11">
        <v>3</v>
      </c>
      <c r="H13" s="11">
        <v>3</v>
      </c>
      <c r="I13" s="11">
        <v>2</v>
      </c>
      <c r="J13" s="11">
        <v>2</v>
      </c>
      <c r="K13" s="11">
        <v>2</v>
      </c>
      <c r="L13" s="11">
        <v>1</v>
      </c>
      <c r="M13" s="11">
        <v>3</v>
      </c>
      <c r="N13" s="11">
        <v>2</v>
      </c>
      <c r="O13" s="11">
        <v>3</v>
      </c>
      <c r="P13" s="11">
        <v>4</v>
      </c>
      <c r="Q13" s="11">
        <v>3</v>
      </c>
      <c r="R13" s="11">
        <v>3</v>
      </c>
      <c r="S13" s="11">
        <v>2</v>
      </c>
      <c r="T13" s="11">
        <v>2</v>
      </c>
      <c r="U13" s="10">
        <v>3</v>
      </c>
      <c r="V13" s="6">
        <f t="shared" si="0"/>
        <v>12.94055475322725</v>
      </c>
      <c r="W13" s="6">
        <f t="shared" si="1"/>
        <v>17.940143777583344</v>
      </c>
      <c r="X13" s="6">
        <f t="shared" si="2"/>
        <v>8.0936963135824396</v>
      </c>
      <c r="Y13" s="6">
        <f t="shared" si="3"/>
        <v>7.406398480088165</v>
      </c>
      <c r="Z13" s="6">
        <f t="shared" si="4"/>
        <v>7.406398480088165</v>
      </c>
      <c r="AA13" s="6">
        <f t="shared" si="5"/>
        <v>4</v>
      </c>
      <c r="AD13" s="17" t="s">
        <v>58</v>
      </c>
      <c r="AE13" s="20">
        <v>1.6388918496987874</v>
      </c>
      <c r="AF13" s="20">
        <v>2.6962017941590388</v>
      </c>
      <c r="AG13" s="20">
        <v>2.1868111089832913</v>
      </c>
      <c r="AH13" s="20">
        <v>2.5612228800281587</v>
      </c>
      <c r="AI13" s="3" t="s">
        <v>13</v>
      </c>
      <c r="AK13" s="21"/>
    </row>
    <row r="14" spans="1:37" ht="15" customHeight="1" thickBot="1">
      <c r="A14" s="11">
        <v>13</v>
      </c>
      <c r="B14" s="12">
        <v>1</v>
      </c>
      <c r="C14" s="11">
        <v>3</v>
      </c>
      <c r="D14" s="11">
        <v>2</v>
      </c>
      <c r="E14" s="11">
        <v>4</v>
      </c>
      <c r="F14" s="11">
        <v>5</v>
      </c>
      <c r="G14" s="11">
        <v>5</v>
      </c>
      <c r="H14" s="11">
        <v>4</v>
      </c>
      <c r="I14" s="11">
        <v>3</v>
      </c>
      <c r="J14" s="11">
        <v>3</v>
      </c>
      <c r="K14" s="11">
        <v>4</v>
      </c>
      <c r="L14" s="11">
        <v>4</v>
      </c>
      <c r="M14" s="11">
        <v>4</v>
      </c>
      <c r="N14" s="11">
        <v>2</v>
      </c>
      <c r="O14" s="11">
        <v>4</v>
      </c>
      <c r="P14" s="11">
        <v>3</v>
      </c>
      <c r="Q14" s="11">
        <v>3</v>
      </c>
      <c r="R14" s="11">
        <v>4</v>
      </c>
      <c r="S14" s="11">
        <v>4</v>
      </c>
      <c r="T14" s="11">
        <v>3</v>
      </c>
      <c r="U14" s="10">
        <v>2</v>
      </c>
      <c r="V14" s="6">
        <f t="shared" si="0"/>
        <v>30.71842342009581</v>
      </c>
      <c r="W14" s="6">
        <f t="shared" si="1"/>
        <v>21.611112768600528</v>
      </c>
      <c r="X14" s="6">
        <f t="shared" si="2"/>
        <v>39.566305903003496</v>
      </c>
      <c r="Y14" s="6">
        <f t="shared" si="3"/>
        <v>42.937085178363098</v>
      </c>
      <c r="Z14" s="6">
        <f t="shared" si="4"/>
        <v>21.611112768600528</v>
      </c>
      <c r="AA14" s="6">
        <f t="shared" si="5"/>
        <v>2</v>
      </c>
      <c r="AD14" s="17" t="s">
        <v>59</v>
      </c>
      <c r="AE14" s="20">
        <v>2.4166664595801119</v>
      </c>
      <c r="AF14" s="20">
        <v>2.9999970794286637</v>
      </c>
      <c r="AG14" s="20">
        <v>2.7912068491038449</v>
      </c>
      <c r="AH14" s="20">
        <v>2.3469359785917661</v>
      </c>
      <c r="AI14" s="3" t="s">
        <v>12</v>
      </c>
      <c r="AK14" s="21"/>
    </row>
    <row r="15" spans="1:37" ht="15" customHeight="1" thickBot="1">
      <c r="A15" s="11">
        <v>14</v>
      </c>
      <c r="B15" s="12">
        <v>3</v>
      </c>
      <c r="C15" s="11">
        <v>5</v>
      </c>
      <c r="D15" s="11">
        <v>2</v>
      </c>
      <c r="E15" s="11">
        <v>3</v>
      </c>
      <c r="F15" s="11">
        <v>4</v>
      </c>
      <c r="G15" s="11">
        <v>4</v>
      </c>
      <c r="H15" s="11">
        <v>3</v>
      </c>
      <c r="I15" s="11">
        <v>2</v>
      </c>
      <c r="J15" s="11">
        <v>1</v>
      </c>
      <c r="K15" s="11">
        <v>3</v>
      </c>
      <c r="L15" s="11">
        <v>2</v>
      </c>
      <c r="M15" s="11">
        <v>2</v>
      </c>
      <c r="N15" s="11">
        <v>3</v>
      </c>
      <c r="O15" s="11">
        <v>5</v>
      </c>
      <c r="P15" s="11">
        <v>3</v>
      </c>
      <c r="Q15" s="11">
        <v>2</v>
      </c>
      <c r="R15" s="11">
        <v>3</v>
      </c>
      <c r="S15" s="11">
        <v>4</v>
      </c>
      <c r="T15" s="11">
        <v>2</v>
      </c>
      <c r="U15" s="10">
        <v>3</v>
      </c>
      <c r="V15" s="6">
        <f t="shared" si="0"/>
        <v>14.829484445950422</v>
      </c>
      <c r="W15" s="6">
        <f t="shared" si="1"/>
        <v>18.446520792182131</v>
      </c>
      <c r="X15" s="6">
        <f t="shared" si="2"/>
        <v>22.13769736319172</v>
      </c>
      <c r="Y15" s="6">
        <f t="shared" si="3"/>
        <v>23.81460002628301</v>
      </c>
      <c r="Z15" s="6">
        <f t="shared" si="4"/>
        <v>14.829484445950422</v>
      </c>
      <c r="AA15" s="6">
        <f t="shared" si="5"/>
        <v>1</v>
      </c>
      <c r="AD15" s="17" t="s">
        <v>60</v>
      </c>
      <c r="AE15" s="20">
        <v>4.2361069090685746</v>
      </c>
      <c r="AF15" s="20">
        <v>3.1772111650149131</v>
      </c>
      <c r="AG15" s="20">
        <v>3.7582374325716303</v>
      </c>
      <c r="AH15" s="20">
        <v>2.8469365201271475</v>
      </c>
      <c r="AI15" s="3" t="s">
        <v>11</v>
      </c>
      <c r="AK15" s="21"/>
    </row>
    <row r="16" spans="1:37" ht="15" customHeight="1" thickBot="1">
      <c r="A16" s="11">
        <v>15</v>
      </c>
      <c r="B16" s="12">
        <v>4</v>
      </c>
      <c r="C16" s="11">
        <v>4</v>
      </c>
      <c r="D16" s="11">
        <v>2</v>
      </c>
      <c r="E16" s="11">
        <v>2</v>
      </c>
      <c r="F16" s="11">
        <v>4</v>
      </c>
      <c r="G16" s="11">
        <v>3</v>
      </c>
      <c r="H16" s="11">
        <v>3</v>
      </c>
      <c r="I16" s="11">
        <v>2</v>
      </c>
      <c r="J16" s="11">
        <v>2</v>
      </c>
      <c r="K16" s="11">
        <v>3</v>
      </c>
      <c r="L16" s="11">
        <v>2</v>
      </c>
      <c r="M16" s="11">
        <v>2</v>
      </c>
      <c r="N16" s="11">
        <v>2</v>
      </c>
      <c r="O16" s="11">
        <v>2</v>
      </c>
      <c r="P16" s="11">
        <v>3</v>
      </c>
      <c r="Q16" s="11">
        <v>2</v>
      </c>
      <c r="R16" s="11">
        <v>2</v>
      </c>
      <c r="S16" s="11">
        <v>4</v>
      </c>
      <c r="T16" s="11">
        <v>3</v>
      </c>
      <c r="U16" s="10">
        <v>4</v>
      </c>
      <c r="V16" s="6">
        <f t="shared" si="0"/>
        <v>17.468321911885589</v>
      </c>
      <c r="W16" s="6">
        <f t="shared" si="1"/>
        <v>12.77564109471456</v>
      </c>
      <c r="X16" s="6">
        <f t="shared" si="2"/>
        <v>20.555273868573366</v>
      </c>
      <c r="Y16" s="6">
        <f t="shared" si="3"/>
        <v>12.304381101781885</v>
      </c>
      <c r="Z16" s="6">
        <f t="shared" si="4"/>
        <v>12.304381101781885</v>
      </c>
      <c r="AA16" s="6">
        <f t="shared" si="5"/>
        <v>4</v>
      </c>
      <c r="AD16" s="17" t="s">
        <v>61</v>
      </c>
      <c r="AE16" s="20">
        <v>3.722215925591144</v>
      </c>
      <c r="AF16" s="20">
        <v>3.3291106606037886</v>
      </c>
      <c r="AG16" s="20">
        <v>4.1098854149149924</v>
      </c>
      <c r="AH16" s="20">
        <v>3.2346968950804156</v>
      </c>
      <c r="AI16" s="3" t="s">
        <v>10</v>
      </c>
      <c r="AK16" s="21"/>
    </row>
    <row r="17" spans="1:37" ht="15" customHeight="1" thickBot="1">
      <c r="A17" s="11">
        <v>16</v>
      </c>
      <c r="B17" s="12">
        <v>2</v>
      </c>
      <c r="C17" s="11">
        <v>2</v>
      </c>
      <c r="D17" s="11">
        <v>1</v>
      </c>
      <c r="E17" s="11">
        <v>4</v>
      </c>
      <c r="F17" s="11">
        <v>3</v>
      </c>
      <c r="G17" s="11">
        <v>5</v>
      </c>
      <c r="H17" s="11">
        <v>4</v>
      </c>
      <c r="I17" s="11">
        <v>1</v>
      </c>
      <c r="J17" s="11">
        <v>1</v>
      </c>
      <c r="K17" s="11">
        <v>4</v>
      </c>
      <c r="L17" s="11">
        <v>1</v>
      </c>
      <c r="M17" s="11">
        <v>1</v>
      </c>
      <c r="N17" s="11">
        <v>2</v>
      </c>
      <c r="O17" s="11">
        <v>2</v>
      </c>
      <c r="P17" s="11">
        <v>5</v>
      </c>
      <c r="Q17" s="11">
        <v>1</v>
      </c>
      <c r="R17" s="11">
        <v>1</v>
      </c>
      <c r="S17" s="11">
        <v>2</v>
      </c>
      <c r="T17" s="11">
        <v>4</v>
      </c>
      <c r="U17" s="10">
        <v>5</v>
      </c>
      <c r="V17" s="6">
        <f t="shared" si="0"/>
        <v>25.746099473878807</v>
      </c>
      <c r="W17" s="6">
        <f t="shared" si="1"/>
        <v>42.218691293750069</v>
      </c>
      <c r="X17" s="6">
        <f t="shared" si="2"/>
        <v>33.566332863252399</v>
      </c>
      <c r="Y17" s="6">
        <f t="shared" si="3"/>
        <v>31.100246198196217</v>
      </c>
      <c r="Z17" s="6">
        <f t="shared" si="4"/>
        <v>25.746099473878807</v>
      </c>
      <c r="AA17" s="6">
        <f t="shared" si="5"/>
        <v>1</v>
      </c>
      <c r="AD17" s="17" t="s">
        <v>62</v>
      </c>
      <c r="AE17" s="20">
        <v>3.0972193366084495</v>
      </c>
      <c r="AF17" s="20">
        <v>2.7594965479494769</v>
      </c>
      <c r="AG17" s="20">
        <v>2.0659328738621334</v>
      </c>
      <c r="AH17" s="20">
        <v>2.0102020854131091</v>
      </c>
      <c r="AI17" s="3" t="s">
        <v>9</v>
      </c>
      <c r="AK17" s="21"/>
    </row>
    <row r="18" spans="1:37" ht="15" customHeight="1" thickBot="1">
      <c r="A18" s="11">
        <v>17</v>
      </c>
      <c r="B18" s="12">
        <v>4</v>
      </c>
      <c r="C18" s="11">
        <v>3</v>
      </c>
      <c r="D18" s="11">
        <v>2</v>
      </c>
      <c r="E18" s="11">
        <v>3</v>
      </c>
      <c r="F18" s="11">
        <v>4</v>
      </c>
      <c r="G18" s="11">
        <v>3</v>
      </c>
      <c r="H18" s="11">
        <v>3</v>
      </c>
      <c r="I18" s="11">
        <v>3</v>
      </c>
      <c r="J18" s="11">
        <v>2</v>
      </c>
      <c r="K18" s="11">
        <v>2</v>
      </c>
      <c r="L18" s="11">
        <v>2</v>
      </c>
      <c r="M18" s="11">
        <v>2</v>
      </c>
      <c r="N18" s="11">
        <v>2</v>
      </c>
      <c r="O18" s="11">
        <v>3</v>
      </c>
      <c r="P18" s="11">
        <v>4</v>
      </c>
      <c r="Q18" s="11">
        <v>4</v>
      </c>
      <c r="R18" s="11">
        <v>3</v>
      </c>
      <c r="S18" s="11">
        <v>2</v>
      </c>
      <c r="T18" s="11">
        <v>2</v>
      </c>
      <c r="U18" s="10">
        <v>4</v>
      </c>
      <c r="V18" s="6">
        <f t="shared" si="0"/>
        <v>10.579501427351937</v>
      </c>
      <c r="W18" s="6">
        <f t="shared" si="1"/>
        <v>13.357897962451979</v>
      </c>
      <c r="X18" s="6">
        <f t="shared" si="2"/>
        <v>16.5113428227817</v>
      </c>
      <c r="Y18" s="6">
        <f t="shared" si="3"/>
        <v>14.549283005288046</v>
      </c>
      <c r="Z18" s="6">
        <f t="shared" si="4"/>
        <v>10.579501427351937</v>
      </c>
      <c r="AA18" s="6">
        <f t="shared" si="5"/>
        <v>1</v>
      </c>
      <c r="AD18" s="17" t="s">
        <v>63</v>
      </c>
      <c r="AE18" s="20">
        <v>1.972216755802384</v>
      </c>
      <c r="AF18" s="20">
        <v>3.0253145342572414</v>
      </c>
      <c r="AG18" s="20">
        <v>2.5934057173854388</v>
      </c>
      <c r="AH18" s="20">
        <v>2.3673465922590609</v>
      </c>
      <c r="AI18" s="3" t="s">
        <v>8</v>
      </c>
      <c r="AK18" s="21"/>
    </row>
    <row r="19" spans="1:37" ht="15" customHeight="1" thickBot="1">
      <c r="A19" s="11">
        <v>18</v>
      </c>
      <c r="B19" s="12">
        <v>5</v>
      </c>
      <c r="C19" s="11">
        <v>5</v>
      </c>
      <c r="D19" s="11">
        <v>3</v>
      </c>
      <c r="E19" s="11">
        <v>2</v>
      </c>
      <c r="F19" s="11">
        <v>5</v>
      </c>
      <c r="G19" s="11">
        <v>5</v>
      </c>
      <c r="H19" s="11">
        <v>3</v>
      </c>
      <c r="I19" s="11">
        <v>1</v>
      </c>
      <c r="J19" s="11">
        <v>1</v>
      </c>
      <c r="K19" s="11">
        <v>3</v>
      </c>
      <c r="L19" s="11">
        <v>4</v>
      </c>
      <c r="M19" s="11">
        <v>1</v>
      </c>
      <c r="N19" s="11">
        <v>2</v>
      </c>
      <c r="O19" s="11">
        <v>5</v>
      </c>
      <c r="P19" s="11">
        <v>5</v>
      </c>
      <c r="Q19" s="11">
        <v>4</v>
      </c>
      <c r="R19" s="11">
        <v>2</v>
      </c>
      <c r="S19" s="11">
        <v>5</v>
      </c>
      <c r="T19" s="11">
        <v>5</v>
      </c>
      <c r="U19" s="10">
        <v>5</v>
      </c>
      <c r="V19" s="6">
        <f t="shared" si="0"/>
        <v>45.801766872982824</v>
      </c>
      <c r="W19" s="6">
        <f t="shared" si="1"/>
        <v>42.421302937733635</v>
      </c>
      <c r="X19" s="6">
        <f t="shared" si="2"/>
        <v>61.236675863797153</v>
      </c>
      <c r="Y19" s="6">
        <f t="shared" si="3"/>
        <v>61.8758530695711</v>
      </c>
      <c r="Z19" s="6">
        <f t="shared" si="4"/>
        <v>42.421302937733635</v>
      </c>
      <c r="AA19" s="6">
        <f t="shared" si="5"/>
        <v>2</v>
      </c>
      <c r="AD19" s="17" t="s">
        <v>64</v>
      </c>
      <c r="AE19" s="20">
        <v>2.7777804541787154</v>
      </c>
      <c r="AF19" s="20">
        <v>3.4050601273279226</v>
      </c>
      <c r="AG19" s="20">
        <v>2.0219780956374365</v>
      </c>
      <c r="AH19" s="20">
        <v>2.9591794503419009</v>
      </c>
      <c r="AI19" s="3" t="s">
        <v>7</v>
      </c>
      <c r="AK19" s="21"/>
    </row>
    <row r="20" spans="1:37" ht="15" customHeight="1" thickBot="1">
      <c r="A20" s="11">
        <v>19</v>
      </c>
      <c r="B20" s="12">
        <v>1</v>
      </c>
      <c r="C20" s="11">
        <v>2</v>
      </c>
      <c r="D20" s="11">
        <v>2</v>
      </c>
      <c r="E20" s="11">
        <v>1</v>
      </c>
      <c r="F20" s="11">
        <v>2</v>
      </c>
      <c r="G20" s="11">
        <v>2</v>
      </c>
      <c r="H20" s="11">
        <v>2</v>
      </c>
      <c r="I20" s="11">
        <v>2</v>
      </c>
      <c r="J20" s="11">
        <v>2</v>
      </c>
      <c r="K20" s="11">
        <v>2</v>
      </c>
      <c r="L20" s="11">
        <v>1</v>
      </c>
      <c r="M20" s="11">
        <v>2</v>
      </c>
      <c r="N20" s="11">
        <v>1</v>
      </c>
      <c r="O20" s="11">
        <v>5</v>
      </c>
      <c r="P20" s="11">
        <v>2</v>
      </c>
      <c r="Q20" s="11">
        <v>2</v>
      </c>
      <c r="R20" s="11">
        <v>5</v>
      </c>
      <c r="S20" s="11">
        <v>5</v>
      </c>
      <c r="T20" s="11">
        <v>3</v>
      </c>
      <c r="U20" s="10">
        <v>5</v>
      </c>
      <c r="V20" s="6">
        <f t="shared" si="0"/>
        <v>41.496053166288185</v>
      </c>
      <c r="W20" s="6">
        <f t="shared" si="1"/>
        <v>40.573084585889852</v>
      </c>
      <c r="X20" s="6">
        <f t="shared" si="2"/>
        <v>45.126690812192876</v>
      </c>
      <c r="Y20" s="6">
        <f t="shared" si="3"/>
        <v>26.528839868792179</v>
      </c>
      <c r="Z20" s="6">
        <f t="shared" si="4"/>
        <v>26.528839868792179</v>
      </c>
      <c r="AA20" s="6">
        <f t="shared" si="5"/>
        <v>4</v>
      </c>
      <c r="AD20" s="17" t="s">
        <v>65</v>
      </c>
      <c r="AE20" s="20">
        <v>2.6111137264696107</v>
      </c>
      <c r="AF20" s="20">
        <v>3.4556914873283158</v>
      </c>
      <c r="AG20" s="20">
        <v>2.9010941193441635</v>
      </c>
      <c r="AH20" s="20">
        <v>2.632650415025636</v>
      </c>
      <c r="AI20" s="3" t="s">
        <v>6</v>
      </c>
      <c r="AK20" s="21"/>
    </row>
    <row r="21" spans="1:37" ht="15" customHeight="1" thickBot="1">
      <c r="A21" s="11">
        <v>20</v>
      </c>
      <c r="B21" s="12">
        <v>5</v>
      </c>
      <c r="C21" s="11">
        <v>4</v>
      </c>
      <c r="D21" s="11">
        <v>5</v>
      </c>
      <c r="E21" s="11">
        <v>5</v>
      </c>
      <c r="F21" s="11">
        <v>3</v>
      </c>
      <c r="G21" s="11">
        <v>2</v>
      </c>
      <c r="H21" s="11">
        <v>1</v>
      </c>
      <c r="I21" s="11">
        <v>1</v>
      </c>
      <c r="J21" s="11">
        <v>1</v>
      </c>
      <c r="K21" s="11">
        <v>2</v>
      </c>
      <c r="L21" s="11">
        <v>3</v>
      </c>
      <c r="M21" s="11">
        <v>4</v>
      </c>
      <c r="N21" s="11">
        <v>4</v>
      </c>
      <c r="O21" s="11">
        <v>3</v>
      </c>
      <c r="P21" s="11">
        <v>4</v>
      </c>
      <c r="Q21" s="11">
        <v>3</v>
      </c>
      <c r="R21" s="11">
        <v>2</v>
      </c>
      <c r="S21" s="11">
        <v>3</v>
      </c>
      <c r="T21" s="11">
        <v>4</v>
      </c>
      <c r="U21" s="10">
        <v>4</v>
      </c>
      <c r="V21" s="6">
        <f t="shared" si="0"/>
        <v>44.4128307388658</v>
      </c>
      <c r="W21" s="6">
        <f t="shared" si="1"/>
        <v>31.079476330724148</v>
      </c>
      <c r="X21" s="6">
        <f t="shared" si="2"/>
        <v>47.829921856782974</v>
      </c>
      <c r="Y21" s="6">
        <f t="shared" si="3"/>
        <v>42.263593499736906</v>
      </c>
      <c r="Z21" s="6">
        <f t="shared" si="4"/>
        <v>31.079476330724148</v>
      </c>
      <c r="AA21" s="6">
        <f t="shared" si="5"/>
        <v>2</v>
      </c>
      <c r="AD21" s="17" t="s">
        <v>66</v>
      </c>
      <c r="AE21" s="20">
        <v>3.3194442948777256</v>
      </c>
      <c r="AF21" s="20">
        <v>3.6708768034935382</v>
      </c>
      <c r="AG21" s="20">
        <v>1.9120740774405049</v>
      </c>
      <c r="AH21" s="20">
        <v>3.7755104923385683</v>
      </c>
      <c r="AI21" s="3" t="s">
        <v>5</v>
      </c>
      <c r="AK21" s="21"/>
    </row>
    <row r="22" spans="1:37">
      <c r="A22" s="11">
        <v>21</v>
      </c>
      <c r="B22" s="12">
        <v>5</v>
      </c>
      <c r="C22" s="11">
        <v>3</v>
      </c>
      <c r="D22" s="11">
        <v>4</v>
      </c>
      <c r="E22" s="11">
        <v>3</v>
      </c>
      <c r="F22" s="11">
        <v>4</v>
      </c>
      <c r="G22" s="11">
        <v>2</v>
      </c>
      <c r="H22" s="11">
        <v>3</v>
      </c>
      <c r="I22" s="11">
        <v>2</v>
      </c>
      <c r="J22" s="11">
        <v>4</v>
      </c>
      <c r="K22" s="11">
        <v>1</v>
      </c>
      <c r="L22" s="11">
        <v>3</v>
      </c>
      <c r="M22" s="11">
        <v>5</v>
      </c>
      <c r="N22" s="11">
        <v>3</v>
      </c>
      <c r="O22" s="11">
        <v>2</v>
      </c>
      <c r="P22" s="11">
        <v>3</v>
      </c>
      <c r="Q22" s="11">
        <v>1</v>
      </c>
      <c r="R22" s="11">
        <v>3</v>
      </c>
      <c r="S22" s="11">
        <v>4</v>
      </c>
      <c r="T22" s="11">
        <v>4</v>
      </c>
      <c r="U22" s="10">
        <v>3</v>
      </c>
      <c r="V22" s="6">
        <f t="shared" si="0"/>
        <v>51.329454846611085</v>
      </c>
      <c r="W22" s="6">
        <f t="shared" si="1"/>
        <v>24.282009587500621</v>
      </c>
      <c r="X22" s="6">
        <f t="shared" si="2"/>
        <v>43.840935821326745</v>
      </c>
      <c r="Y22" s="6">
        <f t="shared" si="3"/>
        <v>34.304450817387661</v>
      </c>
      <c r="Z22" s="6">
        <f t="shared" si="4"/>
        <v>24.282009587500621</v>
      </c>
      <c r="AA22" s="6">
        <f t="shared" si="5"/>
        <v>2</v>
      </c>
      <c r="AD22" s="17" t="s">
        <v>69</v>
      </c>
      <c r="AE22" s="18">
        <f>COUNTIF($AA$2:$AA$341,"1")/340</f>
        <v>0.21176470588235294</v>
      </c>
      <c r="AF22" s="18">
        <f>COUNTIF($AA$2:$AA$341,"2")/340</f>
        <v>0.2323529411764706</v>
      </c>
      <c r="AG22" s="18">
        <f>COUNTIF($AA$2:$AA$341,"3")/340</f>
        <v>0.2676470588235294</v>
      </c>
      <c r="AH22" s="18">
        <f>COUNTIF($AA$2:$AA$341,"4")/340</f>
        <v>0.28823529411764703</v>
      </c>
    </row>
    <row r="23" spans="1:37">
      <c r="A23" s="11">
        <v>22</v>
      </c>
      <c r="B23" s="12">
        <v>2</v>
      </c>
      <c r="C23" s="11">
        <v>2</v>
      </c>
      <c r="D23" s="11">
        <v>2</v>
      </c>
      <c r="E23" s="11">
        <v>2</v>
      </c>
      <c r="F23" s="11">
        <v>3</v>
      </c>
      <c r="G23" s="11">
        <v>2</v>
      </c>
      <c r="H23" s="11">
        <v>3</v>
      </c>
      <c r="I23" s="11">
        <v>2</v>
      </c>
      <c r="J23" s="11">
        <v>2</v>
      </c>
      <c r="K23" s="11">
        <v>3</v>
      </c>
      <c r="L23" s="11">
        <v>4</v>
      </c>
      <c r="M23" s="11">
        <v>3</v>
      </c>
      <c r="N23" s="11">
        <v>3</v>
      </c>
      <c r="O23" s="11">
        <v>4</v>
      </c>
      <c r="P23" s="11">
        <v>4</v>
      </c>
      <c r="Q23" s="11">
        <v>4</v>
      </c>
      <c r="R23" s="11">
        <v>3</v>
      </c>
      <c r="S23" s="11">
        <v>3</v>
      </c>
      <c r="T23" s="11">
        <v>3</v>
      </c>
      <c r="U23" s="10">
        <v>3</v>
      </c>
      <c r="V23" s="6">
        <f t="shared" si="0"/>
        <v>15.801705057660556</v>
      </c>
      <c r="W23" s="6">
        <f t="shared" si="1"/>
        <v>12.47182100620986</v>
      </c>
      <c r="X23" s="6">
        <f t="shared" si="2"/>
        <v>14.621210483319208</v>
      </c>
      <c r="Y23" s="6">
        <f t="shared" si="3"/>
        <v>15.141102876099891</v>
      </c>
      <c r="Z23" s="6">
        <f t="shared" si="4"/>
        <v>12.47182100620986</v>
      </c>
      <c r="AA23" s="6">
        <f t="shared" si="5"/>
        <v>2</v>
      </c>
    </row>
    <row r="24" spans="1:37">
      <c r="A24" s="11">
        <v>23</v>
      </c>
      <c r="B24" s="12">
        <v>5</v>
      </c>
      <c r="C24" s="11">
        <v>3</v>
      </c>
      <c r="D24" s="11">
        <v>4</v>
      </c>
      <c r="E24" s="11">
        <v>3</v>
      </c>
      <c r="F24" s="11">
        <v>4</v>
      </c>
      <c r="G24" s="11">
        <v>3</v>
      </c>
      <c r="H24" s="11">
        <v>3</v>
      </c>
      <c r="I24" s="11">
        <v>2</v>
      </c>
      <c r="J24" s="11">
        <v>2</v>
      </c>
      <c r="K24" s="11">
        <v>3</v>
      </c>
      <c r="L24" s="11">
        <v>2</v>
      </c>
      <c r="M24" s="11">
        <v>4</v>
      </c>
      <c r="N24" s="11">
        <v>2</v>
      </c>
      <c r="O24" s="11">
        <v>4</v>
      </c>
      <c r="P24" s="11">
        <v>4</v>
      </c>
      <c r="Q24" s="11">
        <v>3</v>
      </c>
      <c r="R24" s="11">
        <v>3</v>
      </c>
      <c r="S24" s="11">
        <v>3</v>
      </c>
      <c r="T24" s="11">
        <v>3</v>
      </c>
      <c r="U24" s="10">
        <v>4</v>
      </c>
      <c r="V24" s="6">
        <f t="shared" si="0"/>
        <v>19.690618617447566</v>
      </c>
      <c r="W24" s="6">
        <f t="shared" si="1"/>
        <v>12.079483852150911</v>
      </c>
      <c r="X24" s="6">
        <f t="shared" si="2"/>
        <v>23.379412231931759</v>
      </c>
      <c r="Y24" s="6">
        <f t="shared" si="3"/>
        <v>20.202355869952534</v>
      </c>
      <c r="Z24" s="6">
        <f t="shared" si="4"/>
        <v>12.079483852150911</v>
      </c>
      <c r="AA24" s="6">
        <f t="shared" si="5"/>
        <v>2</v>
      </c>
    </row>
    <row r="25" spans="1:37">
      <c r="A25" s="11">
        <v>24</v>
      </c>
      <c r="B25" s="12">
        <v>2</v>
      </c>
      <c r="C25" s="11">
        <v>2</v>
      </c>
      <c r="D25" s="11">
        <v>2</v>
      </c>
      <c r="E25" s="11">
        <v>2</v>
      </c>
      <c r="F25" s="11">
        <v>2</v>
      </c>
      <c r="G25" s="11">
        <v>2</v>
      </c>
      <c r="H25" s="11">
        <v>3</v>
      </c>
      <c r="I25" s="11">
        <v>2</v>
      </c>
      <c r="J25" s="11">
        <v>2</v>
      </c>
      <c r="K25" s="11">
        <v>2</v>
      </c>
      <c r="L25" s="11">
        <v>1</v>
      </c>
      <c r="M25" s="11">
        <v>3</v>
      </c>
      <c r="N25" s="11">
        <v>2</v>
      </c>
      <c r="O25" s="11">
        <v>3</v>
      </c>
      <c r="P25" s="11">
        <v>4</v>
      </c>
      <c r="Q25" s="11">
        <v>3</v>
      </c>
      <c r="R25" s="11">
        <v>2</v>
      </c>
      <c r="S25" s="11">
        <v>4</v>
      </c>
      <c r="T25" s="11">
        <v>3</v>
      </c>
      <c r="U25" s="10">
        <v>3</v>
      </c>
      <c r="V25" s="6">
        <f t="shared" si="0"/>
        <v>15.134945921298755</v>
      </c>
      <c r="W25" s="6">
        <f t="shared" si="1"/>
        <v>18.345195931100463</v>
      </c>
      <c r="X25" s="6">
        <f t="shared" si="2"/>
        <v>13.939842794062116</v>
      </c>
      <c r="Y25" s="6">
        <f t="shared" si="3"/>
        <v>5.385985765625561</v>
      </c>
      <c r="Z25" s="6">
        <f t="shared" si="4"/>
        <v>5.385985765625561</v>
      </c>
      <c r="AA25" s="6">
        <f t="shared" si="5"/>
        <v>4</v>
      </c>
    </row>
    <row r="26" spans="1:37">
      <c r="A26" s="11">
        <v>25</v>
      </c>
      <c r="B26" s="12">
        <v>2</v>
      </c>
      <c r="C26" s="11">
        <v>2</v>
      </c>
      <c r="D26" s="11">
        <v>2</v>
      </c>
      <c r="E26" s="11">
        <v>5</v>
      </c>
      <c r="F26" s="11">
        <v>4</v>
      </c>
      <c r="G26" s="11">
        <v>3</v>
      </c>
      <c r="H26" s="11">
        <v>3</v>
      </c>
      <c r="I26" s="11">
        <v>3</v>
      </c>
      <c r="J26" s="11">
        <v>2</v>
      </c>
      <c r="K26" s="11">
        <v>3</v>
      </c>
      <c r="L26" s="11">
        <v>3</v>
      </c>
      <c r="M26" s="11">
        <v>3</v>
      </c>
      <c r="N26" s="11">
        <v>3</v>
      </c>
      <c r="O26" s="11">
        <v>3</v>
      </c>
      <c r="P26" s="11">
        <v>3</v>
      </c>
      <c r="Q26" s="11">
        <v>3</v>
      </c>
      <c r="R26" s="11">
        <v>3</v>
      </c>
      <c r="S26" s="11">
        <v>3</v>
      </c>
      <c r="T26" s="11">
        <v>3</v>
      </c>
      <c r="U26" s="10">
        <v>3</v>
      </c>
      <c r="V26" s="6">
        <f t="shared" si="0"/>
        <v>10.801717053558804</v>
      </c>
      <c r="W26" s="6">
        <f t="shared" si="1"/>
        <v>8.5731069349609044</v>
      </c>
      <c r="X26" s="6">
        <f t="shared" si="2"/>
        <v>18.44540000232529</v>
      </c>
      <c r="Y26" s="6">
        <f t="shared" si="3"/>
        <v>17.263590132836676</v>
      </c>
      <c r="Z26" s="6">
        <f t="shared" si="4"/>
        <v>8.5731069349609044</v>
      </c>
      <c r="AA26" s="6">
        <f t="shared" si="5"/>
        <v>2</v>
      </c>
    </row>
    <row r="27" spans="1:37">
      <c r="A27" s="11">
        <v>26</v>
      </c>
      <c r="B27" s="12">
        <v>1</v>
      </c>
      <c r="C27" s="11">
        <v>2</v>
      </c>
      <c r="D27" s="11">
        <v>1</v>
      </c>
      <c r="E27" s="11">
        <v>2</v>
      </c>
      <c r="F27" s="11">
        <v>4</v>
      </c>
      <c r="G27" s="11">
        <v>5</v>
      </c>
      <c r="H27" s="11">
        <v>3</v>
      </c>
      <c r="I27" s="11">
        <v>2</v>
      </c>
      <c r="J27" s="11">
        <v>2</v>
      </c>
      <c r="K27" s="11">
        <v>2</v>
      </c>
      <c r="L27" s="11">
        <v>1</v>
      </c>
      <c r="M27" s="11">
        <v>3</v>
      </c>
      <c r="N27" s="11">
        <v>5</v>
      </c>
      <c r="O27" s="11">
        <v>4</v>
      </c>
      <c r="P27" s="11">
        <v>5</v>
      </c>
      <c r="Q27" s="11">
        <v>1</v>
      </c>
      <c r="R27" s="11">
        <v>4</v>
      </c>
      <c r="S27" s="11">
        <v>2</v>
      </c>
      <c r="T27" s="11">
        <v>3</v>
      </c>
      <c r="U27" s="10">
        <v>4</v>
      </c>
      <c r="V27" s="6">
        <f t="shared" si="0"/>
        <v>30.273891977803583</v>
      </c>
      <c r="W27" s="6">
        <f t="shared" si="1"/>
        <v>34.332605271811794</v>
      </c>
      <c r="X27" s="6">
        <f t="shared" si="2"/>
        <v>27.027882998368611</v>
      </c>
      <c r="Y27" s="6">
        <f t="shared" si="3"/>
        <v>28.855387337205602</v>
      </c>
      <c r="Z27" s="6">
        <f t="shared" si="4"/>
        <v>27.027882998368611</v>
      </c>
      <c r="AA27" s="6">
        <f t="shared" si="5"/>
        <v>3</v>
      </c>
    </row>
    <row r="28" spans="1:37">
      <c r="A28" s="11">
        <v>27</v>
      </c>
      <c r="B28" s="12">
        <v>4</v>
      </c>
      <c r="C28" s="11">
        <v>1</v>
      </c>
      <c r="D28" s="11">
        <v>2</v>
      </c>
      <c r="E28" s="11">
        <v>4</v>
      </c>
      <c r="F28" s="11">
        <v>4</v>
      </c>
      <c r="G28" s="11">
        <v>4</v>
      </c>
      <c r="H28" s="11">
        <v>4</v>
      </c>
      <c r="I28" s="11">
        <v>1</v>
      </c>
      <c r="J28" s="11">
        <v>1</v>
      </c>
      <c r="K28" s="11">
        <v>2</v>
      </c>
      <c r="L28" s="11">
        <v>1</v>
      </c>
      <c r="M28" s="11">
        <v>2</v>
      </c>
      <c r="N28" s="11">
        <v>2</v>
      </c>
      <c r="O28" s="11">
        <v>5</v>
      </c>
      <c r="P28" s="11">
        <v>5</v>
      </c>
      <c r="Q28" s="11">
        <v>5</v>
      </c>
      <c r="R28" s="11">
        <v>2</v>
      </c>
      <c r="S28" s="11">
        <v>1</v>
      </c>
      <c r="T28" s="11">
        <v>2</v>
      </c>
      <c r="U28" s="10">
        <v>4</v>
      </c>
      <c r="V28" s="6">
        <f t="shared" si="0"/>
        <v>18.607290507468335</v>
      </c>
      <c r="W28" s="6">
        <f t="shared" si="1"/>
        <v>42.307254935969446</v>
      </c>
      <c r="X28" s="6">
        <f t="shared" si="2"/>
        <v>30.346503742764444</v>
      </c>
      <c r="Y28" s="6">
        <f t="shared" si="3"/>
        <v>36.304370638809218</v>
      </c>
      <c r="Z28" s="6">
        <f t="shared" si="4"/>
        <v>18.607290507468335</v>
      </c>
      <c r="AA28" s="6">
        <f t="shared" si="5"/>
        <v>1</v>
      </c>
    </row>
    <row r="29" spans="1:37">
      <c r="A29" s="11">
        <v>28</v>
      </c>
      <c r="B29" s="12">
        <v>2</v>
      </c>
      <c r="C29" s="11">
        <v>2</v>
      </c>
      <c r="D29" s="11">
        <v>2</v>
      </c>
      <c r="E29" s="11">
        <v>2</v>
      </c>
      <c r="F29" s="11">
        <v>1</v>
      </c>
      <c r="G29" s="11">
        <v>3</v>
      </c>
      <c r="H29" s="11">
        <v>3</v>
      </c>
      <c r="I29" s="11">
        <v>1</v>
      </c>
      <c r="J29" s="11">
        <v>2</v>
      </c>
      <c r="K29" s="11">
        <v>4</v>
      </c>
      <c r="L29" s="11">
        <v>1</v>
      </c>
      <c r="M29" s="11">
        <v>3</v>
      </c>
      <c r="N29" s="11">
        <v>2</v>
      </c>
      <c r="O29" s="11">
        <v>4</v>
      </c>
      <c r="P29" s="11">
        <v>3</v>
      </c>
      <c r="Q29" s="11">
        <v>2</v>
      </c>
      <c r="R29" s="11">
        <v>3</v>
      </c>
      <c r="S29" s="11">
        <v>4</v>
      </c>
      <c r="T29" s="11">
        <v>4</v>
      </c>
      <c r="U29" s="10">
        <v>3</v>
      </c>
      <c r="V29" s="6">
        <f t="shared" si="0"/>
        <v>21.357165969213998</v>
      </c>
      <c r="W29" s="6">
        <f t="shared" si="1"/>
        <v>23.484485133159403</v>
      </c>
      <c r="X29" s="6">
        <f t="shared" si="2"/>
        <v>16.90687486507726</v>
      </c>
      <c r="Y29" s="6">
        <f t="shared" si="3"/>
        <v>12.467608714556865</v>
      </c>
      <c r="Z29" s="6">
        <f t="shared" si="4"/>
        <v>12.467608714556865</v>
      </c>
      <c r="AA29" s="6">
        <f t="shared" si="5"/>
        <v>4</v>
      </c>
    </row>
    <row r="30" spans="1:37">
      <c r="A30" s="11">
        <v>29</v>
      </c>
      <c r="B30" s="12">
        <v>2</v>
      </c>
      <c r="C30" s="11">
        <v>3</v>
      </c>
      <c r="D30" s="11">
        <v>4</v>
      </c>
      <c r="E30" s="11">
        <v>3</v>
      </c>
      <c r="F30" s="11">
        <v>2</v>
      </c>
      <c r="G30" s="11">
        <v>3</v>
      </c>
      <c r="H30" s="11">
        <v>2</v>
      </c>
      <c r="I30" s="11">
        <v>1</v>
      </c>
      <c r="J30" s="11">
        <v>2</v>
      </c>
      <c r="K30" s="11">
        <v>1</v>
      </c>
      <c r="L30" s="11">
        <v>2</v>
      </c>
      <c r="M30" s="11">
        <v>3</v>
      </c>
      <c r="N30" s="11">
        <v>5</v>
      </c>
      <c r="O30" s="11">
        <v>4</v>
      </c>
      <c r="P30" s="11">
        <v>5</v>
      </c>
      <c r="Q30" s="11">
        <v>4</v>
      </c>
      <c r="R30" s="11">
        <v>3</v>
      </c>
      <c r="S30" s="11">
        <v>2</v>
      </c>
      <c r="T30" s="11">
        <v>3</v>
      </c>
      <c r="U30" s="10">
        <v>4</v>
      </c>
      <c r="V30" s="6">
        <f t="shared" si="0"/>
        <v>29.190588791216147</v>
      </c>
      <c r="W30" s="6">
        <f t="shared" si="1"/>
        <v>25.77562467685372</v>
      </c>
      <c r="X30" s="6">
        <f t="shared" si="2"/>
        <v>30.544244016697238</v>
      </c>
      <c r="Y30" s="6">
        <f t="shared" si="3"/>
        <v>26.202337352191083</v>
      </c>
      <c r="Z30" s="6">
        <f t="shared" si="4"/>
        <v>25.77562467685372</v>
      </c>
      <c r="AA30" s="6">
        <f t="shared" si="5"/>
        <v>2</v>
      </c>
    </row>
    <row r="31" spans="1:37">
      <c r="A31" s="11">
        <v>30</v>
      </c>
      <c r="B31" s="12">
        <v>4</v>
      </c>
      <c r="C31" s="11">
        <v>3</v>
      </c>
      <c r="D31" s="11">
        <v>1</v>
      </c>
      <c r="E31" s="11">
        <v>5</v>
      </c>
      <c r="F31" s="11">
        <v>1</v>
      </c>
      <c r="G31" s="11">
        <v>1</v>
      </c>
      <c r="H31" s="11">
        <v>3</v>
      </c>
      <c r="I31" s="11">
        <v>3</v>
      </c>
      <c r="J31" s="11">
        <v>3</v>
      </c>
      <c r="K31" s="11">
        <v>4</v>
      </c>
      <c r="L31" s="11">
        <v>1</v>
      </c>
      <c r="M31" s="11">
        <v>1</v>
      </c>
      <c r="N31" s="11">
        <v>4</v>
      </c>
      <c r="O31" s="11">
        <v>2</v>
      </c>
      <c r="P31" s="11">
        <v>5</v>
      </c>
      <c r="Q31" s="11">
        <v>1</v>
      </c>
      <c r="R31" s="11">
        <v>1</v>
      </c>
      <c r="S31" s="11">
        <v>1</v>
      </c>
      <c r="T31" s="11">
        <v>3</v>
      </c>
      <c r="U31" s="10">
        <v>1</v>
      </c>
      <c r="V31" s="6">
        <f t="shared" si="0"/>
        <v>45.051673822919959</v>
      </c>
      <c r="W31" s="6">
        <f t="shared" si="1"/>
        <v>53.851557859097603</v>
      </c>
      <c r="X31" s="6">
        <f t="shared" si="2"/>
        <v>31.818975468053669</v>
      </c>
      <c r="Y31" s="6">
        <f t="shared" si="3"/>
        <v>46.141085555347104</v>
      </c>
      <c r="Z31" s="6">
        <f t="shared" si="4"/>
        <v>31.818975468053669</v>
      </c>
      <c r="AA31" s="6">
        <f t="shared" si="5"/>
        <v>3</v>
      </c>
    </row>
    <row r="32" spans="1:37">
      <c r="A32" s="11">
        <v>31</v>
      </c>
      <c r="B32" s="12">
        <v>3</v>
      </c>
      <c r="C32" s="11">
        <v>2</v>
      </c>
      <c r="D32" s="11">
        <v>2</v>
      </c>
      <c r="E32" s="11">
        <v>4</v>
      </c>
      <c r="F32" s="11">
        <v>4</v>
      </c>
      <c r="G32" s="11">
        <v>4</v>
      </c>
      <c r="H32" s="11">
        <v>3</v>
      </c>
      <c r="I32" s="11">
        <v>2</v>
      </c>
      <c r="J32" s="11">
        <v>2</v>
      </c>
      <c r="K32" s="11">
        <v>2</v>
      </c>
      <c r="L32" s="11">
        <v>2</v>
      </c>
      <c r="M32" s="11">
        <v>2</v>
      </c>
      <c r="N32" s="11">
        <v>2</v>
      </c>
      <c r="O32" s="11">
        <v>2</v>
      </c>
      <c r="P32" s="11">
        <v>2</v>
      </c>
      <c r="Q32" s="11">
        <v>2</v>
      </c>
      <c r="R32" s="11">
        <v>3</v>
      </c>
      <c r="S32" s="11">
        <v>4</v>
      </c>
      <c r="T32" s="11">
        <v>2</v>
      </c>
      <c r="U32" s="10">
        <v>5</v>
      </c>
      <c r="V32" s="6">
        <f t="shared" si="0"/>
        <v>17.412778399246722</v>
      </c>
      <c r="W32" s="6">
        <f t="shared" si="1"/>
        <v>16.889564261101864</v>
      </c>
      <c r="X32" s="6">
        <f t="shared" si="2"/>
        <v>29.401446490977911</v>
      </c>
      <c r="Y32" s="6">
        <f t="shared" si="3"/>
        <v>14.283993702857636</v>
      </c>
      <c r="Z32" s="6">
        <f t="shared" si="4"/>
        <v>14.283993702857636</v>
      </c>
      <c r="AA32" s="6">
        <f t="shared" si="5"/>
        <v>4</v>
      </c>
    </row>
    <row r="33" spans="1:27">
      <c r="A33" s="11">
        <v>32</v>
      </c>
      <c r="B33" s="12">
        <v>4</v>
      </c>
      <c r="C33" s="11">
        <v>2</v>
      </c>
      <c r="D33" s="11">
        <v>2</v>
      </c>
      <c r="E33" s="11">
        <v>2</v>
      </c>
      <c r="F33" s="11">
        <v>3</v>
      </c>
      <c r="G33" s="11">
        <v>3</v>
      </c>
      <c r="H33" s="11">
        <v>4</v>
      </c>
      <c r="I33" s="11">
        <v>1</v>
      </c>
      <c r="J33" s="11">
        <v>1</v>
      </c>
      <c r="K33" s="11">
        <v>3</v>
      </c>
      <c r="L33" s="11">
        <v>2</v>
      </c>
      <c r="M33" s="11">
        <v>2</v>
      </c>
      <c r="N33" s="11">
        <v>3</v>
      </c>
      <c r="O33" s="11">
        <v>4</v>
      </c>
      <c r="P33" s="11">
        <v>5</v>
      </c>
      <c r="Q33" s="11">
        <v>3</v>
      </c>
      <c r="R33" s="11">
        <v>2</v>
      </c>
      <c r="S33" s="11">
        <v>1</v>
      </c>
      <c r="T33" s="11">
        <v>3</v>
      </c>
      <c r="U33" s="10">
        <v>1</v>
      </c>
      <c r="V33" s="6">
        <f t="shared" si="0"/>
        <v>19.023920881922457</v>
      </c>
      <c r="W33" s="6">
        <f t="shared" si="1"/>
        <v>31.990759584021063</v>
      </c>
      <c r="X33" s="6">
        <f t="shared" si="2"/>
        <v>8.423331284350235</v>
      </c>
      <c r="Y33" s="6">
        <f t="shared" si="3"/>
        <v>24.773725795674157</v>
      </c>
      <c r="Z33" s="6">
        <f t="shared" si="4"/>
        <v>8.423331284350235</v>
      </c>
      <c r="AA33" s="6">
        <f t="shared" si="5"/>
        <v>3</v>
      </c>
    </row>
    <row r="34" spans="1:27">
      <c r="A34" s="11">
        <v>33</v>
      </c>
      <c r="B34" s="12">
        <v>2</v>
      </c>
      <c r="C34" s="11">
        <v>2</v>
      </c>
      <c r="D34" s="11">
        <v>3</v>
      </c>
      <c r="E34" s="11">
        <v>5</v>
      </c>
      <c r="F34" s="11">
        <v>3</v>
      </c>
      <c r="G34" s="11">
        <v>3</v>
      </c>
      <c r="H34" s="11">
        <v>4</v>
      </c>
      <c r="I34" s="11">
        <v>3</v>
      </c>
      <c r="J34" s="11">
        <v>4</v>
      </c>
      <c r="K34" s="11">
        <v>2</v>
      </c>
      <c r="L34" s="11">
        <v>2</v>
      </c>
      <c r="M34" s="11">
        <v>1</v>
      </c>
      <c r="N34" s="11">
        <v>2</v>
      </c>
      <c r="O34" s="11">
        <v>2</v>
      </c>
      <c r="P34" s="11">
        <v>1</v>
      </c>
      <c r="Q34" s="11">
        <v>5</v>
      </c>
      <c r="R34" s="11">
        <v>1</v>
      </c>
      <c r="S34" s="11">
        <v>1</v>
      </c>
      <c r="T34" s="11">
        <v>1</v>
      </c>
      <c r="U34" s="10">
        <v>5</v>
      </c>
      <c r="V34" s="6">
        <f t="shared" si="0"/>
        <v>38.357252651140108</v>
      </c>
      <c r="W34" s="6">
        <f t="shared" si="1"/>
        <v>43.066744943167102</v>
      </c>
      <c r="X34" s="6">
        <f t="shared" si="2"/>
        <v>59.489329140680049</v>
      </c>
      <c r="Y34" s="6">
        <f t="shared" si="3"/>
        <v>43.610528169236289</v>
      </c>
      <c r="Z34" s="6">
        <f t="shared" si="4"/>
        <v>38.357252651140108</v>
      </c>
      <c r="AA34" s="6">
        <f t="shared" si="5"/>
        <v>1</v>
      </c>
    </row>
    <row r="35" spans="1:27">
      <c r="A35" s="11">
        <v>34</v>
      </c>
      <c r="B35" s="12">
        <v>2</v>
      </c>
      <c r="C35" s="11">
        <v>2</v>
      </c>
      <c r="D35" s="11">
        <v>2</v>
      </c>
      <c r="E35" s="11">
        <v>2</v>
      </c>
      <c r="F35" s="11">
        <v>4</v>
      </c>
      <c r="G35" s="11">
        <v>4</v>
      </c>
      <c r="H35" s="11">
        <v>4</v>
      </c>
      <c r="I35" s="11">
        <v>1</v>
      </c>
      <c r="J35" s="11">
        <v>1</v>
      </c>
      <c r="K35" s="11">
        <v>2</v>
      </c>
      <c r="L35" s="11">
        <v>2</v>
      </c>
      <c r="M35" s="11">
        <v>2</v>
      </c>
      <c r="N35" s="11">
        <v>4</v>
      </c>
      <c r="O35" s="11">
        <v>5</v>
      </c>
      <c r="P35" s="11">
        <v>5</v>
      </c>
      <c r="Q35" s="11">
        <v>5</v>
      </c>
      <c r="R35" s="11">
        <v>2</v>
      </c>
      <c r="S35" s="11">
        <v>1</v>
      </c>
      <c r="T35" s="11">
        <v>4</v>
      </c>
      <c r="U35" s="10">
        <v>5</v>
      </c>
      <c r="V35" s="6">
        <f t="shared" si="0"/>
        <v>23.996152434324884</v>
      </c>
      <c r="W35" s="6">
        <f t="shared" si="1"/>
        <v>36.345251855429481</v>
      </c>
      <c r="X35" s="6">
        <f t="shared" si="2"/>
        <v>33.720185148061155</v>
      </c>
      <c r="Y35" s="6">
        <f t="shared" si="3"/>
        <v>35.590079288706221</v>
      </c>
      <c r="Z35" s="6">
        <f t="shared" si="4"/>
        <v>23.996152434324884</v>
      </c>
      <c r="AA35" s="6">
        <f t="shared" si="5"/>
        <v>1</v>
      </c>
    </row>
    <row r="36" spans="1:27">
      <c r="A36" s="11">
        <v>35</v>
      </c>
      <c r="B36" s="12">
        <v>5</v>
      </c>
      <c r="C36" s="11">
        <v>4</v>
      </c>
      <c r="D36" s="11">
        <v>4</v>
      </c>
      <c r="E36" s="11">
        <v>5</v>
      </c>
      <c r="F36" s="11">
        <v>5</v>
      </c>
      <c r="G36" s="11">
        <v>4</v>
      </c>
      <c r="H36" s="11">
        <v>4</v>
      </c>
      <c r="I36" s="11">
        <v>3</v>
      </c>
      <c r="J36" s="11">
        <v>4</v>
      </c>
      <c r="K36" s="11">
        <v>2</v>
      </c>
      <c r="L36" s="11">
        <v>1</v>
      </c>
      <c r="M36" s="11">
        <v>2</v>
      </c>
      <c r="N36" s="11">
        <v>3</v>
      </c>
      <c r="O36" s="11">
        <v>2</v>
      </c>
      <c r="P36" s="11">
        <v>4</v>
      </c>
      <c r="Q36" s="11">
        <v>4</v>
      </c>
      <c r="R36" s="11">
        <v>3</v>
      </c>
      <c r="S36" s="11">
        <v>4</v>
      </c>
      <c r="T36" s="11">
        <v>4</v>
      </c>
      <c r="U36" s="10">
        <v>4</v>
      </c>
      <c r="V36" s="6">
        <f t="shared" si="0"/>
        <v>37.162866707045104</v>
      </c>
      <c r="W36" s="6">
        <f t="shared" si="1"/>
        <v>23.813695764554915</v>
      </c>
      <c r="X36" s="6">
        <f t="shared" si="2"/>
        <v>52.555289293113248</v>
      </c>
      <c r="Y36" s="6">
        <f t="shared" si="3"/>
        <v>46.71263978858881</v>
      </c>
      <c r="Z36" s="6">
        <f t="shared" si="4"/>
        <v>23.813695764554915</v>
      </c>
      <c r="AA36" s="6">
        <f t="shared" si="5"/>
        <v>2</v>
      </c>
    </row>
    <row r="37" spans="1:27">
      <c r="A37" s="11">
        <v>36</v>
      </c>
      <c r="B37" s="12">
        <v>3</v>
      </c>
      <c r="C37" s="11">
        <v>2</v>
      </c>
      <c r="D37" s="11">
        <v>2</v>
      </c>
      <c r="E37" s="11">
        <v>2</v>
      </c>
      <c r="F37" s="11">
        <v>2</v>
      </c>
      <c r="G37" s="11">
        <v>3</v>
      </c>
      <c r="H37" s="11">
        <v>3</v>
      </c>
      <c r="I37" s="11">
        <v>4</v>
      </c>
      <c r="J37" s="11">
        <v>2</v>
      </c>
      <c r="K37" s="11">
        <v>3</v>
      </c>
      <c r="L37" s="11">
        <v>3</v>
      </c>
      <c r="M37" s="11">
        <v>4</v>
      </c>
      <c r="N37" s="11">
        <v>5</v>
      </c>
      <c r="O37" s="11">
        <v>4</v>
      </c>
      <c r="P37" s="11">
        <v>4</v>
      </c>
      <c r="Q37" s="11">
        <v>2</v>
      </c>
      <c r="R37" s="11">
        <v>2</v>
      </c>
      <c r="S37" s="11">
        <v>2</v>
      </c>
      <c r="T37" s="11">
        <v>2</v>
      </c>
      <c r="U37" s="10">
        <v>1</v>
      </c>
      <c r="V37" s="6">
        <f t="shared" si="0"/>
        <v>30.829466897573472</v>
      </c>
      <c r="W37" s="6">
        <f t="shared" si="1"/>
        <v>28.142684621558111</v>
      </c>
      <c r="X37" s="6">
        <f t="shared" si="2"/>
        <v>16.687095392659341</v>
      </c>
      <c r="Y37" s="6">
        <f t="shared" si="3"/>
        <v>26.937024470491245</v>
      </c>
      <c r="Z37" s="6">
        <f t="shared" si="4"/>
        <v>16.687095392659341</v>
      </c>
      <c r="AA37" s="6">
        <f t="shared" si="5"/>
        <v>3</v>
      </c>
    </row>
    <row r="38" spans="1:27">
      <c r="A38" s="11">
        <v>37</v>
      </c>
      <c r="B38" s="12">
        <v>1</v>
      </c>
      <c r="C38" s="11">
        <v>1</v>
      </c>
      <c r="D38" s="11">
        <v>1</v>
      </c>
      <c r="E38" s="11">
        <v>2</v>
      </c>
      <c r="F38" s="11">
        <v>4</v>
      </c>
      <c r="G38" s="11">
        <v>3</v>
      </c>
      <c r="H38" s="11">
        <v>4</v>
      </c>
      <c r="I38" s="11">
        <v>2</v>
      </c>
      <c r="J38" s="11">
        <v>4</v>
      </c>
      <c r="K38" s="11">
        <v>4</v>
      </c>
      <c r="L38" s="11">
        <v>1</v>
      </c>
      <c r="M38" s="11">
        <v>3</v>
      </c>
      <c r="N38" s="11">
        <v>3</v>
      </c>
      <c r="O38" s="11">
        <v>2</v>
      </c>
      <c r="P38" s="11">
        <v>1</v>
      </c>
      <c r="Q38" s="11">
        <v>1</v>
      </c>
      <c r="R38" s="11">
        <v>1</v>
      </c>
      <c r="S38" s="11">
        <v>1</v>
      </c>
      <c r="T38" s="11">
        <v>1</v>
      </c>
      <c r="U38" s="10">
        <v>1</v>
      </c>
      <c r="V38" s="6">
        <f t="shared" si="0"/>
        <v>46.718260860182845</v>
      </c>
      <c r="W38" s="6">
        <f t="shared" si="1"/>
        <v>54.47175032091085</v>
      </c>
      <c r="X38" s="6">
        <f t="shared" si="2"/>
        <v>39.082657636818631</v>
      </c>
      <c r="Y38" s="6">
        <f t="shared" si="3"/>
        <v>40.304345798437609</v>
      </c>
      <c r="Z38" s="6">
        <f t="shared" si="4"/>
        <v>39.082657636818631</v>
      </c>
      <c r="AA38" s="6">
        <f t="shared" si="5"/>
        <v>3</v>
      </c>
    </row>
    <row r="39" spans="1:27">
      <c r="A39" s="11">
        <v>38</v>
      </c>
      <c r="B39" s="12">
        <v>3</v>
      </c>
      <c r="C39" s="11">
        <v>2</v>
      </c>
      <c r="D39" s="11">
        <v>1</v>
      </c>
      <c r="E39" s="11">
        <v>2</v>
      </c>
      <c r="F39" s="11">
        <v>3</v>
      </c>
      <c r="G39" s="11">
        <v>4</v>
      </c>
      <c r="H39" s="11">
        <v>3</v>
      </c>
      <c r="I39" s="11">
        <v>3</v>
      </c>
      <c r="J39" s="11">
        <v>1</v>
      </c>
      <c r="K39" s="11">
        <v>4</v>
      </c>
      <c r="L39" s="11">
        <v>1</v>
      </c>
      <c r="M39" s="11">
        <v>1</v>
      </c>
      <c r="N39" s="11">
        <v>2</v>
      </c>
      <c r="O39" s="11">
        <v>5</v>
      </c>
      <c r="P39" s="11">
        <v>3</v>
      </c>
      <c r="Q39" s="11">
        <v>2</v>
      </c>
      <c r="R39" s="11">
        <v>3</v>
      </c>
      <c r="S39" s="11">
        <v>1</v>
      </c>
      <c r="T39" s="11">
        <v>3</v>
      </c>
      <c r="U39" s="10">
        <v>4</v>
      </c>
      <c r="V39" s="6">
        <f t="shared" si="0"/>
        <v>14.496125357734577</v>
      </c>
      <c r="W39" s="6">
        <f t="shared" si="1"/>
        <v>30.168033637616809</v>
      </c>
      <c r="X39" s="6">
        <f t="shared" si="2"/>
        <v>15.500363713214636</v>
      </c>
      <c r="Y39" s="6">
        <f t="shared" si="3"/>
        <v>20.488004466086391</v>
      </c>
      <c r="Z39" s="6">
        <f t="shared" si="4"/>
        <v>14.496125357734577</v>
      </c>
      <c r="AA39" s="6">
        <f t="shared" si="5"/>
        <v>1</v>
      </c>
    </row>
    <row r="40" spans="1:27">
      <c r="A40" s="11">
        <v>39</v>
      </c>
      <c r="B40" s="12">
        <v>3</v>
      </c>
      <c r="C40" s="11">
        <v>3</v>
      </c>
      <c r="D40" s="11">
        <v>4</v>
      </c>
      <c r="E40" s="11">
        <v>3</v>
      </c>
      <c r="F40" s="11">
        <v>4</v>
      </c>
      <c r="G40" s="11">
        <v>2</v>
      </c>
      <c r="H40" s="11">
        <v>3</v>
      </c>
      <c r="I40" s="11">
        <v>2</v>
      </c>
      <c r="J40" s="11">
        <v>2</v>
      </c>
      <c r="K40" s="11">
        <v>2</v>
      </c>
      <c r="L40" s="11">
        <v>2</v>
      </c>
      <c r="M40" s="11">
        <v>2</v>
      </c>
      <c r="N40" s="11">
        <v>2</v>
      </c>
      <c r="O40" s="11">
        <v>4</v>
      </c>
      <c r="P40" s="11">
        <v>3</v>
      </c>
      <c r="Q40" s="11">
        <v>3</v>
      </c>
      <c r="R40" s="11">
        <v>2</v>
      </c>
      <c r="S40" s="11">
        <v>3</v>
      </c>
      <c r="T40" s="11">
        <v>3</v>
      </c>
      <c r="U40" s="10">
        <v>4</v>
      </c>
      <c r="V40" s="6">
        <f t="shared" si="0"/>
        <v>11.218360177043465</v>
      </c>
      <c r="W40" s="6">
        <f t="shared" si="1"/>
        <v>9.4212030258814874</v>
      </c>
      <c r="X40" s="6">
        <f t="shared" si="2"/>
        <v>20.785978313750388</v>
      </c>
      <c r="Y40" s="6">
        <f t="shared" si="3"/>
        <v>11.855404990643867</v>
      </c>
      <c r="Z40" s="6">
        <f t="shared" si="4"/>
        <v>9.4212030258814874</v>
      </c>
      <c r="AA40" s="6">
        <f t="shared" si="5"/>
        <v>2</v>
      </c>
    </row>
    <row r="41" spans="1:27">
      <c r="A41" s="11">
        <v>40</v>
      </c>
      <c r="B41" s="12">
        <v>3</v>
      </c>
      <c r="C41" s="11">
        <v>3</v>
      </c>
      <c r="D41" s="11">
        <v>4</v>
      </c>
      <c r="E41" s="11">
        <v>2</v>
      </c>
      <c r="F41" s="11">
        <v>4</v>
      </c>
      <c r="G41" s="11">
        <v>3</v>
      </c>
      <c r="H41" s="11">
        <v>2</v>
      </c>
      <c r="I41" s="11">
        <v>3</v>
      </c>
      <c r="J41" s="11">
        <v>4</v>
      </c>
      <c r="K41" s="11">
        <v>3</v>
      </c>
      <c r="L41" s="11">
        <v>4</v>
      </c>
      <c r="M41" s="11">
        <v>2</v>
      </c>
      <c r="N41" s="11">
        <v>1</v>
      </c>
      <c r="O41" s="11">
        <v>1</v>
      </c>
      <c r="P41" s="11">
        <v>5</v>
      </c>
      <c r="Q41" s="11">
        <v>4</v>
      </c>
      <c r="R41" s="11">
        <v>3</v>
      </c>
      <c r="S41" s="11">
        <v>4</v>
      </c>
      <c r="T41" s="11">
        <v>5</v>
      </c>
      <c r="U41" s="10">
        <v>2</v>
      </c>
      <c r="V41" s="6">
        <f t="shared" si="0"/>
        <v>46.218399020675676</v>
      </c>
      <c r="W41" s="6">
        <f t="shared" si="1"/>
        <v>25.319965917480587</v>
      </c>
      <c r="X41" s="6">
        <f t="shared" si="2"/>
        <v>44.412350595528423</v>
      </c>
      <c r="Y41" s="6">
        <f t="shared" si="3"/>
        <v>42.263581345875103</v>
      </c>
      <c r="Z41" s="6">
        <f t="shared" si="4"/>
        <v>25.319965917480587</v>
      </c>
      <c r="AA41" s="6">
        <f t="shared" si="5"/>
        <v>2</v>
      </c>
    </row>
    <row r="42" spans="1:27">
      <c r="A42" s="11">
        <v>41</v>
      </c>
      <c r="B42" s="12">
        <v>2</v>
      </c>
      <c r="C42" s="11">
        <v>2</v>
      </c>
      <c r="D42" s="11">
        <v>2</v>
      </c>
      <c r="E42" s="11">
        <v>2</v>
      </c>
      <c r="F42" s="11">
        <v>2</v>
      </c>
      <c r="G42" s="11">
        <v>4</v>
      </c>
      <c r="H42" s="11">
        <v>3</v>
      </c>
      <c r="I42" s="11">
        <v>1</v>
      </c>
      <c r="J42" s="11">
        <v>1</v>
      </c>
      <c r="K42" s="11">
        <v>3</v>
      </c>
      <c r="L42" s="11">
        <v>2</v>
      </c>
      <c r="M42" s="11">
        <v>4</v>
      </c>
      <c r="N42" s="11">
        <v>4</v>
      </c>
      <c r="O42" s="11">
        <v>4</v>
      </c>
      <c r="P42" s="11">
        <v>4</v>
      </c>
      <c r="Q42" s="11">
        <v>2</v>
      </c>
      <c r="R42" s="11">
        <v>3</v>
      </c>
      <c r="S42" s="11">
        <v>2</v>
      </c>
      <c r="T42" s="11">
        <v>2</v>
      </c>
      <c r="U42" s="10">
        <v>4</v>
      </c>
      <c r="V42" s="6">
        <f t="shared" si="0"/>
        <v>19.884992124594664</v>
      </c>
      <c r="W42" s="6">
        <f t="shared" si="1"/>
        <v>23.940172647374521</v>
      </c>
      <c r="X42" s="6">
        <f t="shared" si="2"/>
        <v>15.434391349111984</v>
      </c>
      <c r="Y42" s="6">
        <f t="shared" si="3"/>
        <v>13.345152425115446</v>
      </c>
      <c r="Z42" s="6">
        <f t="shared" si="4"/>
        <v>13.345152425115446</v>
      </c>
      <c r="AA42" s="6">
        <f t="shared" si="5"/>
        <v>4</v>
      </c>
    </row>
    <row r="43" spans="1:27">
      <c r="A43" s="11">
        <v>42</v>
      </c>
      <c r="B43" s="12">
        <v>2</v>
      </c>
      <c r="C43" s="11">
        <v>3</v>
      </c>
      <c r="D43" s="11">
        <v>2</v>
      </c>
      <c r="E43" s="11">
        <v>1</v>
      </c>
      <c r="F43" s="11">
        <v>2</v>
      </c>
      <c r="G43" s="11">
        <v>2</v>
      </c>
      <c r="H43" s="11">
        <v>3</v>
      </c>
      <c r="I43" s="11">
        <v>1</v>
      </c>
      <c r="J43" s="11">
        <v>1</v>
      </c>
      <c r="K43" s="11">
        <v>2</v>
      </c>
      <c r="L43" s="11">
        <v>2</v>
      </c>
      <c r="M43" s="11">
        <v>1</v>
      </c>
      <c r="N43" s="11">
        <v>1</v>
      </c>
      <c r="O43" s="11">
        <v>4</v>
      </c>
      <c r="P43" s="11">
        <v>4</v>
      </c>
      <c r="Q43" s="11">
        <v>2</v>
      </c>
      <c r="R43" s="11">
        <v>3</v>
      </c>
      <c r="S43" s="11">
        <v>2</v>
      </c>
      <c r="T43" s="11">
        <v>3</v>
      </c>
      <c r="U43" s="10">
        <v>2</v>
      </c>
      <c r="V43" s="6">
        <f t="shared" si="0"/>
        <v>23.162756721724048</v>
      </c>
      <c r="W43" s="6">
        <f t="shared" si="1"/>
        <v>32.952749153527016</v>
      </c>
      <c r="X43" s="6">
        <f t="shared" si="2"/>
        <v>14.18156055168013</v>
      </c>
      <c r="Y43" s="6">
        <f t="shared" si="3"/>
        <v>16.365532565843516</v>
      </c>
      <c r="Z43" s="6">
        <f t="shared" si="4"/>
        <v>14.18156055168013</v>
      </c>
      <c r="AA43" s="6">
        <f t="shared" si="5"/>
        <v>3</v>
      </c>
    </row>
    <row r="44" spans="1:27">
      <c r="A44" s="11">
        <v>43</v>
      </c>
      <c r="B44" s="12">
        <v>2</v>
      </c>
      <c r="C44" s="11">
        <v>3</v>
      </c>
      <c r="D44" s="11">
        <v>1</v>
      </c>
      <c r="E44" s="11">
        <v>2</v>
      </c>
      <c r="F44" s="11">
        <v>3</v>
      </c>
      <c r="G44" s="11">
        <v>2</v>
      </c>
      <c r="H44" s="11">
        <v>3</v>
      </c>
      <c r="I44" s="11">
        <v>4</v>
      </c>
      <c r="J44" s="11">
        <v>3</v>
      </c>
      <c r="K44" s="11">
        <v>4</v>
      </c>
      <c r="L44" s="11">
        <v>1</v>
      </c>
      <c r="M44" s="11">
        <v>1</v>
      </c>
      <c r="N44" s="11">
        <v>1</v>
      </c>
      <c r="O44" s="11">
        <v>2</v>
      </c>
      <c r="P44" s="11">
        <v>4</v>
      </c>
      <c r="Q44" s="11">
        <v>3</v>
      </c>
      <c r="R44" s="11">
        <v>3</v>
      </c>
      <c r="S44" s="11">
        <v>4</v>
      </c>
      <c r="T44" s="11">
        <v>2</v>
      </c>
      <c r="U44" s="10">
        <v>4</v>
      </c>
      <c r="V44" s="6">
        <f t="shared" si="0"/>
        <v>24.162773983761433</v>
      </c>
      <c r="W44" s="6">
        <f t="shared" si="1"/>
        <v>25.927522895785167</v>
      </c>
      <c r="X44" s="6">
        <f t="shared" si="2"/>
        <v>29.401455135129591</v>
      </c>
      <c r="Y44" s="6">
        <f t="shared" si="3"/>
        <v>20.467608711363006</v>
      </c>
      <c r="Z44" s="6">
        <f t="shared" si="4"/>
        <v>20.467608711363006</v>
      </c>
      <c r="AA44" s="6">
        <f t="shared" si="5"/>
        <v>4</v>
      </c>
    </row>
    <row r="45" spans="1:27">
      <c r="A45" s="11">
        <v>44</v>
      </c>
      <c r="B45" s="12">
        <v>4</v>
      </c>
      <c r="C45" s="11">
        <v>2</v>
      </c>
      <c r="D45" s="11">
        <v>4</v>
      </c>
      <c r="E45" s="11">
        <v>4</v>
      </c>
      <c r="F45" s="11">
        <v>3</v>
      </c>
      <c r="G45" s="11">
        <v>3</v>
      </c>
      <c r="H45" s="11">
        <v>2</v>
      </c>
      <c r="I45" s="11">
        <v>2</v>
      </c>
      <c r="J45" s="11">
        <v>1</v>
      </c>
      <c r="K45" s="11">
        <v>1</v>
      </c>
      <c r="L45" s="11">
        <v>5</v>
      </c>
      <c r="M45" s="11">
        <v>5</v>
      </c>
      <c r="N45" s="11">
        <v>5</v>
      </c>
      <c r="O45" s="11">
        <v>4</v>
      </c>
      <c r="P45" s="11">
        <v>4</v>
      </c>
      <c r="Q45" s="11">
        <v>3</v>
      </c>
      <c r="R45" s="11">
        <v>3</v>
      </c>
      <c r="S45" s="11">
        <v>3</v>
      </c>
      <c r="T45" s="11">
        <v>3</v>
      </c>
      <c r="U45" s="10">
        <v>3</v>
      </c>
      <c r="V45" s="6">
        <f t="shared" si="0"/>
        <v>43.885078585131971</v>
      </c>
      <c r="W45" s="6">
        <f t="shared" si="1"/>
        <v>29.29463593320359</v>
      </c>
      <c r="X45" s="6">
        <f t="shared" si="2"/>
        <v>40.764026016449527</v>
      </c>
      <c r="Y45" s="6">
        <f t="shared" si="3"/>
        <v>40.712589002243845</v>
      </c>
      <c r="Z45" s="6">
        <f t="shared" si="4"/>
        <v>29.29463593320359</v>
      </c>
      <c r="AA45" s="6">
        <f t="shared" si="5"/>
        <v>2</v>
      </c>
    </row>
    <row r="46" spans="1:27">
      <c r="A46" s="11">
        <v>45</v>
      </c>
      <c r="B46" s="12">
        <v>2</v>
      </c>
      <c r="C46" s="11">
        <v>2</v>
      </c>
      <c r="D46" s="11">
        <v>1</v>
      </c>
      <c r="E46" s="11">
        <v>3</v>
      </c>
      <c r="F46" s="11">
        <v>2</v>
      </c>
      <c r="G46" s="11">
        <v>2</v>
      </c>
      <c r="H46" s="11">
        <v>2</v>
      </c>
      <c r="I46" s="11">
        <v>1</v>
      </c>
      <c r="J46" s="11">
        <v>1</v>
      </c>
      <c r="K46" s="11">
        <v>4</v>
      </c>
      <c r="L46" s="11">
        <v>1</v>
      </c>
      <c r="M46" s="11">
        <v>1</v>
      </c>
      <c r="N46" s="11">
        <v>2</v>
      </c>
      <c r="O46" s="11">
        <v>5</v>
      </c>
      <c r="P46" s="11">
        <v>4</v>
      </c>
      <c r="Q46" s="11">
        <v>4</v>
      </c>
      <c r="R46" s="11">
        <v>5</v>
      </c>
      <c r="S46" s="11">
        <v>1</v>
      </c>
      <c r="T46" s="11">
        <v>2</v>
      </c>
      <c r="U46" s="10">
        <v>1</v>
      </c>
      <c r="V46" s="6">
        <f t="shared" si="0"/>
        <v>30.88503303502798</v>
      </c>
      <c r="W46" s="6">
        <f t="shared" si="1"/>
        <v>51.167948310065917</v>
      </c>
      <c r="X46" s="6">
        <f t="shared" si="2"/>
        <v>23.511242075961206</v>
      </c>
      <c r="Y46" s="6">
        <f t="shared" si="3"/>
        <v>39.365530808897375</v>
      </c>
      <c r="Z46" s="6">
        <f t="shared" si="4"/>
        <v>23.511242075961206</v>
      </c>
      <c r="AA46" s="6">
        <f t="shared" si="5"/>
        <v>3</v>
      </c>
    </row>
    <row r="47" spans="1:27">
      <c r="A47" s="11">
        <v>46</v>
      </c>
      <c r="B47" s="12">
        <v>3</v>
      </c>
      <c r="C47" s="11">
        <v>4</v>
      </c>
      <c r="D47" s="11">
        <v>2</v>
      </c>
      <c r="E47" s="11">
        <v>2</v>
      </c>
      <c r="F47" s="11">
        <v>4</v>
      </c>
      <c r="G47" s="11">
        <v>2</v>
      </c>
      <c r="H47" s="11">
        <v>3</v>
      </c>
      <c r="I47" s="11">
        <v>2</v>
      </c>
      <c r="J47" s="11">
        <v>2</v>
      </c>
      <c r="K47" s="11">
        <v>2</v>
      </c>
      <c r="L47" s="11">
        <v>2</v>
      </c>
      <c r="M47" s="11">
        <v>2</v>
      </c>
      <c r="N47" s="11">
        <v>3</v>
      </c>
      <c r="O47" s="11">
        <v>5</v>
      </c>
      <c r="P47" s="11">
        <v>5</v>
      </c>
      <c r="Q47" s="11">
        <v>3</v>
      </c>
      <c r="R47" s="11">
        <v>2</v>
      </c>
      <c r="S47" s="11">
        <v>3</v>
      </c>
      <c r="T47" s="11">
        <v>2</v>
      </c>
      <c r="U47" s="10">
        <v>2</v>
      </c>
      <c r="V47" s="6">
        <f t="shared" si="0"/>
        <v>14.551704085619164</v>
      </c>
      <c r="W47" s="6">
        <f t="shared" si="1"/>
        <v>21.433823213017654</v>
      </c>
      <c r="X47" s="6">
        <f t="shared" si="2"/>
        <v>14.027780641686999</v>
      </c>
      <c r="Y47" s="6">
        <f t="shared" si="3"/>
        <v>20.937028993030822</v>
      </c>
      <c r="Z47" s="6">
        <f t="shared" si="4"/>
        <v>14.027780641686999</v>
      </c>
      <c r="AA47" s="6">
        <f t="shared" si="5"/>
        <v>3</v>
      </c>
    </row>
    <row r="48" spans="1:27">
      <c r="A48" s="11">
        <v>47</v>
      </c>
      <c r="B48" s="12">
        <v>2</v>
      </c>
      <c r="C48" s="11">
        <v>2</v>
      </c>
      <c r="D48" s="11">
        <v>1</v>
      </c>
      <c r="E48" s="11">
        <v>1</v>
      </c>
      <c r="F48" s="11">
        <v>2</v>
      </c>
      <c r="G48" s="11">
        <v>3</v>
      </c>
      <c r="H48" s="11">
        <v>3</v>
      </c>
      <c r="I48" s="11">
        <v>2</v>
      </c>
      <c r="J48" s="11">
        <v>2</v>
      </c>
      <c r="K48" s="11">
        <v>3</v>
      </c>
      <c r="L48" s="11">
        <v>3</v>
      </c>
      <c r="M48" s="11">
        <v>3</v>
      </c>
      <c r="N48" s="11">
        <v>3</v>
      </c>
      <c r="O48" s="11">
        <v>3</v>
      </c>
      <c r="P48" s="11">
        <v>3</v>
      </c>
      <c r="Q48" s="11">
        <v>1</v>
      </c>
      <c r="R48" s="11">
        <v>1</v>
      </c>
      <c r="S48" s="11">
        <v>1</v>
      </c>
      <c r="T48" s="11">
        <v>2</v>
      </c>
      <c r="U48" s="10">
        <v>4</v>
      </c>
      <c r="V48" s="6">
        <f t="shared" si="0"/>
        <v>26.384953830426266</v>
      </c>
      <c r="W48" s="6">
        <f t="shared" si="1"/>
        <v>30.750274775700472</v>
      </c>
      <c r="X48" s="6">
        <f t="shared" si="2"/>
        <v>17.89594971530606</v>
      </c>
      <c r="Y48" s="6">
        <f t="shared" si="3"/>
        <v>13.651259912402194</v>
      </c>
      <c r="Z48" s="6">
        <f t="shared" si="4"/>
        <v>13.651259912402194</v>
      </c>
      <c r="AA48" s="6">
        <f t="shared" si="5"/>
        <v>4</v>
      </c>
    </row>
    <row r="49" spans="1:27">
      <c r="A49" s="11">
        <v>48</v>
      </c>
      <c r="B49" s="12">
        <v>4</v>
      </c>
      <c r="C49" s="11">
        <v>2</v>
      </c>
      <c r="D49" s="11">
        <v>2</v>
      </c>
      <c r="E49" s="11">
        <v>2</v>
      </c>
      <c r="F49" s="11">
        <v>3</v>
      </c>
      <c r="G49" s="11">
        <v>4</v>
      </c>
      <c r="H49" s="11">
        <v>2</v>
      </c>
      <c r="I49" s="11">
        <v>2</v>
      </c>
      <c r="J49" s="11">
        <v>2</v>
      </c>
      <c r="K49" s="11">
        <v>2</v>
      </c>
      <c r="L49" s="11">
        <v>2</v>
      </c>
      <c r="M49" s="11">
        <v>2</v>
      </c>
      <c r="N49" s="11">
        <v>2</v>
      </c>
      <c r="O49" s="11">
        <v>4</v>
      </c>
      <c r="P49" s="11">
        <v>5</v>
      </c>
      <c r="Q49" s="11">
        <v>2</v>
      </c>
      <c r="R49" s="11">
        <v>3</v>
      </c>
      <c r="S49" s="11">
        <v>2</v>
      </c>
      <c r="T49" s="11">
        <v>4</v>
      </c>
      <c r="U49" s="10">
        <v>2</v>
      </c>
      <c r="V49" s="6">
        <f t="shared" si="0"/>
        <v>16.523914142191909</v>
      </c>
      <c r="W49" s="6">
        <f t="shared" si="1"/>
        <v>21.509794465017976</v>
      </c>
      <c r="X49" s="6">
        <f t="shared" si="2"/>
        <v>6.6431620455149263</v>
      </c>
      <c r="Y49" s="6">
        <f t="shared" si="3"/>
        <v>16.263550195023928</v>
      </c>
      <c r="Z49" s="6">
        <f t="shared" si="4"/>
        <v>6.6431620455149263</v>
      </c>
      <c r="AA49" s="6">
        <f t="shared" si="5"/>
        <v>3</v>
      </c>
    </row>
    <row r="50" spans="1:27">
      <c r="A50" s="11">
        <v>49</v>
      </c>
      <c r="B50" s="12">
        <v>2</v>
      </c>
      <c r="C50" s="11">
        <v>3</v>
      </c>
      <c r="D50" s="11">
        <v>2</v>
      </c>
      <c r="E50" s="11">
        <v>2</v>
      </c>
      <c r="F50" s="11">
        <v>4</v>
      </c>
      <c r="G50" s="11">
        <v>2</v>
      </c>
      <c r="H50" s="11">
        <v>3</v>
      </c>
      <c r="I50" s="11">
        <v>2</v>
      </c>
      <c r="J50" s="11">
        <v>3</v>
      </c>
      <c r="K50" s="11">
        <v>2</v>
      </c>
      <c r="L50" s="11">
        <v>3</v>
      </c>
      <c r="M50" s="11">
        <v>3</v>
      </c>
      <c r="N50" s="11">
        <v>3</v>
      </c>
      <c r="O50" s="11">
        <v>3</v>
      </c>
      <c r="P50" s="11">
        <v>2</v>
      </c>
      <c r="Q50" s="11">
        <v>3</v>
      </c>
      <c r="R50" s="11">
        <v>2</v>
      </c>
      <c r="S50" s="11">
        <v>3</v>
      </c>
      <c r="T50" s="11">
        <v>2</v>
      </c>
      <c r="U50" s="10">
        <v>3</v>
      </c>
      <c r="V50" s="6">
        <f t="shared" si="0"/>
        <v>17.940541349529799</v>
      </c>
      <c r="W50" s="6">
        <f t="shared" si="1"/>
        <v>12.737615936642889</v>
      </c>
      <c r="X50" s="6">
        <f t="shared" si="2"/>
        <v>19.5772291532842</v>
      </c>
      <c r="Y50" s="6">
        <f t="shared" si="3"/>
        <v>12.100311295002614</v>
      </c>
      <c r="Z50" s="6">
        <f t="shared" si="4"/>
        <v>12.100311295002614</v>
      </c>
      <c r="AA50" s="6">
        <f t="shared" si="5"/>
        <v>4</v>
      </c>
    </row>
    <row r="51" spans="1:27">
      <c r="A51" s="11">
        <v>50</v>
      </c>
      <c r="B51" s="12">
        <v>3</v>
      </c>
      <c r="C51" s="11">
        <v>4</v>
      </c>
      <c r="D51" s="11">
        <v>2</v>
      </c>
      <c r="E51" s="11">
        <v>3</v>
      </c>
      <c r="F51" s="11">
        <v>4</v>
      </c>
      <c r="G51" s="11">
        <v>3</v>
      </c>
      <c r="H51" s="11">
        <v>3</v>
      </c>
      <c r="I51" s="11">
        <v>3</v>
      </c>
      <c r="J51" s="11">
        <v>3</v>
      </c>
      <c r="K51" s="11">
        <v>3</v>
      </c>
      <c r="L51" s="11">
        <v>3</v>
      </c>
      <c r="M51" s="11">
        <v>3</v>
      </c>
      <c r="N51" s="11">
        <v>3</v>
      </c>
      <c r="O51" s="11">
        <v>3</v>
      </c>
      <c r="P51" s="11">
        <v>3</v>
      </c>
      <c r="Q51" s="11">
        <v>2</v>
      </c>
      <c r="R51" s="11">
        <v>3</v>
      </c>
      <c r="S51" s="11">
        <v>3</v>
      </c>
      <c r="T51" s="11">
        <v>3</v>
      </c>
      <c r="U51" s="10">
        <v>3</v>
      </c>
      <c r="V51" s="6">
        <f t="shared" si="0"/>
        <v>14.885038001496779</v>
      </c>
      <c r="W51" s="6">
        <f t="shared" si="1"/>
        <v>4.3579354695665362</v>
      </c>
      <c r="X51" s="6">
        <f t="shared" si="2"/>
        <v>15.005849253036422</v>
      </c>
      <c r="Y51" s="6">
        <f t="shared" si="3"/>
        <v>14.120736415238635</v>
      </c>
      <c r="Z51" s="6">
        <f t="shared" si="4"/>
        <v>4.3579354695665362</v>
      </c>
      <c r="AA51" s="6">
        <f t="shared" si="5"/>
        <v>2</v>
      </c>
    </row>
    <row r="52" spans="1:27">
      <c r="A52" s="11">
        <v>51</v>
      </c>
      <c r="B52" s="12">
        <v>3</v>
      </c>
      <c r="C52" s="11">
        <v>2</v>
      </c>
      <c r="D52" s="11">
        <v>2</v>
      </c>
      <c r="E52" s="11">
        <v>1</v>
      </c>
      <c r="F52" s="11">
        <v>2</v>
      </c>
      <c r="G52" s="11">
        <v>4</v>
      </c>
      <c r="H52" s="11">
        <v>2</v>
      </c>
      <c r="I52" s="11">
        <v>3</v>
      </c>
      <c r="J52" s="11">
        <v>1</v>
      </c>
      <c r="K52" s="11">
        <v>3</v>
      </c>
      <c r="L52" s="11">
        <v>1</v>
      </c>
      <c r="M52" s="11">
        <v>1</v>
      </c>
      <c r="N52" s="11">
        <v>4</v>
      </c>
      <c r="O52" s="11">
        <v>1</v>
      </c>
      <c r="P52" s="11">
        <v>2</v>
      </c>
      <c r="Q52" s="11">
        <v>2</v>
      </c>
      <c r="R52" s="11">
        <v>5</v>
      </c>
      <c r="S52" s="11">
        <v>3</v>
      </c>
      <c r="T52" s="11">
        <v>5</v>
      </c>
      <c r="U52" s="10">
        <v>4</v>
      </c>
      <c r="V52" s="6">
        <f t="shared" si="0"/>
        <v>45.912726578918985</v>
      </c>
      <c r="W52" s="6">
        <f t="shared" si="1"/>
        <v>36.243974074403511</v>
      </c>
      <c r="X52" s="6">
        <f t="shared" si="2"/>
        <v>37.522272999861102</v>
      </c>
      <c r="Y52" s="6">
        <f t="shared" si="3"/>
        <v>29.324755708879866</v>
      </c>
      <c r="Z52" s="6">
        <f t="shared" si="4"/>
        <v>29.324755708879866</v>
      </c>
      <c r="AA52" s="6">
        <f t="shared" si="5"/>
        <v>4</v>
      </c>
    </row>
    <row r="53" spans="1:27">
      <c r="A53" s="11">
        <v>52</v>
      </c>
      <c r="B53" s="12">
        <v>1</v>
      </c>
      <c r="C53" s="11">
        <v>1</v>
      </c>
      <c r="D53" s="11">
        <v>1</v>
      </c>
      <c r="E53" s="11">
        <v>2</v>
      </c>
      <c r="F53" s="11">
        <v>2</v>
      </c>
      <c r="G53" s="11">
        <v>2</v>
      </c>
      <c r="H53" s="11">
        <v>2</v>
      </c>
      <c r="I53" s="11">
        <v>2</v>
      </c>
      <c r="J53" s="11">
        <v>3</v>
      </c>
      <c r="K53" s="11">
        <v>2</v>
      </c>
      <c r="L53" s="11">
        <v>2</v>
      </c>
      <c r="M53" s="11">
        <v>2</v>
      </c>
      <c r="N53" s="11">
        <v>4</v>
      </c>
      <c r="O53" s="11">
        <v>2</v>
      </c>
      <c r="P53" s="11">
        <v>2</v>
      </c>
      <c r="Q53" s="11">
        <v>2</v>
      </c>
      <c r="R53" s="11">
        <v>2</v>
      </c>
      <c r="S53" s="11">
        <v>3</v>
      </c>
      <c r="T53" s="11">
        <v>3</v>
      </c>
      <c r="U53" s="10">
        <v>4</v>
      </c>
      <c r="V53" s="6">
        <f t="shared" si="0"/>
        <v>29.107134977028061</v>
      </c>
      <c r="W53" s="6">
        <f t="shared" si="1"/>
        <v>28.459132540781969</v>
      </c>
      <c r="X53" s="6">
        <f t="shared" si="2"/>
        <v>25.775054317545326</v>
      </c>
      <c r="Y53" s="6">
        <f t="shared" si="3"/>
        <v>12.998236969431746</v>
      </c>
      <c r="Z53" s="6">
        <f t="shared" si="4"/>
        <v>12.998236969431746</v>
      </c>
      <c r="AA53" s="6">
        <f t="shared" si="5"/>
        <v>4</v>
      </c>
    </row>
    <row r="54" spans="1:27">
      <c r="A54" s="11">
        <v>53</v>
      </c>
      <c r="B54" s="12">
        <v>3</v>
      </c>
      <c r="C54" s="11">
        <v>3</v>
      </c>
      <c r="D54" s="11">
        <v>2</v>
      </c>
      <c r="E54" s="11">
        <v>4</v>
      </c>
      <c r="F54" s="11">
        <v>4</v>
      </c>
      <c r="G54" s="11">
        <v>2</v>
      </c>
      <c r="H54" s="11">
        <v>2</v>
      </c>
      <c r="I54" s="11">
        <v>2</v>
      </c>
      <c r="J54" s="11">
        <v>2</v>
      </c>
      <c r="K54" s="11">
        <v>3</v>
      </c>
      <c r="L54" s="11">
        <v>2</v>
      </c>
      <c r="M54" s="11">
        <v>2</v>
      </c>
      <c r="N54" s="11">
        <v>2</v>
      </c>
      <c r="O54" s="11">
        <v>4</v>
      </c>
      <c r="P54" s="11">
        <v>5</v>
      </c>
      <c r="Q54" s="11">
        <v>3</v>
      </c>
      <c r="R54" s="11">
        <v>2</v>
      </c>
      <c r="S54" s="11">
        <v>2</v>
      </c>
      <c r="T54" s="11">
        <v>3</v>
      </c>
      <c r="U54" s="10">
        <v>4</v>
      </c>
      <c r="V54" s="6">
        <f t="shared" si="0"/>
        <v>7.9128282168645603</v>
      </c>
      <c r="W54" s="6">
        <f t="shared" si="1"/>
        <v>15.547803092029461</v>
      </c>
      <c r="X54" s="6">
        <f t="shared" si="2"/>
        <v>14.522338858544416</v>
      </c>
      <c r="Y54" s="6">
        <f t="shared" si="3"/>
        <v>16.039058977022925</v>
      </c>
      <c r="Z54" s="6">
        <f t="shared" si="4"/>
        <v>7.9128282168645603</v>
      </c>
      <c r="AA54" s="6">
        <f t="shared" si="5"/>
        <v>1</v>
      </c>
    </row>
    <row r="55" spans="1:27">
      <c r="A55" s="11">
        <v>54</v>
      </c>
      <c r="B55" s="12">
        <v>2</v>
      </c>
      <c r="C55" s="11">
        <v>1</v>
      </c>
      <c r="D55" s="11">
        <v>1</v>
      </c>
      <c r="E55" s="11">
        <v>2</v>
      </c>
      <c r="F55" s="11">
        <v>1</v>
      </c>
      <c r="G55" s="11">
        <v>4</v>
      </c>
      <c r="H55" s="11">
        <v>3</v>
      </c>
      <c r="I55" s="11">
        <v>3</v>
      </c>
      <c r="J55" s="11">
        <v>2</v>
      </c>
      <c r="K55" s="11">
        <v>4</v>
      </c>
      <c r="L55" s="11">
        <v>2</v>
      </c>
      <c r="M55" s="11">
        <v>3</v>
      </c>
      <c r="N55" s="11">
        <v>3</v>
      </c>
      <c r="O55" s="11">
        <v>4</v>
      </c>
      <c r="P55" s="11">
        <v>5</v>
      </c>
      <c r="Q55" s="11">
        <v>1</v>
      </c>
      <c r="R55" s="11">
        <v>2</v>
      </c>
      <c r="S55" s="11">
        <v>2</v>
      </c>
      <c r="T55" s="11">
        <v>3</v>
      </c>
      <c r="U55" s="10">
        <v>1</v>
      </c>
      <c r="V55" s="6">
        <f t="shared" si="0"/>
        <v>28.496100241693814</v>
      </c>
      <c r="W55" s="6">
        <f t="shared" si="1"/>
        <v>37.889519425480955</v>
      </c>
      <c r="X55" s="6">
        <f t="shared" si="2"/>
        <v>12.687113196756661</v>
      </c>
      <c r="Y55" s="6">
        <f t="shared" si="3"/>
        <v>25.263509487679517</v>
      </c>
      <c r="Z55" s="6">
        <f t="shared" si="4"/>
        <v>12.687113196756661</v>
      </c>
      <c r="AA55" s="6">
        <f t="shared" si="5"/>
        <v>3</v>
      </c>
    </row>
    <row r="56" spans="1:27">
      <c r="A56" s="11">
        <v>55</v>
      </c>
      <c r="B56" s="12">
        <v>5</v>
      </c>
      <c r="C56" s="11">
        <v>1</v>
      </c>
      <c r="D56" s="11">
        <v>1</v>
      </c>
      <c r="E56" s="11">
        <v>1</v>
      </c>
      <c r="F56" s="11">
        <v>4</v>
      </c>
      <c r="G56" s="11">
        <v>2</v>
      </c>
      <c r="H56" s="11">
        <v>3</v>
      </c>
      <c r="I56" s="11">
        <v>1</v>
      </c>
      <c r="J56" s="11">
        <v>1</v>
      </c>
      <c r="K56" s="11">
        <v>1</v>
      </c>
      <c r="L56" s="11">
        <v>1</v>
      </c>
      <c r="M56" s="11">
        <v>1</v>
      </c>
      <c r="N56" s="11">
        <v>1</v>
      </c>
      <c r="O56" s="11">
        <v>4</v>
      </c>
      <c r="P56" s="11">
        <v>1</v>
      </c>
      <c r="Q56" s="11">
        <v>2</v>
      </c>
      <c r="R56" s="11">
        <v>4</v>
      </c>
      <c r="S56" s="11">
        <v>5</v>
      </c>
      <c r="T56" s="11">
        <v>1</v>
      </c>
      <c r="U56" s="10">
        <v>5</v>
      </c>
      <c r="V56" s="6">
        <f t="shared" si="0"/>
        <v>49.801611908477319</v>
      </c>
      <c r="W56" s="6">
        <f t="shared" si="1"/>
        <v>59.33254635674006</v>
      </c>
      <c r="X56" s="6">
        <f t="shared" si="2"/>
        <v>53.983823898720331</v>
      </c>
      <c r="Y56" s="6">
        <f t="shared" si="3"/>
        <v>38.467638019847563</v>
      </c>
      <c r="Z56" s="6">
        <f t="shared" si="4"/>
        <v>38.467638019847563</v>
      </c>
      <c r="AA56" s="6">
        <f t="shared" si="5"/>
        <v>4</v>
      </c>
    </row>
    <row r="57" spans="1:27">
      <c r="A57" s="11">
        <v>56</v>
      </c>
      <c r="B57" s="12">
        <v>2</v>
      </c>
      <c r="C57" s="11">
        <v>3</v>
      </c>
      <c r="D57" s="11">
        <v>3</v>
      </c>
      <c r="E57" s="11">
        <v>2</v>
      </c>
      <c r="F57" s="11">
        <v>4</v>
      </c>
      <c r="G57" s="11">
        <v>3</v>
      </c>
      <c r="H57" s="11">
        <v>3</v>
      </c>
      <c r="I57" s="11">
        <v>1</v>
      </c>
      <c r="J57" s="11">
        <v>1</v>
      </c>
      <c r="K57" s="11">
        <v>3</v>
      </c>
      <c r="L57" s="11">
        <v>3</v>
      </c>
      <c r="M57" s="11">
        <v>2</v>
      </c>
      <c r="N57" s="11">
        <v>4</v>
      </c>
      <c r="O57" s="11">
        <v>3</v>
      </c>
      <c r="P57" s="11">
        <v>2</v>
      </c>
      <c r="Q57" s="11">
        <v>4</v>
      </c>
      <c r="R57" s="11">
        <v>3</v>
      </c>
      <c r="S57" s="11">
        <v>4</v>
      </c>
      <c r="T57" s="11">
        <v>2</v>
      </c>
      <c r="U57" s="10">
        <v>5</v>
      </c>
      <c r="V57" s="6">
        <f t="shared" si="0"/>
        <v>22.773900864787908</v>
      </c>
      <c r="W57" s="6">
        <f t="shared" si="1"/>
        <v>18.09208470115821</v>
      </c>
      <c r="X57" s="6">
        <f t="shared" si="2"/>
        <v>34.77502824126519</v>
      </c>
      <c r="Y57" s="6">
        <f t="shared" si="3"/>
        <v>21.202332674427371</v>
      </c>
      <c r="Z57" s="6">
        <f t="shared" si="4"/>
        <v>18.09208470115821</v>
      </c>
      <c r="AA57" s="6">
        <f t="shared" si="5"/>
        <v>2</v>
      </c>
    </row>
    <row r="58" spans="1:27">
      <c r="A58" s="11">
        <v>57</v>
      </c>
      <c r="B58" s="12">
        <v>3</v>
      </c>
      <c r="C58" s="11">
        <v>2</v>
      </c>
      <c r="D58" s="11">
        <v>3</v>
      </c>
      <c r="E58" s="11">
        <v>3</v>
      </c>
      <c r="F58" s="11">
        <v>3</v>
      </c>
      <c r="G58" s="11">
        <v>4</v>
      </c>
      <c r="H58" s="11">
        <v>4</v>
      </c>
      <c r="I58" s="11">
        <v>3</v>
      </c>
      <c r="J58" s="11">
        <v>2</v>
      </c>
      <c r="K58" s="11">
        <v>2</v>
      </c>
      <c r="L58" s="11">
        <v>1</v>
      </c>
      <c r="M58" s="11">
        <v>2</v>
      </c>
      <c r="N58" s="11">
        <v>3</v>
      </c>
      <c r="O58" s="11">
        <v>1</v>
      </c>
      <c r="P58" s="11">
        <v>4</v>
      </c>
      <c r="Q58" s="11">
        <v>5</v>
      </c>
      <c r="R58" s="11">
        <v>1</v>
      </c>
      <c r="S58" s="11">
        <v>2</v>
      </c>
      <c r="T58" s="11">
        <v>1</v>
      </c>
      <c r="U58" s="10">
        <v>4</v>
      </c>
      <c r="V58" s="6">
        <f t="shared" si="0"/>
        <v>25.079459670500782</v>
      </c>
      <c r="W58" s="6">
        <f t="shared" si="1"/>
        <v>31.281905081244123</v>
      </c>
      <c r="X58" s="6">
        <f t="shared" si="2"/>
        <v>35.434346556555852</v>
      </c>
      <c r="Y58" s="6">
        <f t="shared" si="3"/>
        <v>25.814569029173256</v>
      </c>
      <c r="Z58" s="6">
        <f t="shared" si="4"/>
        <v>25.079459670500782</v>
      </c>
      <c r="AA58" s="6">
        <f t="shared" si="5"/>
        <v>1</v>
      </c>
    </row>
    <row r="59" spans="1:27">
      <c r="A59" s="11">
        <v>58</v>
      </c>
      <c r="B59" s="12">
        <v>3</v>
      </c>
      <c r="C59" s="11">
        <v>5</v>
      </c>
      <c r="D59" s="11">
        <v>5</v>
      </c>
      <c r="E59" s="11">
        <v>4</v>
      </c>
      <c r="F59" s="11">
        <v>5</v>
      </c>
      <c r="G59" s="11">
        <v>2</v>
      </c>
      <c r="H59" s="11">
        <v>3</v>
      </c>
      <c r="I59" s="11">
        <v>3</v>
      </c>
      <c r="J59" s="11">
        <v>4</v>
      </c>
      <c r="K59" s="11">
        <v>3</v>
      </c>
      <c r="L59" s="11">
        <v>3</v>
      </c>
      <c r="M59" s="11">
        <v>4</v>
      </c>
      <c r="N59" s="11">
        <v>4</v>
      </c>
      <c r="O59" s="11">
        <v>2</v>
      </c>
      <c r="P59" s="11">
        <v>2</v>
      </c>
      <c r="Q59" s="11">
        <v>3</v>
      </c>
      <c r="R59" s="11">
        <v>3</v>
      </c>
      <c r="S59" s="11">
        <v>5</v>
      </c>
      <c r="T59" s="11">
        <v>3</v>
      </c>
      <c r="U59" s="10">
        <v>2</v>
      </c>
      <c r="V59" s="6">
        <f t="shared" si="0"/>
        <v>53.662835110393303</v>
      </c>
      <c r="W59" s="6">
        <f t="shared" si="1"/>
        <v>24.104793943801162</v>
      </c>
      <c r="X59" s="6">
        <f t="shared" si="2"/>
        <v>60.368358173715862</v>
      </c>
      <c r="Y59" s="6">
        <f t="shared" si="3"/>
        <v>51.692217733221675</v>
      </c>
      <c r="Z59" s="6">
        <f t="shared" si="4"/>
        <v>24.104793943801162</v>
      </c>
      <c r="AA59" s="6">
        <f t="shared" si="5"/>
        <v>2</v>
      </c>
    </row>
    <row r="60" spans="1:27">
      <c r="A60" s="11">
        <v>59</v>
      </c>
      <c r="B60" s="12">
        <v>3</v>
      </c>
      <c r="C60" s="11">
        <v>2</v>
      </c>
      <c r="D60" s="11">
        <v>2</v>
      </c>
      <c r="E60" s="11">
        <v>2</v>
      </c>
      <c r="F60" s="11">
        <v>3</v>
      </c>
      <c r="G60" s="11">
        <v>2</v>
      </c>
      <c r="H60" s="11">
        <v>3</v>
      </c>
      <c r="I60" s="11">
        <v>2</v>
      </c>
      <c r="J60" s="11">
        <v>3</v>
      </c>
      <c r="K60" s="11">
        <v>3</v>
      </c>
      <c r="L60" s="11">
        <v>2</v>
      </c>
      <c r="M60" s="11">
        <v>4</v>
      </c>
      <c r="N60" s="11">
        <v>2</v>
      </c>
      <c r="O60" s="11">
        <v>3</v>
      </c>
      <c r="P60" s="11">
        <v>2</v>
      </c>
      <c r="Q60" s="11">
        <v>3</v>
      </c>
      <c r="R60" s="11">
        <v>2</v>
      </c>
      <c r="S60" s="11">
        <v>2</v>
      </c>
      <c r="T60" s="11">
        <v>2</v>
      </c>
      <c r="U60" s="10">
        <v>4</v>
      </c>
      <c r="V60" s="6">
        <f t="shared" si="0"/>
        <v>19.162748643407312</v>
      </c>
      <c r="W60" s="6">
        <f t="shared" si="1"/>
        <v>17.054093024884974</v>
      </c>
      <c r="X60" s="6">
        <f t="shared" si="2"/>
        <v>18.621189812894251</v>
      </c>
      <c r="Y60" s="6">
        <f t="shared" si="3"/>
        <v>9.283957717271857</v>
      </c>
      <c r="Z60" s="6">
        <f t="shared" si="4"/>
        <v>9.283957717271857</v>
      </c>
      <c r="AA60" s="6">
        <f t="shared" si="5"/>
        <v>4</v>
      </c>
    </row>
    <row r="61" spans="1:27">
      <c r="A61" s="11">
        <v>60</v>
      </c>
      <c r="B61" s="12">
        <v>3</v>
      </c>
      <c r="C61" s="11">
        <v>3</v>
      </c>
      <c r="D61" s="11">
        <v>2</v>
      </c>
      <c r="E61" s="11">
        <v>4</v>
      </c>
      <c r="F61" s="11">
        <v>1</v>
      </c>
      <c r="G61" s="11">
        <v>3</v>
      </c>
      <c r="H61" s="11">
        <v>3</v>
      </c>
      <c r="I61" s="11">
        <v>3</v>
      </c>
      <c r="J61" s="11">
        <v>1</v>
      </c>
      <c r="K61" s="11">
        <v>3</v>
      </c>
      <c r="L61" s="11">
        <v>2</v>
      </c>
      <c r="M61" s="11">
        <v>2</v>
      </c>
      <c r="N61" s="11">
        <v>3</v>
      </c>
      <c r="O61" s="11">
        <v>5</v>
      </c>
      <c r="P61" s="11">
        <v>3</v>
      </c>
      <c r="Q61" s="11">
        <v>2</v>
      </c>
      <c r="R61" s="11">
        <v>2</v>
      </c>
      <c r="S61" s="11">
        <v>4</v>
      </c>
      <c r="T61" s="11">
        <v>5</v>
      </c>
      <c r="U61" s="10">
        <v>3</v>
      </c>
      <c r="V61" s="6">
        <f t="shared" si="0"/>
        <v>18.996107375919866</v>
      </c>
      <c r="W61" s="6">
        <f t="shared" si="1"/>
        <v>21.687038971487613</v>
      </c>
      <c r="X61" s="6">
        <f t="shared" si="2"/>
        <v>21.214624098886652</v>
      </c>
      <c r="Y61" s="6">
        <f t="shared" si="3"/>
        <v>21.773781966051487</v>
      </c>
      <c r="Z61" s="6">
        <f t="shared" si="4"/>
        <v>18.996107375919866</v>
      </c>
      <c r="AA61" s="6">
        <f t="shared" si="5"/>
        <v>1</v>
      </c>
    </row>
    <row r="62" spans="1:27">
      <c r="A62" s="11">
        <v>61</v>
      </c>
      <c r="B62" s="12">
        <v>4</v>
      </c>
      <c r="C62" s="11">
        <v>1</v>
      </c>
      <c r="D62" s="11">
        <v>1</v>
      </c>
      <c r="E62" s="11">
        <v>3</v>
      </c>
      <c r="F62" s="11">
        <v>1</v>
      </c>
      <c r="G62" s="11">
        <v>5</v>
      </c>
      <c r="H62" s="11">
        <v>2</v>
      </c>
      <c r="I62" s="11">
        <v>1</v>
      </c>
      <c r="J62" s="11">
        <v>1</v>
      </c>
      <c r="K62" s="11">
        <v>4</v>
      </c>
      <c r="L62" s="11">
        <v>1</v>
      </c>
      <c r="M62" s="11">
        <v>1</v>
      </c>
      <c r="N62" s="11">
        <v>5</v>
      </c>
      <c r="O62" s="11">
        <v>5</v>
      </c>
      <c r="P62" s="11">
        <v>5</v>
      </c>
      <c r="Q62" s="11">
        <v>1</v>
      </c>
      <c r="R62" s="11">
        <v>1</v>
      </c>
      <c r="S62" s="11">
        <v>2</v>
      </c>
      <c r="T62" s="11">
        <v>1</v>
      </c>
      <c r="U62" s="10">
        <v>1</v>
      </c>
      <c r="V62" s="6">
        <f t="shared" si="0"/>
        <v>41.246113219798815</v>
      </c>
      <c r="W62" s="6">
        <f t="shared" si="1"/>
        <v>68.231290681235549</v>
      </c>
      <c r="X62" s="6">
        <f t="shared" si="2"/>
        <v>29.37938360530314</v>
      </c>
      <c r="Y62" s="6">
        <f t="shared" si="3"/>
        <v>49.44718459324573</v>
      </c>
      <c r="Z62" s="6">
        <f t="shared" si="4"/>
        <v>29.37938360530314</v>
      </c>
      <c r="AA62" s="6">
        <f t="shared" si="5"/>
        <v>3</v>
      </c>
    </row>
    <row r="63" spans="1:27">
      <c r="A63" s="11">
        <v>62</v>
      </c>
      <c r="B63" s="12">
        <v>3</v>
      </c>
      <c r="C63" s="11">
        <v>2</v>
      </c>
      <c r="D63" s="11">
        <v>1</v>
      </c>
      <c r="E63" s="11">
        <v>3</v>
      </c>
      <c r="F63" s="11">
        <v>4</v>
      </c>
      <c r="G63" s="11">
        <v>4</v>
      </c>
      <c r="H63" s="11">
        <v>4</v>
      </c>
      <c r="I63" s="11">
        <v>1</v>
      </c>
      <c r="J63" s="11">
        <v>1</v>
      </c>
      <c r="K63" s="11">
        <v>1</v>
      </c>
      <c r="L63" s="11">
        <v>1</v>
      </c>
      <c r="M63" s="11">
        <v>1</v>
      </c>
      <c r="N63" s="11">
        <v>1</v>
      </c>
      <c r="O63" s="11">
        <v>5</v>
      </c>
      <c r="P63" s="11">
        <v>1</v>
      </c>
      <c r="Q63" s="11">
        <v>5</v>
      </c>
      <c r="R63" s="11">
        <v>1</v>
      </c>
      <c r="S63" s="11">
        <v>5</v>
      </c>
      <c r="T63" s="11">
        <v>1</v>
      </c>
      <c r="U63" s="10">
        <v>1</v>
      </c>
      <c r="V63" s="6">
        <f t="shared" si="0"/>
        <v>37.107186511977723</v>
      </c>
      <c r="W63" s="6">
        <f t="shared" si="1"/>
        <v>62.585621533889118</v>
      </c>
      <c r="X63" s="6">
        <f t="shared" si="2"/>
        <v>51.64310639359222</v>
      </c>
      <c r="Y63" s="6">
        <f t="shared" si="3"/>
        <v>51.386045754924339</v>
      </c>
      <c r="Z63" s="6">
        <f t="shared" si="4"/>
        <v>37.107186511977723</v>
      </c>
      <c r="AA63" s="6">
        <f t="shared" si="5"/>
        <v>1</v>
      </c>
    </row>
    <row r="64" spans="1:27">
      <c r="A64" s="11">
        <v>63</v>
      </c>
      <c r="B64" s="12">
        <v>3</v>
      </c>
      <c r="C64" s="11">
        <v>3</v>
      </c>
      <c r="D64" s="11">
        <v>2</v>
      </c>
      <c r="E64" s="11">
        <v>4</v>
      </c>
      <c r="F64" s="11">
        <v>3</v>
      </c>
      <c r="G64" s="11">
        <v>4</v>
      </c>
      <c r="H64" s="11">
        <v>3</v>
      </c>
      <c r="I64" s="11">
        <v>2</v>
      </c>
      <c r="J64" s="11">
        <v>2</v>
      </c>
      <c r="K64" s="11">
        <v>4</v>
      </c>
      <c r="L64" s="11">
        <v>2</v>
      </c>
      <c r="M64" s="11">
        <v>2</v>
      </c>
      <c r="N64" s="11">
        <v>3</v>
      </c>
      <c r="O64" s="11">
        <v>4</v>
      </c>
      <c r="P64" s="11">
        <v>3</v>
      </c>
      <c r="Q64" s="11">
        <v>2</v>
      </c>
      <c r="R64" s="11">
        <v>2</v>
      </c>
      <c r="S64" s="11">
        <v>4</v>
      </c>
      <c r="T64" s="11">
        <v>3</v>
      </c>
      <c r="U64" s="10">
        <v>3</v>
      </c>
      <c r="V64" s="6">
        <f t="shared" si="0"/>
        <v>6.4683547053674406</v>
      </c>
      <c r="W64" s="6">
        <f t="shared" si="1"/>
        <v>10.180727052944118</v>
      </c>
      <c r="X64" s="6">
        <f t="shared" si="2"/>
        <v>12.851977909856874</v>
      </c>
      <c r="Y64" s="6">
        <f t="shared" si="3"/>
        <v>13.896232422856249</v>
      </c>
      <c r="Z64" s="6">
        <f t="shared" si="4"/>
        <v>6.4683547053674406</v>
      </c>
      <c r="AA64" s="6">
        <f t="shared" si="5"/>
        <v>1</v>
      </c>
    </row>
    <row r="65" spans="1:27">
      <c r="A65" s="11">
        <v>64</v>
      </c>
      <c r="B65" s="12">
        <v>1</v>
      </c>
      <c r="C65" s="11">
        <v>2</v>
      </c>
      <c r="D65" s="11">
        <v>2</v>
      </c>
      <c r="E65" s="11">
        <v>3</v>
      </c>
      <c r="F65" s="11">
        <v>2</v>
      </c>
      <c r="G65" s="11">
        <v>4</v>
      </c>
      <c r="H65" s="11">
        <v>1</v>
      </c>
      <c r="I65" s="11">
        <v>1</v>
      </c>
      <c r="J65" s="11">
        <v>1</v>
      </c>
      <c r="K65" s="11">
        <v>2</v>
      </c>
      <c r="L65" s="11">
        <v>1</v>
      </c>
      <c r="M65" s="11">
        <v>2</v>
      </c>
      <c r="N65" s="11">
        <v>1</v>
      </c>
      <c r="O65" s="11">
        <v>1</v>
      </c>
      <c r="P65" s="11">
        <v>4</v>
      </c>
      <c r="Q65" s="11">
        <v>1</v>
      </c>
      <c r="R65" s="11">
        <v>2</v>
      </c>
      <c r="S65" s="11">
        <v>2</v>
      </c>
      <c r="T65" s="11">
        <v>1</v>
      </c>
      <c r="U65" s="10">
        <v>4</v>
      </c>
      <c r="V65" s="6">
        <f t="shared" si="0"/>
        <v>34.579383579048212</v>
      </c>
      <c r="W65" s="6">
        <f t="shared" si="1"/>
        <v>47.167946509135469</v>
      </c>
      <c r="X65" s="6">
        <f t="shared" si="2"/>
        <v>34.236517853438514</v>
      </c>
      <c r="Y65" s="6">
        <f t="shared" si="3"/>
        <v>21.324698833267476</v>
      </c>
      <c r="Z65" s="6">
        <f t="shared" si="4"/>
        <v>21.324698833267476</v>
      </c>
      <c r="AA65" s="6">
        <f t="shared" si="5"/>
        <v>4</v>
      </c>
    </row>
    <row r="66" spans="1:27">
      <c r="A66" s="11">
        <v>65</v>
      </c>
      <c r="B66" s="12">
        <v>5</v>
      </c>
      <c r="C66" s="11">
        <v>2</v>
      </c>
      <c r="D66" s="11">
        <v>2</v>
      </c>
      <c r="E66" s="11">
        <v>2</v>
      </c>
      <c r="F66" s="11">
        <v>3</v>
      </c>
      <c r="G66" s="11">
        <v>2</v>
      </c>
      <c r="H66" s="11">
        <v>2</v>
      </c>
      <c r="I66" s="11">
        <v>1</v>
      </c>
      <c r="J66" s="11">
        <v>1</v>
      </c>
      <c r="K66" s="11">
        <v>3</v>
      </c>
      <c r="L66" s="11">
        <v>1</v>
      </c>
      <c r="M66" s="11">
        <v>2</v>
      </c>
      <c r="N66" s="11">
        <v>1</v>
      </c>
      <c r="O66" s="11">
        <v>4</v>
      </c>
      <c r="P66" s="11">
        <v>3</v>
      </c>
      <c r="Q66" s="11">
        <v>2</v>
      </c>
      <c r="R66" s="11">
        <v>5</v>
      </c>
      <c r="S66" s="11">
        <v>3</v>
      </c>
      <c r="T66" s="11">
        <v>3</v>
      </c>
      <c r="U66" s="10">
        <v>2</v>
      </c>
      <c r="V66" s="6">
        <f t="shared" ref="V66:V129" si="6">SUMXMY2($B66:$U66,AE$2:AE$21)</f>
        <v>29.801665810007119</v>
      </c>
      <c r="W66" s="6">
        <f t="shared" ref="W66:W129" si="7">SUMXMY2($B66:$U66,AF$2:AF$21)</f>
        <v>34.775593666422161</v>
      </c>
      <c r="X66" s="6">
        <f t="shared" ref="X66:X129" si="8">SUMXMY2($B66:$U66,AG$2:AG$21)</f>
        <v>19.104626599210793</v>
      </c>
      <c r="Y66" s="6">
        <f t="shared" ref="Y66:Y129" si="9">SUMXMY2($B66:$U66,AH$2:AH$21)</f>
        <v>24.018630116760299</v>
      </c>
      <c r="Z66" s="6">
        <f t="shared" ref="Z66:Z129" si="10">MIN(V66:Y66)</f>
        <v>19.104626599210793</v>
      </c>
      <c r="AA66" s="6">
        <f t="shared" si="5"/>
        <v>3</v>
      </c>
    </row>
    <row r="67" spans="1:27">
      <c r="A67" s="11">
        <v>66</v>
      </c>
      <c r="B67" s="12">
        <v>3</v>
      </c>
      <c r="C67" s="11">
        <v>3</v>
      </c>
      <c r="D67" s="11">
        <v>1</v>
      </c>
      <c r="E67" s="11">
        <v>2</v>
      </c>
      <c r="F67" s="11">
        <v>3</v>
      </c>
      <c r="G67" s="11">
        <v>3</v>
      </c>
      <c r="H67" s="11">
        <v>3</v>
      </c>
      <c r="I67" s="11">
        <v>2</v>
      </c>
      <c r="J67" s="11">
        <v>1</v>
      </c>
      <c r="K67" s="11">
        <v>4</v>
      </c>
      <c r="L67" s="11">
        <v>3</v>
      </c>
      <c r="M67" s="11">
        <v>2</v>
      </c>
      <c r="N67" s="11">
        <v>3</v>
      </c>
      <c r="O67" s="11">
        <v>5</v>
      </c>
      <c r="P67" s="11">
        <v>4</v>
      </c>
      <c r="Q67" s="11">
        <v>3</v>
      </c>
      <c r="R67" s="11">
        <v>3</v>
      </c>
      <c r="S67" s="11">
        <v>3</v>
      </c>
      <c r="T67" s="11">
        <v>3</v>
      </c>
      <c r="U67" s="10">
        <v>1</v>
      </c>
      <c r="V67" s="6">
        <f t="shared" si="6"/>
        <v>15.551705423619222</v>
      </c>
      <c r="W67" s="6">
        <f t="shared" si="7"/>
        <v>23.307242959727944</v>
      </c>
      <c r="X67" s="6">
        <f t="shared" si="8"/>
        <v>8.8409706086374182</v>
      </c>
      <c r="Y67" s="6">
        <f t="shared" si="9"/>
        <v>24.018645150517493</v>
      </c>
      <c r="Z67" s="6">
        <f t="shared" si="10"/>
        <v>8.8409706086374182</v>
      </c>
      <c r="AA67" s="6">
        <f t="shared" ref="AA67:AA130" si="11">IF(Z67=V67,1,IF(Z67=W67,2,IF(Z67=X67,3,4)))</f>
        <v>3</v>
      </c>
    </row>
    <row r="68" spans="1:27">
      <c r="A68" s="11">
        <v>67</v>
      </c>
      <c r="B68" s="12">
        <v>2</v>
      </c>
      <c r="C68" s="11">
        <v>3</v>
      </c>
      <c r="D68" s="11">
        <v>4</v>
      </c>
      <c r="E68" s="11">
        <v>3</v>
      </c>
      <c r="F68" s="11">
        <v>2</v>
      </c>
      <c r="G68" s="11">
        <v>3</v>
      </c>
      <c r="H68" s="11">
        <v>4</v>
      </c>
      <c r="I68" s="11">
        <v>3</v>
      </c>
      <c r="J68" s="11">
        <v>2</v>
      </c>
      <c r="K68" s="11">
        <v>3</v>
      </c>
      <c r="L68" s="11">
        <v>3</v>
      </c>
      <c r="M68" s="11">
        <v>4</v>
      </c>
      <c r="N68" s="11">
        <v>2</v>
      </c>
      <c r="O68" s="11">
        <v>3</v>
      </c>
      <c r="P68" s="11">
        <v>4</v>
      </c>
      <c r="Q68" s="11">
        <v>3</v>
      </c>
      <c r="R68" s="11">
        <v>2</v>
      </c>
      <c r="S68" s="11">
        <v>1</v>
      </c>
      <c r="T68" s="11">
        <v>5</v>
      </c>
      <c r="U68" s="10">
        <v>3</v>
      </c>
      <c r="V68" s="6">
        <f t="shared" si="6"/>
        <v>28.385034770516079</v>
      </c>
      <c r="W68" s="6">
        <f t="shared" si="7"/>
        <v>18.218668759618303</v>
      </c>
      <c r="X68" s="6">
        <f t="shared" si="8"/>
        <v>26.423359479069582</v>
      </c>
      <c r="Y68" s="6">
        <f t="shared" si="9"/>
        <v>24.447220254609334</v>
      </c>
      <c r="Z68" s="6">
        <f t="shared" si="10"/>
        <v>18.218668759618303</v>
      </c>
      <c r="AA68" s="6">
        <f t="shared" si="11"/>
        <v>2</v>
      </c>
    </row>
    <row r="69" spans="1:27">
      <c r="A69" s="11">
        <v>68</v>
      </c>
      <c r="B69" s="12">
        <v>3</v>
      </c>
      <c r="C69" s="11">
        <v>3</v>
      </c>
      <c r="D69" s="11">
        <v>4</v>
      </c>
      <c r="E69" s="11">
        <v>4</v>
      </c>
      <c r="F69" s="11">
        <v>3</v>
      </c>
      <c r="G69" s="11">
        <v>4</v>
      </c>
      <c r="H69" s="11">
        <v>3</v>
      </c>
      <c r="I69" s="11">
        <v>2</v>
      </c>
      <c r="J69" s="11">
        <v>4</v>
      </c>
      <c r="K69" s="11">
        <v>3</v>
      </c>
      <c r="L69" s="11">
        <v>3</v>
      </c>
      <c r="M69" s="11">
        <v>4</v>
      </c>
      <c r="N69" s="11">
        <v>4</v>
      </c>
      <c r="O69" s="11">
        <v>4</v>
      </c>
      <c r="P69" s="11">
        <v>4</v>
      </c>
      <c r="Q69" s="11">
        <v>2</v>
      </c>
      <c r="R69" s="11">
        <v>3</v>
      </c>
      <c r="S69" s="11">
        <v>4</v>
      </c>
      <c r="T69" s="11">
        <v>4</v>
      </c>
      <c r="U69" s="10">
        <v>2</v>
      </c>
      <c r="V69" s="6">
        <f t="shared" si="6"/>
        <v>28.801730057953581</v>
      </c>
      <c r="W69" s="6">
        <f t="shared" si="7"/>
        <v>12.421276979087724</v>
      </c>
      <c r="X69" s="6">
        <f t="shared" si="8"/>
        <v>27.456334130433518</v>
      </c>
      <c r="Y69" s="6">
        <f t="shared" si="9"/>
        <v>30.079953059795436</v>
      </c>
      <c r="Z69" s="6">
        <f t="shared" si="10"/>
        <v>12.421276979087724</v>
      </c>
      <c r="AA69" s="6">
        <f t="shared" si="11"/>
        <v>2</v>
      </c>
    </row>
    <row r="70" spans="1:27">
      <c r="A70" s="11">
        <v>69</v>
      </c>
      <c r="B70" s="12">
        <v>3</v>
      </c>
      <c r="C70" s="11">
        <v>3</v>
      </c>
      <c r="D70" s="11">
        <v>2</v>
      </c>
      <c r="E70" s="11">
        <v>3</v>
      </c>
      <c r="F70" s="11">
        <v>3</v>
      </c>
      <c r="G70" s="11">
        <v>3</v>
      </c>
      <c r="H70" s="11">
        <v>4</v>
      </c>
      <c r="I70" s="11">
        <v>2</v>
      </c>
      <c r="J70" s="11">
        <v>1</v>
      </c>
      <c r="K70" s="11">
        <v>5</v>
      </c>
      <c r="L70" s="11">
        <v>2</v>
      </c>
      <c r="M70" s="11">
        <v>5</v>
      </c>
      <c r="N70" s="11">
        <v>5</v>
      </c>
      <c r="O70" s="11">
        <v>5</v>
      </c>
      <c r="P70" s="11">
        <v>3</v>
      </c>
      <c r="Q70" s="11">
        <v>3</v>
      </c>
      <c r="R70" s="11">
        <v>2</v>
      </c>
      <c r="S70" s="11">
        <v>2</v>
      </c>
      <c r="T70" s="11">
        <v>2</v>
      </c>
      <c r="U70" s="10">
        <v>4</v>
      </c>
      <c r="V70" s="6">
        <f t="shared" si="6"/>
        <v>27.357248776487499</v>
      </c>
      <c r="W70" s="6">
        <f t="shared" si="7"/>
        <v>29.16807063497388</v>
      </c>
      <c r="X70" s="6">
        <f t="shared" si="8"/>
        <v>30.060796127580559</v>
      </c>
      <c r="Y70" s="6">
        <f t="shared" si="9"/>
        <v>32.488041675107596</v>
      </c>
      <c r="Z70" s="6">
        <f t="shared" si="10"/>
        <v>27.357248776487499</v>
      </c>
      <c r="AA70" s="6">
        <f t="shared" si="11"/>
        <v>1</v>
      </c>
    </row>
    <row r="71" spans="1:27">
      <c r="A71" s="11">
        <v>70</v>
      </c>
      <c r="B71" s="12">
        <v>3</v>
      </c>
      <c r="C71" s="11">
        <v>4</v>
      </c>
      <c r="D71" s="11">
        <v>1</v>
      </c>
      <c r="E71" s="11">
        <v>1</v>
      </c>
      <c r="F71" s="11">
        <v>3</v>
      </c>
      <c r="G71" s="11">
        <v>3</v>
      </c>
      <c r="H71" s="11">
        <v>3</v>
      </c>
      <c r="I71" s="11">
        <v>1</v>
      </c>
      <c r="J71" s="11">
        <v>1</v>
      </c>
      <c r="K71" s="11">
        <v>1</v>
      </c>
      <c r="L71" s="11">
        <v>1</v>
      </c>
      <c r="M71" s="11">
        <v>3</v>
      </c>
      <c r="N71" s="11">
        <v>2</v>
      </c>
      <c r="O71" s="11">
        <v>1</v>
      </c>
      <c r="P71" s="11">
        <v>3</v>
      </c>
      <c r="Q71" s="11">
        <v>3</v>
      </c>
      <c r="R71" s="11">
        <v>3</v>
      </c>
      <c r="S71" s="11">
        <v>4</v>
      </c>
      <c r="T71" s="11">
        <v>3</v>
      </c>
      <c r="U71" s="10">
        <v>4</v>
      </c>
      <c r="V71" s="6">
        <f t="shared" si="6"/>
        <v>34.27380535877127</v>
      </c>
      <c r="W71" s="6">
        <f t="shared" si="7"/>
        <v>32.155296492528187</v>
      </c>
      <c r="X71" s="6">
        <f t="shared" si="8"/>
        <v>32.39043870599825</v>
      </c>
      <c r="Y71" s="6">
        <f t="shared" si="9"/>
        <v>17.957423131325463</v>
      </c>
      <c r="Z71" s="6">
        <f t="shared" si="10"/>
        <v>17.957423131325463</v>
      </c>
      <c r="AA71" s="6">
        <f t="shared" si="11"/>
        <v>4</v>
      </c>
    </row>
    <row r="72" spans="1:27">
      <c r="A72" s="11">
        <v>71</v>
      </c>
      <c r="B72" s="12">
        <v>2</v>
      </c>
      <c r="C72" s="11">
        <v>4</v>
      </c>
      <c r="D72" s="11">
        <v>4</v>
      </c>
      <c r="E72" s="11">
        <v>4</v>
      </c>
      <c r="F72" s="11">
        <v>5</v>
      </c>
      <c r="G72" s="11">
        <v>4</v>
      </c>
      <c r="H72" s="11">
        <v>4</v>
      </c>
      <c r="I72" s="11">
        <v>4</v>
      </c>
      <c r="J72" s="11">
        <v>2</v>
      </c>
      <c r="K72" s="11">
        <v>2</v>
      </c>
      <c r="L72" s="11">
        <v>2</v>
      </c>
      <c r="M72" s="11">
        <v>2</v>
      </c>
      <c r="N72" s="11">
        <v>3</v>
      </c>
      <c r="O72" s="11">
        <v>1</v>
      </c>
      <c r="P72" s="11">
        <v>4</v>
      </c>
      <c r="Q72" s="11">
        <v>4</v>
      </c>
      <c r="R72" s="11">
        <v>2</v>
      </c>
      <c r="S72" s="11">
        <v>4</v>
      </c>
      <c r="T72" s="11">
        <v>4</v>
      </c>
      <c r="U72" s="10">
        <v>5</v>
      </c>
      <c r="V72" s="6">
        <f t="shared" si="6"/>
        <v>33.968387977448174</v>
      </c>
      <c r="W72" s="6">
        <f t="shared" si="7"/>
        <v>20.990858916041969</v>
      </c>
      <c r="X72" s="6">
        <f t="shared" si="8"/>
        <v>54.54430358954744</v>
      </c>
      <c r="Y72" s="6">
        <f t="shared" si="9"/>
        <v>38.610543851771922</v>
      </c>
      <c r="Z72" s="6">
        <f t="shared" si="10"/>
        <v>20.990858916041969</v>
      </c>
      <c r="AA72" s="6">
        <f t="shared" si="11"/>
        <v>2</v>
      </c>
    </row>
    <row r="73" spans="1:27">
      <c r="A73" s="11">
        <v>72</v>
      </c>
      <c r="B73" s="12">
        <v>2</v>
      </c>
      <c r="C73" s="11">
        <v>1</v>
      </c>
      <c r="D73" s="11">
        <v>2</v>
      </c>
      <c r="E73" s="11">
        <v>2</v>
      </c>
      <c r="F73" s="11">
        <v>1</v>
      </c>
      <c r="G73" s="11">
        <v>2</v>
      </c>
      <c r="H73" s="11">
        <v>3</v>
      </c>
      <c r="I73" s="11">
        <v>3</v>
      </c>
      <c r="J73" s="11">
        <v>2</v>
      </c>
      <c r="K73" s="11">
        <v>4</v>
      </c>
      <c r="L73" s="11">
        <v>1</v>
      </c>
      <c r="M73" s="11">
        <v>4</v>
      </c>
      <c r="N73" s="11">
        <v>4</v>
      </c>
      <c r="O73" s="11">
        <v>5</v>
      </c>
      <c r="P73" s="11">
        <v>5</v>
      </c>
      <c r="Q73" s="11">
        <v>3</v>
      </c>
      <c r="R73" s="11">
        <v>1</v>
      </c>
      <c r="S73" s="11">
        <v>2</v>
      </c>
      <c r="T73" s="11">
        <v>1</v>
      </c>
      <c r="U73" s="10">
        <v>5</v>
      </c>
      <c r="V73" s="6">
        <f t="shared" si="6"/>
        <v>33.107211167275082</v>
      </c>
      <c r="W73" s="6">
        <f t="shared" si="7"/>
        <v>43.687033455712111</v>
      </c>
      <c r="X73" s="6">
        <f t="shared" si="8"/>
        <v>33.742105450184702</v>
      </c>
      <c r="Y73" s="6">
        <f t="shared" si="9"/>
        <v>28.467581713901808</v>
      </c>
      <c r="Z73" s="6">
        <f t="shared" si="10"/>
        <v>28.467581713901808</v>
      </c>
      <c r="AA73" s="6">
        <f t="shared" si="11"/>
        <v>4</v>
      </c>
    </row>
    <row r="74" spans="1:27">
      <c r="A74" s="11">
        <v>73</v>
      </c>
      <c r="B74" s="12">
        <v>2</v>
      </c>
      <c r="C74" s="11">
        <v>3</v>
      </c>
      <c r="D74" s="11">
        <v>2</v>
      </c>
      <c r="E74" s="11">
        <v>4</v>
      </c>
      <c r="F74" s="11">
        <v>3</v>
      </c>
      <c r="G74" s="11">
        <v>3</v>
      </c>
      <c r="H74" s="11">
        <v>3</v>
      </c>
      <c r="I74" s="11">
        <v>3</v>
      </c>
      <c r="J74" s="11">
        <v>4</v>
      </c>
      <c r="K74" s="11">
        <v>3</v>
      </c>
      <c r="L74" s="11">
        <v>3</v>
      </c>
      <c r="M74" s="11">
        <v>1</v>
      </c>
      <c r="N74" s="11">
        <v>2</v>
      </c>
      <c r="O74" s="11">
        <v>4</v>
      </c>
      <c r="P74" s="11">
        <v>3</v>
      </c>
      <c r="Q74" s="11">
        <v>3</v>
      </c>
      <c r="R74" s="11">
        <v>2</v>
      </c>
      <c r="S74" s="11">
        <v>3</v>
      </c>
      <c r="T74" s="11">
        <v>4</v>
      </c>
      <c r="U74" s="10">
        <v>3</v>
      </c>
      <c r="V74" s="6">
        <f t="shared" si="6"/>
        <v>12.551710452721149</v>
      </c>
      <c r="W74" s="6">
        <f t="shared" si="7"/>
        <v>11.395916504073517</v>
      </c>
      <c r="X74" s="6">
        <f t="shared" si="8"/>
        <v>20.456409708745888</v>
      </c>
      <c r="Y74" s="6">
        <f t="shared" si="9"/>
        <v>20.447273582384874</v>
      </c>
      <c r="Z74" s="6">
        <f t="shared" si="10"/>
        <v>11.395916504073517</v>
      </c>
      <c r="AA74" s="6">
        <f t="shared" si="11"/>
        <v>2</v>
      </c>
    </row>
    <row r="75" spans="1:27">
      <c r="A75" s="11">
        <v>74</v>
      </c>
      <c r="B75" s="12">
        <v>5</v>
      </c>
      <c r="C75" s="11">
        <v>5</v>
      </c>
      <c r="D75" s="11">
        <v>2</v>
      </c>
      <c r="E75" s="11">
        <v>3</v>
      </c>
      <c r="F75" s="11">
        <v>2</v>
      </c>
      <c r="G75" s="11">
        <v>5</v>
      </c>
      <c r="H75" s="11">
        <v>1</v>
      </c>
      <c r="I75" s="11">
        <v>3</v>
      </c>
      <c r="J75" s="11">
        <v>2</v>
      </c>
      <c r="K75" s="11">
        <v>3</v>
      </c>
      <c r="L75" s="11">
        <v>3</v>
      </c>
      <c r="M75" s="11">
        <v>2</v>
      </c>
      <c r="N75" s="11">
        <v>2</v>
      </c>
      <c r="O75" s="11">
        <v>5</v>
      </c>
      <c r="P75" s="11">
        <v>5</v>
      </c>
      <c r="Q75" s="11">
        <v>5</v>
      </c>
      <c r="R75" s="11">
        <v>1</v>
      </c>
      <c r="S75" s="11">
        <v>2</v>
      </c>
      <c r="T75" s="11">
        <v>3</v>
      </c>
      <c r="U75" s="10">
        <v>4</v>
      </c>
      <c r="V75" s="6">
        <f t="shared" si="6"/>
        <v>33.468417605425273</v>
      </c>
      <c r="W75" s="6">
        <f t="shared" si="7"/>
        <v>40.142759833619657</v>
      </c>
      <c r="X75" s="6">
        <f t="shared" si="8"/>
        <v>40.68722123962857</v>
      </c>
      <c r="Y75" s="6">
        <f t="shared" si="9"/>
        <v>47.610521493662254</v>
      </c>
      <c r="Z75" s="6">
        <f t="shared" si="10"/>
        <v>33.468417605425273</v>
      </c>
      <c r="AA75" s="6">
        <f t="shared" si="11"/>
        <v>1</v>
      </c>
    </row>
    <row r="76" spans="1:27">
      <c r="A76" s="11">
        <v>75</v>
      </c>
      <c r="B76" s="12">
        <v>1</v>
      </c>
      <c r="C76" s="11">
        <v>1</v>
      </c>
      <c r="D76" s="11">
        <v>1</v>
      </c>
      <c r="E76" s="11">
        <v>1</v>
      </c>
      <c r="F76" s="11">
        <v>5</v>
      </c>
      <c r="G76" s="11">
        <v>2</v>
      </c>
      <c r="H76" s="11">
        <v>3</v>
      </c>
      <c r="I76" s="11">
        <v>3</v>
      </c>
      <c r="J76" s="11">
        <v>1</v>
      </c>
      <c r="K76" s="11">
        <v>1</v>
      </c>
      <c r="L76" s="11">
        <v>1</v>
      </c>
      <c r="M76" s="11">
        <v>4</v>
      </c>
      <c r="N76" s="11">
        <v>1</v>
      </c>
      <c r="O76" s="11">
        <v>3</v>
      </c>
      <c r="P76" s="11">
        <v>3</v>
      </c>
      <c r="Q76" s="11">
        <v>3</v>
      </c>
      <c r="R76" s="11">
        <v>3</v>
      </c>
      <c r="S76" s="11">
        <v>3</v>
      </c>
      <c r="T76" s="11">
        <v>3</v>
      </c>
      <c r="U76" s="10">
        <v>3</v>
      </c>
      <c r="V76" s="6">
        <f t="shared" si="6"/>
        <v>33.273822391476571</v>
      </c>
      <c r="W76" s="6">
        <f t="shared" si="7"/>
        <v>38.433754074006153</v>
      </c>
      <c r="X76" s="6">
        <f t="shared" si="8"/>
        <v>33.225587126076086</v>
      </c>
      <c r="Y76" s="6">
        <f t="shared" si="9"/>
        <v>23.549245027555486</v>
      </c>
      <c r="Z76" s="6">
        <f t="shared" si="10"/>
        <v>23.549245027555486</v>
      </c>
      <c r="AA76" s="6">
        <f t="shared" si="11"/>
        <v>4</v>
      </c>
    </row>
    <row r="77" spans="1:27">
      <c r="A77" s="11">
        <v>76</v>
      </c>
      <c r="B77" s="12">
        <v>4</v>
      </c>
      <c r="C77" s="11">
        <v>2</v>
      </c>
      <c r="D77" s="11">
        <v>1</v>
      </c>
      <c r="E77" s="11">
        <v>3</v>
      </c>
      <c r="F77" s="11">
        <v>3</v>
      </c>
      <c r="G77" s="11">
        <v>3</v>
      </c>
      <c r="H77" s="11">
        <v>2</v>
      </c>
      <c r="I77" s="11">
        <v>2</v>
      </c>
      <c r="J77" s="11">
        <v>1</v>
      </c>
      <c r="K77" s="11">
        <v>3</v>
      </c>
      <c r="L77" s="11">
        <v>2</v>
      </c>
      <c r="M77" s="11">
        <v>2</v>
      </c>
      <c r="N77" s="11">
        <v>2</v>
      </c>
      <c r="O77" s="11">
        <v>5</v>
      </c>
      <c r="P77" s="11">
        <v>3</v>
      </c>
      <c r="Q77" s="11">
        <v>3</v>
      </c>
      <c r="R77" s="11">
        <v>2</v>
      </c>
      <c r="S77" s="11">
        <v>2</v>
      </c>
      <c r="T77" s="11">
        <v>3</v>
      </c>
      <c r="U77" s="10">
        <v>2</v>
      </c>
      <c r="V77" s="6">
        <f t="shared" si="6"/>
        <v>9.46834198364202</v>
      </c>
      <c r="W77" s="6">
        <f t="shared" si="7"/>
        <v>24.762930609323512</v>
      </c>
      <c r="X77" s="6">
        <f t="shared" si="8"/>
        <v>7.0497622642500941</v>
      </c>
      <c r="Y77" s="6">
        <f t="shared" si="9"/>
        <v>17.079875838959687</v>
      </c>
      <c r="Z77" s="6">
        <f t="shared" si="10"/>
        <v>7.0497622642500941</v>
      </c>
      <c r="AA77" s="6">
        <f t="shared" si="11"/>
        <v>3</v>
      </c>
    </row>
    <row r="78" spans="1:27">
      <c r="A78" s="11">
        <v>77</v>
      </c>
      <c r="B78" s="12">
        <v>3</v>
      </c>
      <c r="C78" s="11">
        <v>1</v>
      </c>
      <c r="D78" s="11">
        <v>1</v>
      </c>
      <c r="E78" s="11">
        <v>1</v>
      </c>
      <c r="F78" s="11">
        <v>1</v>
      </c>
      <c r="G78" s="11">
        <v>4</v>
      </c>
      <c r="H78" s="11">
        <v>2</v>
      </c>
      <c r="I78" s="11">
        <v>1</v>
      </c>
      <c r="J78" s="11">
        <v>1</v>
      </c>
      <c r="K78" s="11">
        <v>2</v>
      </c>
      <c r="L78" s="11">
        <v>3</v>
      </c>
      <c r="M78" s="11">
        <v>3</v>
      </c>
      <c r="N78" s="11">
        <v>4</v>
      </c>
      <c r="O78" s="11">
        <v>4</v>
      </c>
      <c r="P78" s="11">
        <v>5</v>
      </c>
      <c r="Q78" s="11">
        <v>2</v>
      </c>
      <c r="R78" s="11">
        <v>2</v>
      </c>
      <c r="S78" s="11">
        <v>2</v>
      </c>
      <c r="T78" s="11">
        <v>5</v>
      </c>
      <c r="U78" s="10">
        <v>5</v>
      </c>
      <c r="V78" s="6">
        <f t="shared" si="6"/>
        <v>38.801629566996155</v>
      </c>
      <c r="W78" s="6">
        <f t="shared" si="7"/>
        <v>42.560454746168425</v>
      </c>
      <c r="X78" s="6">
        <f t="shared" si="8"/>
        <v>28.588322714827697</v>
      </c>
      <c r="Y78" s="6">
        <f t="shared" si="9"/>
        <v>27.467606520355108</v>
      </c>
      <c r="Z78" s="6">
        <f t="shared" si="10"/>
        <v>27.467606520355108</v>
      </c>
      <c r="AA78" s="6">
        <f t="shared" si="11"/>
        <v>4</v>
      </c>
    </row>
    <row r="79" spans="1:27">
      <c r="A79" s="11">
        <v>78</v>
      </c>
      <c r="B79" s="12">
        <v>3</v>
      </c>
      <c r="C79" s="11">
        <v>2</v>
      </c>
      <c r="D79" s="11">
        <v>1</v>
      </c>
      <c r="E79" s="11">
        <v>3</v>
      </c>
      <c r="F79" s="11">
        <v>1</v>
      </c>
      <c r="G79" s="11">
        <v>3</v>
      </c>
      <c r="H79" s="11">
        <v>3</v>
      </c>
      <c r="I79" s="11">
        <v>1</v>
      </c>
      <c r="J79" s="11">
        <v>1</v>
      </c>
      <c r="K79" s="11">
        <v>2</v>
      </c>
      <c r="L79" s="11">
        <v>1</v>
      </c>
      <c r="M79" s="11">
        <v>3</v>
      </c>
      <c r="N79" s="11">
        <v>2</v>
      </c>
      <c r="O79" s="11">
        <v>4</v>
      </c>
      <c r="P79" s="11">
        <v>3</v>
      </c>
      <c r="Q79" s="11">
        <v>1</v>
      </c>
      <c r="R79" s="11">
        <v>5</v>
      </c>
      <c r="S79" s="11">
        <v>3</v>
      </c>
      <c r="T79" s="11">
        <v>3</v>
      </c>
      <c r="U79" s="10">
        <v>5</v>
      </c>
      <c r="V79" s="6">
        <f t="shared" si="6"/>
        <v>30.912741926732934</v>
      </c>
      <c r="W79" s="6">
        <f t="shared" si="7"/>
        <v>35.142711402896239</v>
      </c>
      <c r="X79" s="6">
        <f t="shared" si="8"/>
        <v>26.89597306822121</v>
      </c>
      <c r="Y79" s="6">
        <f t="shared" si="9"/>
        <v>17.896188160546455</v>
      </c>
      <c r="Z79" s="6">
        <f t="shared" si="10"/>
        <v>17.896188160546455</v>
      </c>
      <c r="AA79" s="6">
        <f t="shared" si="11"/>
        <v>4</v>
      </c>
    </row>
    <row r="80" spans="1:27">
      <c r="A80" s="11">
        <v>79</v>
      </c>
      <c r="B80" s="12">
        <v>3</v>
      </c>
      <c r="C80" s="11">
        <v>3</v>
      </c>
      <c r="D80" s="11">
        <v>2</v>
      </c>
      <c r="E80" s="11">
        <v>4</v>
      </c>
      <c r="F80" s="11">
        <v>3</v>
      </c>
      <c r="G80" s="11">
        <v>4</v>
      </c>
      <c r="H80" s="11">
        <v>3</v>
      </c>
      <c r="I80" s="11">
        <v>2</v>
      </c>
      <c r="J80" s="11">
        <v>2</v>
      </c>
      <c r="K80" s="11">
        <v>3</v>
      </c>
      <c r="L80" s="11">
        <v>2</v>
      </c>
      <c r="M80" s="11">
        <v>1</v>
      </c>
      <c r="N80" s="11">
        <v>2</v>
      </c>
      <c r="O80" s="11">
        <v>4</v>
      </c>
      <c r="P80" s="11">
        <v>3</v>
      </c>
      <c r="Q80" s="11">
        <v>3</v>
      </c>
      <c r="R80" s="11">
        <v>3</v>
      </c>
      <c r="S80" s="11">
        <v>3</v>
      </c>
      <c r="T80" s="11">
        <v>3</v>
      </c>
      <c r="U80" s="10">
        <v>3</v>
      </c>
      <c r="V80" s="6">
        <f t="shared" si="6"/>
        <v>4.1350427579383524</v>
      </c>
      <c r="W80" s="6">
        <f t="shared" si="7"/>
        <v>10.940189633651393</v>
      </c>
      <c r="X80" s="6">
        <f t="shared" si="8"/>
        <v>11.555272694982591</v>
      </c>
      <c r="Y80" s="6">
        <f t="shared" si="9"/>
        <v>13.447249596172432</v>
      </c>
      <c r="Z80" s="6">
        <f t="shared" si="10"/>
        <v>4.1350427579383524</v>
      </c>
      <c r="AA80" s="6">
        <f t="shared" si="11"/>
        <v>1</v>
      </c>
    </row>
    <row r="81" spans="1:27">
      <c r="A81" s="11">
        <v>80</v>
      </c>
      <c r="B81" s="12">
        <v>5</v>
      </c>
      <c r="C81" s="11">
        <v>5</v>
      </c>
      <c r="D81" s="11">
        <v>1</v>
      </c>
      <c r="E81" s="11">
        <v>1</v>
      </c>
      <c r="F81" s="11">
        <v>4</v>
      </c>
      <c r="G81" s="11">
        <v>5</v>
      </c>
      <c r="H81" s="11">
        <v>3</v>
      </c>
      <c r="I81" s="11">
        <v>2</v>
      </c>
      <c r="J81" s="11">
        <v>2</v>
      </c>
      <c r="K81" s="11">
        <v>3</v>
      </c>
      <c r="L81" s="11">
        <v>2</v>
      </c>
      <c r="M81" s="11">
        <v>2</v>
      </c>
      <c r="N81" s="11">
        <v>2</v>
      </c>
      <c r="O81" s="11">
        <v>2</v>
      </c>
      <c r="P81" s="11">
        <v>5</v>
      </c>
      <c r="Q81" s="11">
        <v>1</v>
      </c>
      <c r="R81" s="11">
        <v>3</v>
      </c>
      <c r="S81" s="11">
        <v>3</v>
      </c>
      <c r="T81" s="11">
        <v>3</v>
      </c>
      <c r="U81" s="10">
        <v>2</v>
      </c>
      <c r="V81" s="6">
        <f t="shared" si="6"/>
        <v>37.829466286162308</v>
      </c>
      <c r="W81" s="6">
        <f t="shared" si="7"/>
        <v>35.750311287453577</v>
      </c>
      <c r="X81" s="6">
        <f t="shared" si="8"/>
        <v>26.588259456585991</v>
      </c>
      <c r="Y81" s="6">
        <f t="shared" si="9"/>
        <v>35.488046120401833</v>
      </c>
      <c r="Z81" s="6">
        <f t="shared" si="10"/>
        <v>26.588259456585991</v>
      </c>
      <c r="AA81" s="6">
        <f t="shared" si="11"/>
        <v>3</v>
      </c>
    </row>
    <row r="82" spans="1:27">
      <c r="A82" s="11">
        <v>81</v>
      </c>
      <c r="B82" s="12">
        <v>3</v>
      </c>
      <c r="C82" s="11">
        <v>2</v>
      </c>
      <c r="D82" s="11">
        <v>1</v>
      </c>
      <c r="E82" s="11">
        <v>4</v>
      </c>
      <c r="F82" s="11">
        <v>3</v>
      </c>
      <c r="G82" s="11">
        <v>5</v>
      </c>
      <c r="H82" s="11">
        <v>4</v>
      </c>
      <c r="I82" s="11">
        <v>3</v>
      </c>
      <c r="J82" s="11">
        <v>2</v>
      </c>
      <c r="K82" s="11">
        <v>5</v>
      </c>
      <c r="L82" s="11">
        <v>1</v>
      </c>
      <c r="M82" s="11">
        <v>2</v>
      </c>
      <c r="N82" s="11">
        <v>3</v>
      </c>
      <c r="O82" s="11">
        <v>2</v>
      </c>
      <c r="P82" s="11">
        <v>3</v>
      </c>
      <c r="Q82" s="11">
        <v>4</v>
      </c>
      <c r="R82" s="11">
        <v>4</v>
      </c>
      <c r="S82" s="11">
        <v>1</v>
      </c>
      <c r="T82" s="11">
        <v>2</v>
      </c>
      <c r="U82" s="10">
        <v>1</v>
      </c>
      <c r="V82" s="6">
        <f t="shared" si="6"/>
        <v>29.190607866107833</v>
      </c>
      <c r="W82" s="6">
        <f t="shared" si="7"/>
        <v>38.623690127143</v>
      </c>
      <c r="X82" s="6">
        <f t="shared" si="8"/>
        <v>26.906890186225787</v>
      </c>
      <c r="Y82" s="6">
        <f t="shared" si="9"/>
        <v>40.896200131450968</v>
      </c>
      <c r="Z82" s="6">
        <f t="shared" si="10"/>
        <v>26.906890186225787</v>
      </c>
      <c r="AA82" s="6">
        <f t="shared" si="11"/>
        <v>3</v>
      </c>
    </row>
    <row r="83" spans="1:27">
      <c r="A83" s="11">
        <v>82</v>
      </c>
      <c r="B83" s="12">
        <v>1</v>
      </c>
      <c r="C83" s="11">
        <v>1</v>
      </c>
      <c r="D83" s="11">
        <v>1</v>
      </c>
      <c r="E83" s="11">
        <v>1</v>
      </c>
      <c r="F83" s="11">
        <v>1</v>
      </c>
      <c r="G83" s="11">
        <v>1</v>
      </c>
      <c r="H83" s="11">
        <v>3</v>
      </c>
      <c r="I83" s="11">
        <v>3</v>
      </c>
      <c r="J83" s="11">
        <v>3</v>
      </c>
      <c r="K83" s="11">
        <v>3</v>
      </c>
      <c r="L83" s="11">
        <v>3</v>
      </c>
      <c r="M83" s="11">
        <v>1</v>
      </c>
      <c r="N83" s="11">
        <v>1</v>
      </c>
      <c r="O83" s="11">
        <v>2</v>
      </c>
      <c r="P83" s="11">
        <v>5</v>
      </c>
      <c r="Q83" s="11">
        <v>1</v>
      </c>
      <c r="R83" s="11">
        <v>3</v>
      </c>
      <c r="S83" s="11">
        <v>4</v>
      </c>
      <c r="T83" s="11">
        <v>3</v>
      </c>
      <c r="U83" s="10">
        <v>5</v>
      </c>
      <c r="V83" s="6">
        <f t="shared" si="6"/>
        <v>47.96829806153638</v>
      </c>
      <c r="W83" s="6">
        <f t="shared" si="7"/>
        <v>45.092084668566635</v>
      </c>
      <c r="X83" s="6">
        <f t="shared" si="8"/>
        <v>42.23663259755093</v>
      </c>
      <c r="Y83" s="6">
        <f t="shared" si="9"/>
        <v>27.671653027364382</v>
      </c>
      <c r="Z83" s="6">
        <f t="shared" si="10"/>
        <v>27.671653027364382</v>
      </c>
      <c r="AA83" s="6">
        <f t="shared" si="11"/>
        <v>4</v>
      </c>
    </row>
    <row r="84" spans="1:27">
      <c r="A84" s="11">
        <v>83</v>
      </c>
      <c r="B84" s="12">
        <v>3</v>
      </c>
      <c r="C84" s="11">
        <v>4</v>
      </c>
      <c r="D84" s="11">
        <v>2</v>
      </c>
      <c r="E84" s="11">
        <v>3</v>
      </c>
      <c r="F84" s="11">
        <v>4</v>
      </c>
      <c r="G84" s="11">
        <v>3</v>
      </c>
      <c r="H84" s="11">
        <v>3</v>
      </c>
      <c r="I84" s="11">
        <v>3</v>
      </c>
      <c r="J84" s="11">
        <v>3</v>
      </c>
      <c r="K84" s="11">
        <v>3</v>
      </c>
      <c r="L84" s="11">
        <v>3</v>
      </c>
      <c r="M84" s="11">
        <v>3</v>
      </c>
      <c r="N84" s="11">
        <v>3</v>
      </c>
      <c r="O84" s="11">
        <v>3</v>
      </c>
      <c r="P84" s="11">
        <v>3</v>
      </c>
      <c r="Q84" s="11">
        <v>2</v>
      </c>
      <c r="R84" s="11">
        <v>3</v>
      </c>
      <c r="S84" s="11">
        <v>3</v>
      </c>
      <c r="T84" s="11">
        <v>3</v>
      </c>
      <c r="U84" s="10">
        <v>3</v>
      </c>
      <c r="V84" s="6">
        <f t="shared" si="6"/>
        <v>14.885038001496779</v>
      </c>
      <c r="W84" s="6">
        <f t="shared" si="7"/>
        <v>4.3579354695665362</v>
      </c>
      <c r="X84" s="6">
        <f t="shared" si="8"/>
        <v>15.005849253036422</v>
      </c>
      <c r="Y84" s="6">
        <f t="shared" si="9"/>
        <v>14.120736415238635</v>
      </c>
      <c r="Z84" s="6">
        <f t="shared" si="10"/>
        <v>4.3579354695665362</v>
      </c>
      <c r="AA84" s="6">
        <f t="shared" si="11"/>
        <v>2</v>
      </c>
    </row>
    <row r="85" spans="1:27">
      <c r="A85" s="11">
        <v>84</v>
      </c>
      <c r="B85" s="12">
        <v>2</v>
      </c>
      <c r="C85" s="11">
        <v>3</v>
      </c>
      <c r="D85" s="11">
        <v>2</v>
      </c>
      <c r="E85" s="11">
        <v>2</v>
      </c>
      <c r="F85" s="11">
        <v>4</v>
      </c>
      <c r="G85" s="11">
        <v>4</v>
      </c>
      <c r="H85" s="11">
        <v>3</v>
      </c>
      <c r="I85" s="11">
        <v>2</v>
      </c>
      <c r="J85" s="11">
        <v>2</v>
      </c>
      <c r="K85" s="11">
        <v>3</v>
      </c>
      <c r="L85" s="11">
        <v>4</v>
      </c>
      <c r="M85" s="11">
        <v>3</v>
      </c>
      <c r="N85" s="11">
        <v>1</v>
      </c>
      <c r="O85" s="11">
        <v>5</v>
      </c>
      <c r="P85" s="11">
        <v>3</v>
      </c>
      <c r="Q85" s="11">
        <v>1</v>
      </c>
      <c r="R85" s="11">
        <v>1</v>
      </c>
      <c r="S85" s="11">
        <v>5</v>
      </c>
      <c r="T85" s="11">
        <v>3</v>
      </c>
      <c r="U85" s="10">
        <v>5</v>
      </c>
      <c r="V85" s="6">
        <f t="shared" si="6"/>
        <v>27.801671682672847</v>
      </c>
      <c r="W85" s="6">
        <f t="shared" si="7"/>
        <v>26.231380169693978</v>
      </c>
      <c r="X85" s="6">
        <f t="shared" si="8"/>
        <v>39.005890410130306</v>
      </c>
      <c r="Y85" s="6">
        <f t="shared" si="9"/>
        <v>27.426839654377822</v>
      </c>
      <c r="Z85" s="6">
        <f t="shared" si="10"/>
        <v>26.231380169693978</v>
      </c>
      <c r="AA85" s="6">
        <f t="shared" si="11"/>
        <v>2</v>
      </c>
    </row>
    <row r="86" spans="1:27">
      <c r="A86" s="11">
        <v>85</v>
      </c>
      <c r="B86" s="12">
        <v>2</v>
      </c>
      <c r="C86" s="11">
        <v>2</v>
      </c>
      <c r="D86" s="11">
        <v>2</v>
      </c>
      <c r="E86" s="11">
        <v>5</v>
      </c>
      <c r="F86" s="11">
        <v>3</v>
      </c>
      <c r="G86" s="11">
        <v>5</v>
      </c>
      <c r="H86" s="11">
        <v>3</v>
      </c>
      <c r="I86" s="11">
        <v>2</v>
      </c>
      <c r="J86" s="11">
        <v>2</v>
      </c>
      <c r="K86" s="11">
        <v>2</v>
      </c>
      <c r="L86" s="11">
        <v>2</v>
      </c>
      <c r="M86" s="11">
        <v>2</v>
      </c>
      <c r="N86" s="11">
        <v>2</v>
      </c>
      <c r="O86" s="11">
        <v>5</v>
      </c>
      <c r="P86" s="11">
        <v>4</v>
      </c>
      <c r="Q86" s="11">
        <v>1</v>
      </c>
      <c r="R86" s="11">
        <v>2</v>
      </c>
      <c r="S86" s="11">
        <v>3</v>
      </c>
      <c r="T86" s="11">
        <v>3</v>
      </c>
      <c r="U86" s="10">
        <v>3</v>
      </c>
      <c r="V86" s="6">
        <f t="shared" si="6"/>
        <v>11.885035324932117</v>
      </c>
      <c r="W86" s="6">
        <f t="shared" si="7"/>
        <v>23.83893393466639</v>
      </c>
      <c r="X86" s="6">
        <f t="shared" si="8"/>
        <v>19.566285923872375</v>
      </c>
      <c r="Y86" s="6">
        <f t="shared" si="9"/>
        <v>21.855419613156776</v>
      </c>
      <c r="Z86" s="6">
        <f t="shared" si="10"/>
        <v>11.885035324932117</v>
      </c>
      <c r="AA86" s="6">
        <f t="shared" si="11"/>
        <v>1</v>
      </c>
    </row>
    <row r="87" spans="1:27">
      <c r="A87" s="11">
        <v>86</v>
      </c>
      <c r="B87" s="12">
        <v>1</v>
      </c>
      <c r="C87" s="11">
        <v>1</v>
      </c>
      <c r="D87" s="11">
        <v>3</v>
      </c>
      <c r="E87" s="11">
        <v>2</v>
      </c>
      <c r="F87" s="11">
        <v>2</v>
      </c>
      <c r="G87" s="11">
        <v>4</v>
      </c>
      <c r="H87" s="11">
        <v>5</v>
      </c>
      <c r="I87" s="11">
        <v>2</v>
      </c>
      <c r="J87" s="11">
        <v>1</v>
      </c>
      <c r="K87" s="11">
        <v>3</v>
      </c>
      <c r="L87" s="11">
        <v>1</v>
      </c>
      <c r="M87" s="11">
        <v>3</v>
      </c>
      <c r="N87" s="11">
        <v>3</v>
      </c>
      <c r="O87" s="11">
        <v>5</v>
      </c>
      <c r="P87" s="11">
        <v>4</v>
      </c>
      <c r="Q87" s="11">
        <v>1</v>
      </c>
      <c r="R87" s="11">
        <v>2</v>
      </c>
      <c r="S87" s="11">
        <v>3</v>
      </c>
      <c r="T87" s="11">
        <v>1</v>
      </c>
      <c r="U87" s="10">
        <v>5</v>
      </c>
      <c r="V87" s="6">
        <f t="shared" si="6"/>
        <v>28.440545702882847</v>
      </c>
      <c r="W87" s="6">
        <f t="shared" si="7"/>
        <v>39.193347168987898</v>
      </c>
      <c r="X87" s="6">
        <f t="shared" si="8"/>
        <v>34.873927802823523</v>
      </c>
      <c r="Y87" s="6">
        <f t="shared" si="9"/>
        <v>23.957383779956199</v>
      </c>
      <c r="Z87" s="6">
        <f t="shared" si="10"/>
        <v>23.957383779956199</v>
      </c>
      <c r="AA87" s="6">
        <f t="shared" si="11"/>
        <v>4</v>
      </c>
    </row>
    <row r="88" spans="1:27">
      <c r="A88" s="11">
        <v>87</v>
      </c>
      <c r="B88" s="12">
        <v>5</v>
      </c>
      <c r="C88" s="11">
        <v>2</v>
      </c>
      <c r="D88" s="11">
        <v>1</v>
      </c>
      <c r="E88" s="11">
        <v>3</v>
      </c>
      <c r="F88" s="11">
        <v>4</v>
      </c>
      <c r="G88" s="11">
        <v>3</v>
      </c>
      <c r="H88" s="11">
        <v>3</v>
      </c>
      <c r="I88" s="11">
        <v>2</v>
      </c>
      <c r="J88" s="11">
        <v>2</v>
      </c>
      <c r="K88" s="11">
        <v>2</v>
      </c>
      <c r="L88" s="11">
        <v>1</v>
      </c>
      <c r="M88" s="11">
        <v>2</v>
      </c>
      <c r="N88" s="11">
        <v>2</v>
      </c>
      <c r="O88" s="11">
        <v>4</v>
      </c>
      <c r="P88" s="11">
        <v>4</v>
      </c>
      <c r="Q88" s="11">
        <v>2</v>
      </c>
      <c r="R88" s="11">
        <v>4</v>
      </c>
      <c r="S88" s="11">
        <v>2</v>
      </c>
      <c r="T88" s="11">
        <v>4</v>
      </c>
      <c r="U88" s="10">
        <v>2</v>
      </c>
      <c r="V88" s="6">
        <f t="shared" si="6"/>
        <v>19.135024450674333</v>
      </c>
      <c r="W88" s="6">
        <f t="shared" si="7"/>
        <v>26.155365840326205</v>
      </c>
      <c r="X88" s="6">
        <f t="shared" si="8"/>
        <v>11.115722009163548</v>
      </c>
      <c r="Y88" s="6">
        <f t="shared" si="9"/>
        <v>22.263575409611605</v>
      </c>
      <c r="Z88" s="6">
        <f t="shared" si="10"/>
        <v>11.115722009163548</v>
      </c>
      <c r="AA88" s="6">
        <f t="shared" si="11"/>
        <v>3</v>
      </c>
    </row>
    <row r="89" spans="1:27">
      <c r="A89" s="11">
        <v>88</v>
      </c>
      <c r="B89" s="12">
        <v>2</v>
      </c>
      <c r="C89" s="11">
        <v>2</v>
      </c>
      <c r="D89" s="11">
        <v>2</v>
      </c>
      <c r="E89" s="11">
        <v>2</v>
      </c>
      <c r="F89" s="11">
        <v>2</v>
      </c>
      <c r="G89" s="11">
        <v>4</v>
      </c>
      <c r="H89" s="11">
        <v>3</v>
      </c>
      <c r="I89" s="11">
        <v>2</v>
      </c>
      <c r="J89" s="11">
        <v>4</v>
      </c>
      <c r="K89" s="11">
        <v>1</v>
      </c>
      <c r="L89" s="11">
        <v>2</v>
      </c>
      <c r="M89" s="11">
        <v>2</v>
      </c>
      <c r="N89" s="11">
        <v>4</v>
      </c>
      <c r="O89" s="11">
        <v>4</v>
      </c>
      <c r="P89" s="11">
        <v>3</v>
      </c>
      <c r="Q89" s="11">
        <v>4</v>
      </c>
      <c r="R89" s="11">
        <v>2</v>
      </c>
      <c r="S89" s="11">
        <v>1</v>
      </c>
      <c r="T89" s="11">
        <v>2</v>
      </c>
      <c r="U89" s="10">
        <v>4</v>
      </c>
      <c r="V89" s="6">
        <f t="shared" si="6"/>
        <v>23.74611203835309</v>
      </c>
      <c r="W89" s="6">
        <f t="shared" si="7"/>
        <v>27.978135095436873</v>
      </c>
      <c r="X89" s="6">
        <f t="shared" si="8"/>
        <v>25.467387673030647</v>
      </c>
      <c r="Y89" s="6">
        <f t="shared" si="9"/>
        <v>21.263577513881369</v>
      </c>
      <c r="Z89" s="6">
        <f t="shared" si="10"/>
        <v>21.263577513881369</v>
      </c>
      <c r="AA89" s="6">
        <f t="shared" si="11"/>
        <v>4</v>
      </c>
    </row>
    <row r="90" spans="1:27">
      <c r="A90" s="11">
        <v>89</v>
      </c>
      <c r="B90" s="12">
        <v>4</v>
      </c>
      <c r="C90" s="11">
        <v>2</v>
      </c>
      <c r="D90" s="11">
        <v>2</v>
      </c>
      <c r="E90" s="11">
        <v>5</v>
      </c>
      <c r="F90" s="11">
        <v>1</v>
      </c>
      <c r="G90" s="11">
        <v>3</v>
      </c>
      <c r="H90" s="11">
        <v>4</v>
      </c>
      <c r="I90" s="11">
        <v>2</v>
      </c>
      <c r="J90" s="11">
        <v>1</v>
      </c>
      <c r="K90" s="11">
        <v>2</v>
      </c>
      <c r="L90" s="11">
        <v>1</v>
      </c>
      <c r="M90" s="11">
        <v>3</v>
      </c>
      <c r="N90" s="11">
        <v>2</v>
      </c>
      <c r="O90" s="11">
        <v>5</v>
      </c>
      <c r="P90" s="11">
        <v>4</v>
      </c>
      <c r="Q90" s="11">
        <v>1</v>
      </c>
      <c r="R90" s="11">
        <v>3</v>
      </c>
      <c r="S90" s="11">
        <v>4</v>
      </c>
      <c r="T90" s="11">
        <v>1</v>
      </c>
      <c r="U90" s="10">
        <v>4</v>
      </c>
      <c r="V90" s="6">
        <f t="shared" si="6"/>
        <v>26.301686516359059</v>
      </c>
      <c r="W90" s="6">
        <f t="shared" si="7"/>
        <v>37.775630446867275</v>
      </c>
      <c r="X90" s="6">
        <f t="shared" si="8"/>
        <v>30.434392830210886</v>
      </c>
      <c r="Y90" s="6">
        <f t="shared" si="9"/>
        <v>25.590093625791255</v>
      </c>
      <c r="Z90" s="6">
        <f t="shared" si="10"/>
        <v>25.590093625791255</v>
      </c>
      <c r="AA90" s="6">
        <f t="shared" si="11"/>
        <v>4</v>
      </c>
    </row>
    <row r="91" spans="1:27">
      <c r="A91" s="11">
        <v>90</v>
      </c>
      <c r="B91" s="12">
        <v>2</v>
      </c>
      <c r="C91" s="11">
        <v>2</v>
      </c>
      <c r="D91" s="11">
        <v>2</v>
      </c>
      <c r="E91" s="11">
        <v>2</v>
      </c>
      <c r="F91" s="11">
        <v>2</v>
      </c>
      <c r="G91" s="11">
        <v>3</v>
      </c>
      <c r="H91" s="11">
        <v>2</v>
      </c>
      <c r="I91" s="11">
        <v>2</v>
      </c>
      <c r="J91" s="11">
        <v>2</v>
      </c>
      <c r="K91" s="11">
        <v>3</v>
      </c>
      <c r="L91" s="11">
        <v>2</v>
      </c>
      <c r="M91" s="11">
        <v>2</v>
      </c>
      <c r="N91" s="11">
        <v>2</v>
      </c>
      <c r="O91" s="11">
        <v>1</v>
      </c>
      <c r="P91" s="11">
        <v>4</v>
      </c>
      <c r="Q91" s="11">
        <v>2</v>
      </c>
      <c r="R91" s="11">
        <v>1</v>
      </c>
      <c r="S91" s="11">
        <v>2</v>
      </c>
      <c r="T91" s="11">
        <v>4</v>
      </c>
      <c r="U91" s="10">
        <v>3</v>
      </c>
      <c r="V91" s="6">
        <f t="shared" si="6"/>
        <v>23.079390096883198</v>
      </c>
      <c r="W91" s="6">
        <f t="shared" si="7"/>
        <v>24.75026713203842</v>
      </c>
      <c r="X91" s="6">
        <f t="shared" si="8"/>
        <v>16.489287992210595</v>
      </c>
      <c r="Y91" s="6">
        <f t="shared" si="9"/>
        <v>11.508403312008028</v>
      </c>
      <c r="Z91" s="6">
        <f t="shared" si="10"/>
        <v>11.508403312008028</v>
      </c>
      <c r="AA91" s="6">
        <f t="shared" si="11"/>
        <v>4</v>
      </c>
    </row>
    <row r="92" spans="1:27">
      <c r="A92" s="11">
        <v>91</v>
      </c>
      <c r="B92" s="12">
        <v>2</v>
      </c>
      <c r="C92" s="11">
        <v>2</v>
      </c>
      <c r="D92" s="11">
        <v>4</v>
      </c>
      <c r="E92" s="11">
        <v>4</v>
      </c>
      <c r="F92" s="11">
        <v>5</v>
      </c>
      <c r="G92" s="11">
        <v>3</v>
      </c>
      <c r="H92" s="11">
        <v>4</v>
      </c>
      <c r="I92" s="11">
        <v>3</v>
      </c>
      <c r="J92" s="11">
        <v>4</v>
      </c>
      <c r="K92" s="11">
        <v>4</v>
      </c>
      <c r="L92" s="11">
        <v>4</v>
      </c>
      <c r="M92" s="11">
        <v>3</v>
      </c>
      <c r="N92" s="11">
        <v>4</v>
      </c>
      <c r="O92" s="11">
        <v>2</v>
      </c>
      <c r="P92" s="11">
        <v>2</v>
      </c>
      <c r="Q92" s="11">
        <v>3</v>
      </c>
      <c r="R92" s="11">
        <v>4</v>
      </c>
      <c r="S92" s="11">
        <v>2</v>
      </c>
      <c r="T92" s="11">
        <v>4</v>
      </c>
      <c r="U92" s="10">
        <v>3</v>
      </c>
      <c r="V92" s="6">
        <f t="shared" si="6"/>
        <v>39.662867762914196</v>
      </c>
      <c r="W92" s="6">
        <f t="shared" si="7"/>
        <v>17.370635664764933</v>
      </c>
      <c r="X92" s="6">
        <f t="shared" si="8"/>
        <v>43.950846414929032</v>
      </c>
      <c r="Y92" s="6">
        <f t="shared" si="9"/>
        <v>41.7125892604829</v>
      </c>
      <c r="Z92" s="6">
        <f t="shared" si="10"/>
        <v>17.370635664764933</v>
      </c>
      <c r="AA92" s="6">
        <f t="shared" si="11"/>
        <v>2</v>
      </c>
    </row>
    <row r="93" spans="1:27">
      <c r="A93" s="11">
        <v>92</v>
      </c>
      <c r="B93" s="12">
        <v>5</v>
      </c>
      <c r="C93" s="11">
        <v>1</v>
      </c>
      <c r="D93" s="11">
        <v>1</v>
      </c>
      <c r="E93" s="11">
        <v>1</v>
      </c>
      <c r="F93" s="11">
        <v>2</v>
      </c>
      <c r="G93" s="11">
        <v>3</v>
      </c>
      <c r="H93" s="11">
        <v>3</v>
      </c>
      <c r="I93" s="11">
        <v>1</v>
      </c>
      <c r="J93" s="11">
        <v>2</v>
      </c>
      <c r="K93" s="11">
        <v>2</v>
      </c>
      <c r="L93" s="11">
        <v>2</v>
      </c>
      <c r="M93" s="11">
        <v>1</v>
      </c>
      <c r="N93" s="11">
        <v>5</v>
      </c>
      <c r="O93" s="11">
        <v>5</v>
      </c>
      <c r="P93" s="11">
        <v>5</v>
      </c>
      <c r="Q93" s="11">
        <v>1</v>
      </c>
      <c r="R93" s="11">
        <v>1</v>
      </c>
      <c r="S93" s="11">
        <v>2</v>
      </c>
      <c r="T93" s="11">
        <v>5</v>
      </c>
      <c r="U93" s="10">
        <v>1</v>
      </c>
      <c r="V93" s="6">
        <f t="shared" si="6"/>
        <v>46.940530204602133</v>
      </c>
      <c r="W93" s="6">
        <f t="shared" si="7"/>
        <v>58.623713249754744</v>
      </c>
      <c r="X93" s="6">
        <f t="shared" si="8"/>
        <v>26.159646179852814</v>
      </c>
      <c r="Y93" s="6">
        <f t="shared" si="9"/>
        <v>45.651307673390995</v>
      </c>
      <c r="Z93" s="6">
        <f t="shared" si="10"/>
        <v>26.159646179852814</v>
      </c>
      <c r="AA93" s="6">
        <f t="shared" si="11"/>
        <v>3</v>
      </c>
    </row>
    <row r="94" spans="1:27">
      <c r="A94" s="11">
        <v>93</v>
      </c>
      <c r="B94" s="12">
        <v>3</v>
      </c>
      <c r="C94" s="11">
        <v>4</v>
      </c>
      <c r="D94" s="11">
        <v>2</v>
      </c>
      <c r="E94" s="11">
        <v>2</v>
      </c>
      <c r="F94" s="11">
        <v>3</v>
      </c>
      <c r="G94" s="11">
        <v>2</v>
      </c>
      <c r="H94" s="11">
        <v>2</v>
      </c>
      <c r="I94" s="11">
        <v>1</v>
      </c>
      <c r="J94" s="11">
        <v>1</v>
      </c>
      <c r="K94" s="11">
        <v>1</v>
      </c>
      <c r="L94" s="11">
        <v>2</v>
      </c>
      <c r="M94" s="11">
        <v>3</v>
      </c>
      <c r="N94" s="11">
        <v>1</v>
      </c>
      <c r="O94" s="11">
        <v>4</v>
      </c>
      <c r="P94" s="11">
        <v>5</v>
      </c>
      <c r="Q94" s="11">
        <v>2</v>
      </c>
      <c r="R94" s="11">
        <v>3</v>
      </c>
      <c r="S94" s="11">
        <v>1</v>
      </c>
      <c r="T94" s="11">
        <v>1</v>
      </c>
      <c r="U94" s="10">
        <v>5</v>
      </c>
      <c r="V94" s="6">
        <f t="shared" si="6"/>
        <v>32.329459651196217</v>
      </c>
      <c r="W94" s="6">
        <f t="shared" si="7"/>
        <v>40.256594239445732</v>
      </c>
      <c r="X94" s="6">
        <f t="shared" si="8"/>
        <v>31.159682242182491</v>
      </c>
      <c r="Y94" s="6">
        <f t="shared" si="9"/>
        <v>24.324728905608854</v>
      </c>
      <c r="Z94" s="6">
        <f t="shared" si="10"/>
        <v>24.324728905608854</v>
      </c>
      <c r="AA94" s="6">
        <f t="shared" si="11"/>
        <v>4</v>
      </c>
    </row>
    <row r="95" spans="1:27">
      <c r="A95" s="11">
        <v>94</v>
      </c>
      <c r="B95" s="12">
        <v>3</v>
      </c>
      <c r="C95" s="11">
        <v>3</v>
      </c>
      <c r="D95" s="11">
        <v>1</v>
      </c>
      <c r="E95" s="11">
        <v>3</v>
      </c>
      <c r="F95" s="11">
        <v>4</v>
      </c>
      <c r="G95" s="11">
        <v>3</v>
      </c>
      <c r="H95" s="11">
        <v>3</v>
      </c>
      <c r="I95" s="11">
        <v>2</v>
      </c>
      <c r="J95" s="11">
        <v>2</v>
      </c>
      <c r="K95" s="11">
        <v>3</v>
      </c>
      <c r="L95" s="11">
        <v>3</v>
      </c>
      <c r="M95" s="11">
        <v>1</v>
      </c>
      <c r="N95" s="11">
        <v>1</v>
      </c>
      <c r="O95" s="11">
        <v>5</v>
      </c>
      <c r="P95" s="11">
        <v>5</v>
      </c>
      <c r="Q95" s="11">
        <v>1</v>
      </c>
      <c r="R95" s="11">
        <v>1</v>
      </c>
      <c r="S95" s="11">
        <v>4</v>
      </c>
      <c r="T95" s="11">
        <v>3</v>
      </c>
      <c r="U95" s="10">
        <v>1</v>
      </c>
      <c r="V95" s="6">
        <f t="shared" si="6"/>
        <v>21.05170081170353</v>
      </c>
      <c r="W95" s="6">
        <f t="shared" si="7"/>
        <v>34.383208344052569</v>
      </c>
      <c r="X95" s="6">
        <f t="shared" si="8"/>
        <v>19.928896972755691</v>
      </c>
      <c r="Y95" s="6">
        <f t="shared" si="9"/>
        <v>32.324783690018037</v>
      </c>
      <c r="Z95" s="6">
        <f t="shared" si="10"/>
        <v>19.928896972755691</v>
      </c>
      <c r="AA95" s="6">
        <f t="shared" si="11"/>
        <v>3</v>
      </c>
    </row>
    <row r="96" spans="1:27">
      <c r="A96" s="11">
        <v>95</v>
      </c>
      <c r="B96" s="12">
        <v>2</v>
      </c>
      <c r="C96" s="11">
        <v>3</v>
      </c>
      <c r="D96" s="11">
        <v>2</v>
      </c>
      <c r="E96" s="11">
        <v>4</v>
      </c>
      <c r="F96" s="11">
        <v>3</v>
      </c>
      <c r="G96" s="11">
        <v>4</v>
      </c>
      <c r="H96" s="11">
        <v>3</v>
      </c>
      <c r="I96" s="11">
        <v>2</v>
      </c>
      <c r="J96" s="11">
        <v>2</v>
      </c>
      <c r="K96" s="11">
        <v>2</v>
      </c>
      <c r="L96" s="11">
        <v>2</v>
      </c>
      <c r="M96" s="11">
        <v>3</v>
      </c>
      <c r="N96" s="11">
        <v>4</v>
      </c>
      <c r="O96" s="11">
        <v>4</v>
      </c>
      <c r="P96" s="11">
        <v>4</v>
      </c>
      <c r="Q96" s="11">
        <v>4</v>
      </c>
      <c r="R96" s="11">
        <v>3</v>
      </c>
      <c r="S96" s="11">
        <v>2</v>
      </c>
      <c r="T96" s="11">
        <v>2</v>
      </c>
      <c r="U96" s="10">
        <v>2</v>
      </c>
      <c r="V96" s="6">
        <f t="shared" si="6"/>
        <v>12.051714073887545</v>
      </c>
      <c r="W96" s="6">
        <f t="shared" si="7"/>
        <v>17.864196346878053</v>
      </c>
      <c r="X96" s="6">
        <f t="shared" si="8"/>
        <v>14.5552643769702</v>
      </c>
      <c r="Y96" s="6">
        <f t="shared" si="9"/>
        <v>20.753376432500616</v>
      </c>
      <c r="Z96" s="6">
        <f t="shared" si="10"/>
        <v>12.051714073887545</v>
      </c>
      <c r="AA96" s="6">
        <f t="shared" si="11"/>
        <v>1</v>
      </c>
    </row>
    <row r="97" spans="1:27">
      <c r="A97" s="11">
        <v>96</v>
      </c>
      <c r="B97" s="12">
        <v>2</v>
      </c>
      <c r="C97" s="11">
        <v>2</v>
      </c>
      <c r="D97" s="11">
        <v>1</v>
      </c>
      <c r="E97" s="11">
        <v>4</v>
      </c>
      <c r="F97" s="11">
        <v>5</v>
      </c>
      <c r="G97" s="11">
        <v>4</v>
      </c>
      <c r="H97" s="11">
        <v>3</v>
      </c>
      <c r="I97" s="11">
        <v>1</v>
      </c>
      <c r="J97" s="11">
        <v>1</v>
      </c>
      <c r="K97" s="11">
        <v>4</v>
      </c>
      <c r="L97" s="11">
        <v>1</v>
      </c>
      <c r="M97" s="11">
        <v>1</v>
      </c>
      <c r="N97" s="11">
        <v>3</v>
      </c>
      <c r="O97" s="11">
        <v>5</v>
      </c>
      <c r="P97" s="11">
        <v>3</v>
      </c>
      <c r="Q97" s="11">
        <v>2</v>
      </c>
      <c r="R97" s="11">
        <v>1</v>
      </c>
      <c r="S97" s="11">
        <v>4</v>
      </c>
      <c r="T97" s="11">
        <v>2</v>
      </c>
      <c r="U97" s="10">
        <v>1</v>
      </c>
      <c r="V97" s="6">
        <f t="shared" si="6"/>
        <v>18.023888513870041</v>
      </c>
      <c r="W97" s="6">
        <f t="shared" si="7"/>
        <v>41.826223053416399</v>
      </c>
      <c r="X97" s="6">
        <f t="shared" si="8"/>
        <v>26.522257392727312</v>
      </c>
      <c r="Y97" s="6">
        <f t="shared" si="9"/>
        <v>37.590088426745986</v>
      </c>
      <c r="Z97" s="6">
        <f t="shared" si="10"/>
        <v>18.023888513870041</v>
      </c>
      <c r="AA97" s="6">
        <f t="shared" si="11"/>
        <v>1</v>
      </c>
    </row>
    <row r="98" spans="1:27">
      <c r="A98" s="11">
        <v>97</v>
      </c>
      <c r="B98" s="12">
        <v>4</v>
      </c>
      <c r="C98" s="11">
        <v>1</v>
      </c>
      <c r="D98" s="11">
        <v>5</v>
      </c>
      <c r="E98" s="11">
        <v>4</v>
      </c>
      <c r="F98" s="11">
        <v>3</v>
      </c>
      <c r="G98" s="11">
        <v>5</v>
      </c>
      <c r="H98" s="11">
        <v>2</v>
      </c>
      <c r="I98" s="11">
        <v>2</v>
      </c>
      <c r="J98" s="11">
        <v>2</v>
      </c>
      <c r="K98" s="11">
        <v>5</v>
      </c>
      <c r="L98" s="11">
        <v>2</v>
      </c>
      <c r="M98" s="11">
        <v>2</v>
      </c>
      <c r="N98" s="11">
        <v>2</v>
      </c>
      <c r="O98" s="11">
        <v>4</v>
      </c>
      <c r="P98" s="11">
        <v>2</v>
      </c>
      <c r="Q98" s="11">
        <v>2</v>
      </c>
      <c r="R98" s="11">
        <v>4</v>
      </c>
      <c r="S98" s="11">
        <v>4</v>
      </c>
      <c r="T98" s="11">
        <v>5</v>
      </c>
      <c r="U98" s="10">
        <v>3</v>
      </c>
      <c r="V98" s="6">
        <f t="shared" si="6"/>
        <v>37.523944524338965</v>
      </c>
      <c r="W98" s="6">
        <f t="shared" si="7"/>
        <v>29.003573609406917</v>
      </c>
      <c r="X98" s="6">
        <f t="shared" si="8"/>
        <v>42.313395724322071</v>
      </c>
      <c r="Y98" s="6">
        <f t="shared" si="9"/>
        <v>41.447252420314896</v>
      </c>
      <c r="Z98" s="6">
        <f t="shared" si="10"/>
        <v>29.003573609406917</v>
      </c>
      <c r="AA98" s="6">
        <f t="shared" si="11"/>
        <v>2</v>
      </c>
    </row>
    <row r="99" spans="1:27">
      <c r="A99" s="11">
        <v>98</v>
      </c>
      <c r="B99" s="12">
        <v>2</v>
      </c>
      <c r="C99" s="11">
        <v>2</v>
      </c>
      <c r="D99" s="11">
        <v>4</v>
      </c>
      <c r="E99" s="11">
        <v>1</v>
      </c>
      <c r="F99" s="11">
        <v>4</v>
      </c>
      <c r="G99" s="11">
        <v>4</v>
      </c>
      <c r="H99" s="11">
        <v>3</v>
      </c>
      <c r="I99" s="11">
        <v>1</v>
      </c>
      <c r="J99" s="11">
        <v>2</v>
      </c>
      <c r="K99" s="11">
        <v>2</v>
      </c>
      <c r="L99" s="11">
        <v>2</v>
      </c>
      <c r="M99" s="11">
        <v>3</v>
      </c>
      <c r="N99" s="11">
        <v>2</v>
      </c>
      <c r="O99" s="11">
        <v>5</v>
      </c>
      <c r="P99" s="11">
        <v>3</v>
      </c>
      <c r="Q99" s="11">
        <v>2</v>
      </c>
      <c r="R99" s="11">
        <v>3</v>
      </c>
      <c r="S99" s="11">
        <v>4</v>
      </c>
      <c r="T99" s="11">
        <v>1</v>
      </c>
      <c r="U99" s="10">
        <v>5</v>
      </c>
      <c r="V99" s="6">
        <f t="shared" si="6"/>
        <v>27.801675693071903</v>
      </c>
      <c r="W99" s="6">
        <f t="shared" si="7"/>
        <v>27.332603684624491</v>
      </c>
      <c r="X99" s="6">
        <f t="shared" si="8"/>
        <v>36.643125599438115</v>
      </c>
      <c r="Y99" s="6">
        <f t="shared" si="9"/>
        <v>21.549260677889997</v>
      </c>
      <c r="Z99" s="6">
        <f t="shared" si="10"/>
        <v>21.549260677889997</v>
      </c>
      <c r="AA99" s="6">
        <f t="shared" si="11"/>
        <v>4</v>
      </c>
    </row>
    <row r="100" spans="1:27">
      <c r="A100" s="11">
        <v>99</v>
      </c>
      <c r="B100" s="12">
        <v>2</v>
      </c>
      <c r="C100" s="11">
        <v>2</v>
      </c>
      <c r="D100" s="11">
        <v>1</v>
      </c>
      <c r="E100" s="11">
        <v>5</v>
      </c>
      <c r="F100" s="11">
        <v>5</v>
      </c>
      <c r="G100" s="11">
        <v>2</v>
      </c>
      <c r="H100" s="11">
        <v>1</v>
      </c>
      <c r="I100" s="11">
        <v>1</v>
      </c>
      <c r="J100" s="11">
        <v>1</v>
      </c>
      <c r="K100" s="11">
        <v>2</v>
      </c>
      <c r="L100" s="11">
        <v>1</v>
      </c>
      <c r="M100" s="11">
        <v>1</v>
      </c>
      <c r="N100" s="11">
        <v>2</v>
      </c>
      <c r="O100" s="11">
        <v>5</v>
      </c>
      <c r="P100" s="11">
        <v>3</v>
      </c>
      <c r="Q100" s="11">
        <v>4</v>
      </c>
      <c r="R100" s="11">
        <v>1</v>
      </c>
      <c r="S100" s="11">
        <v>4</v>
      </c>
      <c r="T100" s="11">
        <v>2</v>
      </c>
      <c r="U100" s="10">
        <v>4</v>
      </c>
      <c r="V100" s="6">
        <f t="shared" si="6"/>
        <v>20.94054722894133</v>
      </c>
      <c r="W100" s="6">
        <f t="shared" si="7"/>
        <v>44.927494165532117</v>
      </c>
      <c r="X100" s="6">
        <f t="shared" si="8"/>
        <v>41.764084505970217</v>
      </c>
      <c r="Y100" s="6">
        <f t="shared" si="9"/>
        <v>37.120712274937588</v>
      </c>
      <c r="Z100" s="6">
        <f t="shared" si="10"/>
        <v>20.94054722894133</v>
      </c>
      <c r="AA100" s="6">
        <f t="shared" si="11"/>
        <v>1</v>
      </c>
    </row>
    <row r="101" spans="1:27">
      <c r="A101" s="11">
        <v>100</v>
      </c>
      <c r="B101" s="12">
        <v>2</v>
      </c>
      <c r="C101" s="11">
        <v>2</v>
      </c>
      <c r="D101" s="11">
        <v>2</v>
      </c>
      <c r="E101" s="11">
        <v>3</v>
      </c>
      <c r="F101" s="11">
        <v>4</v>
      </c>
      <c r="G101" s="11">
        <v>2</v>
      </c>
      <c r="H101" s="11">
        <v>3</v>
      </c>
      <c r="I101" s="11">
        <v>1</v>
      </c>
      <c r="J101" s="11">
        <v>1</v>
      </c>
      <c r="K101" s="11">
        <v>3</v>
      </c>
      <c r="L101" s="11">
        <v>1</v>
      </c>
      <c r="M101" s="11">
        <v>3</v>
      </c>
      <c r="N101" s="11">
        <v>2</v>
      </c>
      <c r="O101" s="11">
        <v>3</v>
      </c>
      <c r="P101" s="11">
        <v>4</v>
      </c>
      <c r="Q101" s="11">
        <v>3</v>
      </c>
      <c r="R101" s="11">
        <v>3</v>
      </c>
      <c r="S101" s="11">
        <v>2</v>
      </c>
      <c r="T101" s="11">
        <v>2</v>
      </c>
      <c r="U101" s="10">
        <v>1</v>
      </c>
      <c r="V101" s="6">
        <f t="shared" si="6"/>
        <v>16.801662774795453</v>
      </c>
      <c r="W101" s="6">
        <f t="shared" si="7"/>
        <v>27.990724777457444</v>
      </c>
      <c r="X101" s="6">
        <f t="shared" si="8"/>
        <v>12.379337636467129</v>
      </c>
      <c r="Y101" s="6">
        <f t="shared" si="9"/>
        <v>18.406369829664381</v>
      </c>
      <c r="Z101" s="6">
        <f t="shared" si="10"/>
        <v>12.379337636467129</v>
      </c>
      <c r="AA101" s="6">
        <f t="shared" si="11"/>
        <v>3</v>
      </c>
    </row>
    <row r="102" spans="1:27">
      <c r="A102" s="11">
        <v>101</v>
      </c>
      <c r="B102" s="12">
        <v>3</v>
      </c>
      <c r="C102" s="11">
        <v>2</v>
      </c>
      <c r="D102" s="11">
        <v>2</v>
      </c>
      <c r="E102" s="11">
        <v>3</v>
      </c>
      <c r="F102" s="11">
        <v>3</v>
      </c>
      <c r="G102" s="11">
        <v>3</v>
      </c>
      <c r="H102" s="11">
        <v>3</v>
      </c>
      <c r="I102" s="11">
        <v>3</v>
      </c>
      <c r="J102" s="11">
        <v>3</v>
      </c>
      <c r="K102" s="11">
        <v>3</v>
      </c>
      <c r="L102" s="11">
        <v>2</v>
      </c>
      <c r="M102" s="11">
        <v>2</v>
      </c>
      <c r="N102" s="11">
        <v>2</v>
      </c>
      <c r="O102" s="11">
        <v>4</v>
      </c>
      <c r="P102" s="11">
        <v>4</v>
      </c>
      <c r="Q102" s="11">
        <v>3</v>
      </c>
      <c r="R102" s="11">
        <v>3</v>
      </c>
      <c r="S102" s="11">
        <v>3</v>
      </c>
      <c r="T102" s="11">
        <v>3</v>
      </c>
      <c r="U102" s="10">
        <v>4</v>
      </c>
      <c r="V102" s="6">
        <f t="shared" si="6"/>
        <v>5.9405955127562482</v>
      </c>
      <c r="W102" s="6">
        <f t="shared" si="7"/>
        <v>7.0161711152113471</v>
      </c>
      <c r="X102" s="6">
        <f t="shared" si="8"/>
        <v>10.500364475785419</v>
      </c>
      <c r="Y102" s="6">
        <f t="shared" si="9"/>
        <v>8.1207119438491819</v>
      </c>
      <c r="Z102" s="6">
        <f t="shared" si="10"/>
        <v>5.9405955127562482</v>
      </c>
      <c r="AA102" s="6">
        <f t="shared" si="11"/>
        <v>1</v>
      </c>
    </row>
    <row r="103" spans="1:27">
      <c r="A103" s="11">
        <v>102</v>
      </c>
      <c r="B103" s="12">
        <v>2</v>
      </c>
      <c r="C103" s="11">
        <v>1</v>
      </c>
      <c r="D103" s="11">
        <v>1</v>
      </c>
      <c r="E103" s="11">
        <v>2</v>
      </c>
      <c r="F103" s="11">
        <v>2</v>
      </c>
      <c r="G103" s="11">
        <v>4</v>
      </c>
      <c r="H103" s="11">
        <v>2</v>
      </c>
      <c r="I103" s="11">
        <v>2</v>
      </c>
      <c r="J103" s="11">
        <v>2</v>
      </c>
      <c r="K103" s="11">
        <v>2</v>
      </c>
      <c r="L103" s="11">
        <v>1</v>
      </c>
      <c r="M103" s="11">
        <v>3</v>
      </c>
      <c r="N103" s="11">
        <v>3</v>
      </c>
      <c r="O103" s="11">
        <v>2</v>
      </c>
      <c r="P103" s="11">
        <v>4</v>
      </c>
      <c r="Q103" s="11">
        <v>2</v>
      </c>
      <c r="R103" s="11">
        <v>1</v>
      </c>
      <c r="S103" s="11">
        <v>2</v>
      </c>
      <c r="T103" s="11">
        <v>1</v>
      </c>
      <c r="U103" s="10">
        <v>1</v>
      </c>
      <c r="V103" s="6">
        <f t="shared" si="6"/>
        <v>29.190488658024734</v>
      </c>
      <c r="W103" s="6">
        <f t="shared" si="7"/>
        <v>43.522346313491333</v>
      </c>
      <c r="X103" s="6">
        <f t="shared" si="8"/>
        <v>17.643097840927702</v>
      </c>
      <c r="Y103" s="6">
        <f t="shared" si="9"/>
        <v>20.630859653887779</v>
      </c>
      <c r="Z103" s="6">
        <f t="shared" si="10"/>
        <v>17.643097840927702</v>
      </c>
      <c r="AA103" s="6">
        <f t="shared" si="11"/>
        <v>3</v>
      </c>
    </row>
    <row r="104" spans="1:27">
      <c r="A104" s="11">
        <v>103</v>
      </c>
      <c r="B104" s="12">
        <v>5</v>
      </c>
      <c r="C104" s="11">
        <v>2</v>
      </c>
      <c r="D104" s="11">
        <v>2</v>
      </c>
      <c r="E104" s="11">
        <v>3</v>
      </c>
      <c r="F104" s="11">
        <v>3</v>
      </c>
      <c r="G104" s="11">
        <v>2</v>
      </c>
      <c r="H104" s="11">
        <v>3</v>
      </c>
      <c r="I104" s="11">
        <v>2</v>
      </c>
      <c r="J104" s="11">
        <v>1</v>
      </c>
      <c r="K104" s="11">
        <v>4</v>
      </c>
      <c r="L104" s="11">
        <v>1</v>
      </c>
      <c r="M104" s="11">
        <v>3</v>
      </c>
      <c r="N104" s="11">
        <v>2</v>
      </c>
      <c r="O104" s="11">
        <v>2</v>
      </c>
      <c r="P104" s="11">
        <v>5</v>
      </c>
      <c r="Q104" s="11">
        <v>1</v>
      </c>
      <c r="R104" s="11">
        <v>2</v>
      </c>
      <c r="S104" s="11">
        <v>1</v>
      </c>
      <c r="T104" s="11">
        <v>3</v>
      </c>
      <c r="U104" s="10">
        <v>5</v>
      </c>
      <c r="V104" s="6">
        <f t="shared" si="6"/>
        <v>29.912782432254126</v>
      </c>
      <c r="W104" s="6">
        <f t="shared" si="7"/>
        <v>34.560470011219508</v>
      </c>
      <c r="X104" s="6">
        <f t="shared" si="8"/>
        <v>24.720115446164424</v>
      </c>
      <c r="Y104" s="6">
        <f t="shared" si="9"/>
        <v>22.528804676615653</v>
      </c>
      <c r="Z104" s="6">
        <f t="shared" si="10"/>
        <v>22.528804676615653</v>
      </c>
      <c r="AA104" s="6">
        <f t="shared" si="11"/>
        <v>4</v>
      </c>
    </row>
    <row r="105" spans="1:27">
      <c r="A105" s="11">
        <v>104</v>
      </c>
      <c r="B105" s="12">
        <v>2</v>
      </c>
      <c r="C105" s="11">
        <v>1</v>
      </c>
      <c r="D105" s="11">
        <v>1</v>
      </c>
      <c r="E105" s="11">
        <v>2</v>
      </c>
      <c r="F105" s="11">
        <v>2</v>
      </c>
      <c r="G105" s="11">
        <v>4</v>
      </c>
      <c r="H105" s="11">
        <v>2</v>
      </c>
      <c r="I105" s="11">
        <v>2</v>
      </c>
      <c r="J105" s="11">
        <v>2</v>
      </c>
      <c r="K105" s="11">
        <v>2</v>
      </c>
      <c r="L105" s="11">
        <v>1</v>
      </c>
      <c r="M105" s="11">
        <v>3</v>
      </c>
      <c r="N105" s="11">
        <v>3</v>
      </c>
      <c r="O105" s="11">
        <v>2</v>
      </c>
      <c r="P105" s="11">
        <v>4</v>
      </c>
      <c r="Q105" s="11">
        <v>2</v>
      </c>
      <c r="R105" s="11">
        <v>1</v>
      </c>
      <c r="S105" s="11">
        <v>2</v>
      </c>
      <c r="T105" s="11">
        <v>1</v>
      </c>
      <c r="U105" s="10">
        <v>1</v>
      </c>
      <c r="V105" s="6">
        <f t="shared" si="6"/>
        <v>29.190488658024734</v>
      </c>
      <c r="W105" s="6">
        <f t="shared" si="7"/>
        <v>43.522346313491333</v>
      </c>
      <c r="X105" s="6">
        <f t="shared" si="8"/>
        <v>17.643097840927702</v>
      </c>
      <c r="Y105" s="6">
        <f t="shared" si="9"/>
        <v>20.630859653887779</v>
      </c>
      <c r="Z105" s="6">
        <f t="shared" si="10"/>
        <v>17.643097840927702</v>
      </c>
      <c r="AA105" s="6">
        <f t="shared" si="11"/>
        <v>3</v>
      </c>
    </row>
    <row r="106" spans="1:27">
      <c r="A106" s="11">
        <v>105</v>
      </c>
      <c r="B106" s="12">
        <v>2</v>
      </c>
      <c r="C106" s="11">
        <v>2</v>
      </c>
      <c r="D106" s="11">
        <v>3</v>
      </c>
      <c r="E106" s="11">
        <v>3</v>
      </c>
      <c r="F106" s="11">
        <v>3</v>
      </c>
      <c r="G106" s="11">
        <v>2</v>
      </c>
      <c r="H106" s="11">
        <v>3</v>
      </c>
      <c r="I106" s="11">
        <v>2</v>
      </c>
      <c r="J106" s="11">
        <v>2</v>
      </c>
      <c r="K106" s="11">
        <v>3</v>
      </c>
      <c r="L106" s="11">
        <v>4</v>
      </c>
      <c r="M106" s="11">
        <v>2</v>
      </c>
      <c r="N106" s="11">
        <v>3</v>
      </c>
      <c r="O106" s="11">
        <v>4</v>
      </c>
      <c r="P106" s="11">
        <v>4</v>
      </c>
      <c r="Q106" s="11">
        <v>3</v>
      </c>
      <c r="R106" s="11">
        <v>3</v>
      </c>
      <c r="S106" s="11">
        <v>4</v>
      </c>
      <c r="T106" s="11">
        <v>4</v>
      </c>
      <c r="U106" s="10">
        <v>3</v>
      </c>
      <c r="V106" s="6">
        <f t="shared" si="6"/>
        <v>15.523938371479735</v>
      </c>
      <c r="W106" s="6">
        <f t="shared" si="7"/>
        <v>8.9022339349195239</v>
      </c>
      <c r="X106" s="6">
        <f t="shared" si="8"/>
        <v>17.676127229630264</v>
      </c>
      <c r="Y106" s="6">
        <f t="shared" si="9"/>
        <v>16.406423748492646</v>
      </c>
      <c r="Z106" s="6">
        <f t="shared" si="10"/>
        <v>8.9022339349195239</v>
      </c>
      <c r="AA106" s="6">
        <f t="shared" si="11"/>
        <v>2</v>
      </c>
    </row>
    <row r="107" spans="1:27">
      <c r="A107" s="11">
        <v>106</v>
      </c>
      <c r="B107" s="12">
        <v>4</v>
      </c>
      <c r="C107" s="11">
        <v>4</v>
      </c>
      <c r="D107" s="11">
        <v>4</v>
      </c>
      <c r="E107" s="11">
        <v>2</v>
      </c>
      <c r="F107" s="11">
        <v>4</v>
      </c>
      <c r="G107" s="11">
        <v>4</v>
      </c>
      <c r="H107" s="11">
        <v>3</v>
      </c>
      <c r="I107" s="11">
        <v>2</v>
      </c>
      <c r="J107" s="11">
        <v>2</v>
      </c>
      <c r="K107" s="11">
        <v>3</v>
      </c>
      <c r="L107" s="11">
        <v>2</v>
      </c>
      <c r="M107" s="11">
        <v>2</v>
      </c>
      <c r="N107" s="11">
        <v>2</v>
      </c>
      <c r="O107" s="11">
        <v>4</v>
      </c>
      <c r="P107" s="11">
        <v>3</v>
      </c>
      <c r="Q107" s="11">
        <v>2</v>
      </c>
      <c r="R107" s="11">
        <v>2</v>
      </c>
      <c r="S107" s="11">
        <v>4</v>
      </c>
      <c r="T107" s="11">
        <v>3</v>
      </c>
      <c r="U107" s="10">
        <v>2</v>
      </c>
      <c r="V107" s="6">
        <f t="shared" si="6"/>
        <v>18.523918276739739</v>
      </c>
      <c r="W107" s="6">
        <f t="shared" si="7"/>
        <v>14.61108047916186</v>
      </c>
      <c r="X107" s="6">
        <f t="shared" si="8"/>
        <v>20.588133286259843</v>
      </c>
      <c r="Y107" s="6">
        <f t="shared" si="9"/>
        <v>20.977862637241842</v>
      </c>
      <c r="Z107" s="6">
        <f t="shared" si="10"/>
        <v>14.61108047916186</v>
      </c>
      <c r="AA107" s="6">
        <f t="shared" si="11"/>
        <v>2</v>
      </c>
    </row>
    <row r="108" spans="1:27">
      <c r="A108" s="11">
        <v>107</v>
      </c>
      <c r="B108" s="12">
        <v>1</v>
      </c>
      <c r="C108" s="11">
        <v>3</v>
      </c>
      <c r="D108" s="11">
        <v>2</v>
      </c>
      <c r="E108" s="11">
        <v>4</v>
      </c>
      <c r="F108" s="11">
        <v>3</v>
      </c>
      <c r="G108" s="11">
        <v>4</v>
      </c>
      <c r="H108" s="11">
        <v>3</v>
      </c>
      <c r="I108" s="11">
        <v>3</v>
      </c>
      <c r="J108" s="11">
        <v>3</v>
      </c>
      <c r="K108" s="11">
        <v>4</v>
      </c>
      <c r="L108" s="11">
        <v>2</v>
      </c>
      <c r="M108" s="11">
        <v>2</v>
      </c>
      <c r="N108" s="11">
        <v>2</v>
      </c>
      <c r="O108" s="11">
        <v>5</v>
      </c>
      <c r="P108" s="11">
        <v>5</v>
      </c>
      <c r="Q108" s="11">
        <v>3</v>
      </c>
      <c r="R108" s="11">
        <v>2</v>
      </c>
      <c r="S108" s="11">
        <v>4</v>
      </c>
      <c r="T108" s="11">
        <v>2</v>
      </c>
      <c r="U108" s="10">
        <v>4</v>
      </c>
      <c r="V108" s="6">
        <f t="shared" si="6"/>
        <v>12.023951086138013</v>
      </c>
      <c r="W108" s="6">
        <f t="shared" si="7"/>
        <v>19.661757902914683</v>
      </c>
      <c r="X108" s="6">
        <f t="shared" si="8"/>
        <v>26.86302789287382</v>
      </c>
      <c r="Y108" s="6">
        <f t="shared" si="9"/>
        <v>24.977851149234819</v>
      </c>
      <c r="Z108" s="6">
        <f t="shared" si="10"/>
        <v>12.023951086138013</v>
      </c>
      <c r="AA108" s="6">
        <f t="shared" si="11"/>
        <v>1</v>
      </c>
    </row>
    <row r="109" spans="1:27">
      <c r="A109" s="11">
        <v>108</v>
      </c>
      <c r="B109" s="12">
        <v>3</v>
      </c>
      <c r="C109" s="11">
        <v>2</v>
      </c>
      <c r="D109" s="11">
        <v>1</v>
      </c>
      <c r="E109" s="11">
        <v>1</v>
      </c>
      <c r="F109" s="11">
        <v>4</v>
      </c>
      <c r="G109" s="11">
        <v>3</v>
      </c>
      <c r="H109" s="11">
        <v>3</v>
      </c>
      <c r="I109" s="11">
        <v>2</v>
      </c>
      <c r="J109" s="11">
        <v>2</v>
      </c>
      <c r="K109" s="11">
        <v>3</v>
      </c>
      <c r="L109" s="11">
        <v>2</v>
      </c>
      <c r="M109" s="11">
        <v>2</v>
      </c>
      <c r="N109" s="11">
        <v>1</v>
      </c>
      <c r="O109" s="11">
        <v>4</v>
      </c>
      <c r="P109" s="11">
        <v>4</v>
      </c>
      <c r="Q109" s="11">
        <v>1</v>
      </c>
      <c r="R109" s="11">
        <v>1</v>
      </c>
      <c r="S109" s="11">
        <v>5</v>
      </c>
      <c r="T109" s="11">
        <v>2</v>
      </c>
      <c r="U109" s="10">
        <v>4</v>
      </c>
      <c r="V109" s="6">
        <f t="shared" si="6"/>
        <v>22.079410072563245</v>
      </c>
      <c r="W109" s="6">
        <f t="shared" si="7"/>
        <v>30.687024916357412</v>
      </c>
      <c r="X109" s="6">
        <f t="shared" si="8"/>
        <v>25.181671181128163</v>
      </c>
      <c r="Y109" s="6">
        <f t="shared" si="9"/>
        <v>18.018639349950554</v>
      </c>
      <c r="Z109" s="6">
        <f t="shared" si="10"/>
        <v>18.018639349950554</v>
      </c>
      <c r="AA109" s="6">
        <f t="shared" si="11"/>
        <v>4</v>
      </c>
    </row>
    <row r="110" spans="1:27">
      <c r="A110" s="11">
        <v>109</v>
      </c>
      <c r="B110" s="12">
        <v>1</v>
      </c>
      <c r="C110" s="11">
        <v>3</v>
      </c>
      <c r="D110" s="11">
        <v>3</v>
      </c>
      <c r="E110" s="11">
        <v>3</v>
      </c>
      <c r="F110" s="11">
        <v>2</v>
      </c>
      <c r="G110" s="11">
        <v>2</v>
      </c>
      <c r="H110" s="11">
        <v>3</v>
      </c>
      <c r="I110" s="11">
        <v>3</v>
      </c>
      <c r="J110" s="11">
        <v>2</v>
      </c>
      <c r="K110" s="11">
        <v>1</v>
      </c>
      <c r="L110" s="11">
        <v>1</v>
      </c>
      <c r="M110" s="11">
        <v>1</v>
      </c>
      <c r="N110" s="11">
        <v>1</v>
      </c>
      <c r="O110" s="11">
        <v>3</v>
      </c>
      <c r="P110" s="11">
        <v>3</v>
      </c>
      <c r="Q110" s="11">
        <v>2</v>
      </c>
      <c r="R110" s="11">
        <v>1</v>
      </c>
      <c r="S110" s="11">
        <v>3</v>
      </c>
      <c r="T110" s="11">
        <v>2</v>
      </c>
      <c r="U110" s="10">
        <v>5</v>
      </c>
      <c r="V110" s="6">
        <f t="shared" si="6"/>
        <v>25.051624798653656</v>
      </c>
      <c r="W110" s="6">
        <f t="shared" si="7"/>
        <v>31.686967721831362</v>
      </c>
      <c r="X110" s="6">
        <f t="shared" si="8"/>
        <v>37.038749690290189</v>
      </c>
      <c r="Y110" s="6">
        <f t="shared" si="9"/>
        <v>16.549243015827056</v>
      </c>
      <c r="Z110" s="6">
        <f t="shared" si="10"/>
        <v>16.549243015827056</v>
      </c>
      <c r="AA110" s="6">
        <f t="shared" si="11"/>
        <v>4</v>
      </c>
    </row>
    <row r="111" spans="1:27">
      <c r="A111" s="11">
        <v>110</v>
      </c>
      <c r="B111" s="12">
        <v>2</v>
      </c>
      <c r="C111" s="11">
        <v>2</v>
      </c>
      <c r="D111" s="11">
        <v>2</v>
      </c>
      <c r="E111" s="11">
        <v>3</v>
      </c>
      <c r="F111" s="11">
        <v>2</v>
      </c>
      <c r="G111" s="11">
        <v>4</v>
      </c>
      <c r="H111" s="11">
        <v>4</v>
      </c>
      <c r="I111" s="11">
        <v>1</v>
      </c>
      <c r="J111" s="11">
        <v>2</v>
      </c>
      <c r="K111" s="11">
        <v>2</v>
      </c>
      <c r="L111" s="11">
        <v>2</v>
      </c>
      <c r="M111" s="11">
        <v>2</v>
      </c>
      <c r="N111" s="11">
        <v>3</v>
      </c>
      <c r="O111" s="11">
        <v>4</v>
      </c>
      <c r="P111" s="11">
        <v>4</v>
      </c>
      <c r="Q111" s="11">
        <v>1</v>
      </c>
      <c r="R111" s="11">
        <v>2</v>
      </c>
      <c r="S111" s="11">
        <v>4</v>
      </c>
      <c r="T111" s="11">
        <v>3</v>
      </c>
      <c r="U111" s="10">
        <v>4</v>
      </c>
      <c r="V111" s="6">
        <f t="shared" si="6"/>
        <v>14.273873078833276</v>
      </c>
      <c r="W111" s="6">
        <f t="shared" si="7"/>
        <v>19.636396963499386</v>
      </c>
      <c r="X111" s="6">
        <f t="shared" si="8"/>
        <v>17.170673335064997</v>
      </c>
      <c r="Y111" s="6">
        <f t="shared" si="9"/>
        <v>10.834988858608819</v>
      </c>
      <c r="Z111" s="6">
        <f t="shared" si="10"/>
        <v>10.834988858608819</v>
      </c>
      <c r="AA111" s="6">
        <f t="shared" si="11"/>
        <v>4</v>
      </c>
    </row>
    <row r="112" spans="1:27">
      <c r="A112" s="11">
        <v>111</v>
      </c>
      <c r="B112" s="12">
        <v>2</v>
      </c>
      <c r="C112" s="11">
        <v>3</v>
      </c>
      <c r="D112" s="11">
        <v>2</v>
      </c>
      <c r="E112" s="11">
        <v>2</v>
      </c>
      <c r="F112" s="11">
        <v>3</v>
      </c>
      <c r="G112" s="11">
        <v>3</v>
      </c>
      <c r="H112" s="11">
        <v>4</v>
      </c>
      <c r="I112" s="11">
        <v>2</v>
      </c>
      <c r="J112" s="11">
        <v>3</v>
      </c>
      <c r="K112" s="11">
        <v>4</v>
      </c>
      <c r="L112" s="11">
        <v>3</v>
      </c>
      <c r="M112" s="11">
        <v>2</v>
      </c>
      <c r="N112" s="11">
        <v>4</v>
      </c>
      <c r="O112" s="11">
        <v>2</v>
      </c>
      <c r="P112" s="11">
        <v>2</v>
      </c>
      <c r="Q112" s="11">
        <v>2</v>
      </c>
      <c r="R112" s="11">
        <v>3</v>
      </c>
      <c r="S112" s="11">
        <v>2</v>
      </c>
      <c r="T112" s="11">
        <v>4</v>
      </c>
      <c r="U112" s="10">
        <v>2</v>
      </c>
      <c r="V112" s="6">
        <f t="shared" si="6"/>
        <v>26.496108505981859</v>
      </c>
      <c r="W112" s="6">
        <f t="shared" si="7"/>
        <v>16.560430950233556</v>
      </c>
      <c r="X112" s="6">
        <f t="shared" si="8"/>
        <v>18.764028656915826</v>
      </c>
      <c r="Y112" s="6">
        <f t="shared" si="9"/>
        <v>21.141109411389927</v>
      </c>
      <c r="Z112" s="6">
        <f t="shared" si="10"/>
        <v>16.560430950233556</v>
      </c>
      <c r="AA112" s="6">
        <f t="shared" si="11"/>
        <v>2</v>
      </c>
    </row>
    <row r="113" spans="1:27">
      <c r="A113" s="11">
        <v>112</v>
      </c>
      <c r="B113" s="12">
        <v>5</v>
      </c>
      <c r="C113" s="11">
        <v>2</v>
      </c>
      <c r="D113" s="11">
        <v>1</v>
      </c>
      <c r="E113" s="11">
        <v>3</v>
      </c>
      <c r="F113" s="11">
        <v>2</v>
      </c>
      <c r="G113" s="11">
        <v>1</v>
      </c>
      <c r="H113" s="11">
        <v>5</v>
      </c>
      <c r="I113" s="11">
        <v>2</v>
      </c>
      <c r="J113" s="11">
        <v>2</v>
      </c>
      <c r="K113" s="11">
        <v>2</v>
      </c>
      <c r="L113" s="11">
        <v>1</v>
      </c>
      <c r="M113" s="11">
        <v>1</v>
      </c>
      <c r="N113" s="11">
        <v>1</v>
      </c>
      <c r="O113" s="11">
        <v>4</v>
      </c>
      <c r="P113" s="11">
        <v>2</v>
      </c>
      <c r="Q113" s="11">
        <v>3</v>
      </c>
      <c r="R113" s="11">
        <v>2</v>
      </c>
      <c r="S113" s="11">
        <v>2</v>
      </c>
      <c r="T113" s="11">
        <v>3</v>
      </c>
      <c r="U113" s="10">
        <v>5</v>
      </c>
      <c r="V113" s="6">
        <f t="shared" si="6"/>
        <v>29.968312278302754</v>
      </c>
      <c r="W113" s="6">
        <f t="shared" si="7"/>
        <v>41.712318122243694</v>
      </c>
      <c r="X113" s="6">
        <f t="shared" si="8"/>
        <v>34.863004704996833</v>
      </c>
      <c r="Y113" s="6">
        <f t="shared" si="9"/>
        <v>27.304374563222602</v>
      </c>
      <c r="Z113" s="6">
        <f t="shared" si="10"/>
        <v>27.304374563222602</v>
      </c>
      <c r="AA113" s="6">
        <f t="shared" si="11"/>
        <v>4</v>
      </c>
    </row>
    <row r="114" spans="1:27">
      <c r="A114" s="11">
        <v>113</v>
      </c>
      <c r="B114" s="12">
        <v>3</v>
      </c>
      <c r="C114" s="11">
        <v>2</v>
      </c>
      <c r="D114" s="11">
        <v>2</v>
      </c>
      <c r="E114" s="11">
        <v>2</v>
      </c>
      <c r="F114" s="11">
        <v>3</v>
      </c>
      <c r="G114" s="11">
        <v>2</v>
      </c>
      <c r="H114" s="11">
        <v>3</v>
      </c>
      <c r="I114" s="11">
        <v>2</v>
      </c>
      <c r="J114" s="11">
        <v>2</v>
      </c>
      <c r="K114" s="11">
        <v>3</v>
      </c>
      <c r="L114" s="11">
        <v>3</v>
      </c>
      <c r="M114" s="11">
        <v>3</v>
      </c>
      <c r="N114" s="11">
        <v>2</v>
      </c>
      <c r="O114" s="11">
        <v>3</v>
      </c>
      <c r="P114" s="11">
        <v>4</v>
      </c>
      <c r="Q114" s="11">
        <v>2</v>
      </c>
      <c r="R114" s="11">
        <v>3</v>
      </c>
      <c r="S114" s="11">
        <v>4</v>
      </c>
      <c r="T114" s="11">
        <v>3</v>
      </c>
      <c r="U114" s="10">
        <v>4</v>
      </c>
      <c r="V114" s="6">
        <f t="shared" si="6"/>
        <v>15.46833732761591</v>
      </c>
      <c r="W114" s="6">
        <f t="shared" si="7"/>
        <v>9.8389361395131303</v>
      </c>
      <c r="X114" s="6">
        <f t="shared" si="8"/>
        <v>13.412420799143655</v>
      </c>
      <c r="Y114" s="6">
        <f t="shared" si="9"/>
        <v>6.222728560655078</v>
      </c>
      <c r="Z114" s="6">
        <f t="shared" si="10"/>
        <v>6.222728560655078</v>
      </c>
      <c r="AA114" s="6">
        <f t="shared" si="11"/>
        <v>4</v>
      </c>
    </row>
    <row r="115" spans="1:27">
      <c r="A115" s="11">
        <v>114</v>
      </c>
      <c r="B115" s="12">
        <v>3</v>
      </c>
      <c r="C115" s="11">
        <v>2</v>
      </c>
      <c r="D115" s="11">
        <v>1</v>
      </c>
      <c r="E115" s="11">
        <v>3</v>
      </c>
      <c r="F115" s="11">
        <v>4</v>
      </c>
      <c r="G115" s="11">
        <v>4</v>
      </c>
      <c r="H115" s="11">
        <v>4</v>
      </c>
      <c r="I115" s="11">
        <v>1</v>
      </c>
      <c r="J115" s="11">
        <v>1</v>
      </c>
      <c r="K115" s="11">
        <v>1</v>
      </c>
      <c r="L115" s="11">
        <v>1</v>
      </c>
      <c r="M115" s="11">
        <v>1</v>
      </c>
      <c r="N115" s="11">
        <v>1</v>
      </c>
      <c r="O115" s="11">
        <v>5</v>
      </c>
      <c r="P115" s="11">
        <v>1</v>
      </c>
      <c r="Q115" s="11">
        <v>5</v>
      </c>
      <c r="R115" s="11">
        <v>1</v>
      </c>
      <c r="S115" s="11">
        <v>5</v>
      </c>
      <c r="T115" s="11">
        <v>1</v>
      </c>
      <c r="U115" s="10">
        <v>1</v>
      </c>
      <c r="V115" s="6">
        <f t="shared" si="6"/>
        <v>37.107186511977723</v>
      </c>
      <c r="W115" s="6">
        <f t="shared" si="7"/>
        <v>62.585621533889118</v>
      </c>
      <c r="X115" s="6">
        <f t="shared" si="8"/>
        <v>51.64310639359222</v>
      </c>
      <c r="Y115" s="6">
        <f t="shared" si="9"/>
        <v>51.386045754924339</v>
      </c>
      <c r="Z115" s="6">
        <f t="shared" si="10"/>
        <v>37.107186511977723</v>
      </c>
      <c r="AA115" s="6">
        <f t="shared" si="11"/>
        <v>1</v>
      </c>
    </row>
    <row r="116" spans="1:27">
      <c r="A116" s="11">
        <v>115</v>
      </c>
      <c r="B116" s="12">
        <v>3</v>
      </c>
      <c r="C116" s="11">
        <v>4</v>
      </c>
      <c r="D116" s="11">
        <v>2</v>
      </c>
      <c r="E116" s="11">
        <v>3</v>
      </c>
      <c r="F116" s="11">
        <v>2</v>
      </c>
      <c r="G116" s="11">
        <v>3</v>
      </c>
      <c r="H116" s="11">
        <v>3</v>
      </c>
      <c r="I116" s="11">
        <v>2</v>
      </c>
      <c r="J116" s="11">
        <v>2</v>
      </c>
      <c r="K116" s="11">
        <v>4</v>
      </c>
      <c r="L116" s="11">
        <v>2</v>
      </c>
      <c r="M116" s="11">
        <v>1</v>
      </c>
      <c r="N116" s="11">
        <v>2</v>
      </c>
      <c r="O116" s="11">
        <v>2</v>
      </c>
      <c r="P116" s="11">
        <v>4</v>
      </c>
      <c r="Q116" s="11">
        <v>2</v>
      </c>
      <c r="R116" s="11">
        <v>2</v>
      </c>
      <c r="S116" s="11">
        <v>2</v>
      </c>
      <c r="T116" s="11">
        <v>4</v>
      </c>
      <c r="U116" s="10">
        <v>2</v>
      </c>
      <c r="V116" s="6">
        <f t="shared" si="6"/>
        <v>18.496117949872481</v>
      </c>
      <c r="W116" s="6">
        <f t="shared" si="7"/>
        <v>20.446494493628165</v>
      </c>
      <c r="X116" s="6">
        <f t="shared" si="8"/>
        <v>12.972810466500098</v>
      </c>
      <c r="Y116" s="6">
        <f t="shared" si="9"/>
        <v>18.243118838810098</v>
      </c>
      <c r="Z116" s="6">
        <f t="shared" si="10"/>
        <v>12.972810466500098</v>
      </c>
      <c r="AA116" s="6">
        <f t="shared" si="11"/>
        <v>3</v>
      </c>
    </row>
    <row r="117" spans="1:27">
      <c r="A117" s="11">
        <v>116</v>
      </c>
      <c r="B117" s="12">
        <v>4</v>
      </c>
      <c r="C117" s="11">
        <v>2</v>
      </c>
      <c r="D117" s="11">
        <v>2</v>
      </c>
      <c r="E117" s="11">
        <v>3</v>
      </c>
      <c r="F117" s="11">
        <v>4</v>
      </c>
      <c r="G117" s="11">
        <v>2</v>
      </c>
      <c r="H117" s="11">
        <v>3</v>
      </c>
      <c r="I117" s="11">
        <v>4</v>
      </c>
      <c r="J117" s="11">
        <v>3</v>
      </c>
      <c r="K117" s="11">
        <v>2</v>
      </c>
      <c r="L117" s="11">
        <v>3</v>
      </c>
      <c r="M117" s="11">
        <v>3</v>
      </c>
      <c r="N117" s="11">
        <v>2</v>
      </c>
      <c r="O117" s="11">
        <v>2</v>
      </c>
      <c r="P117" s="11">
        <v>5</v>
      </c>
      <c r="Q117" s="11">
        <v>1</v>
      </c>
      <c r="R117" s="11">
        <v>3</v>
      </c>
      <c r="S117" s="11">
        <v>4</v>
      </c>
      <c r="T117" s="11">
        <v>3</v>
      </c>
      <c r="U117" s="10">
        <v>4</v>
      </c>
      <c r="V117" s="6">
        <f t="shared" si="6"/>
        <v>29.023928503646399</v>
      </c>
      <c r="W117" s="6">
        <f t="shared" si="7"/>
        <v>16.978208496993506</v>
      </c>
      <c r="X117" s="6">
        <f t="shared" si="8"/>
        <v>26.577296673284152</v>
      </c>
      <c r="Y117" s="6">
        <f t="shared" si="9"/>
        <v>19.814602519486872</v>
      </c>
      <c r="Z117" s="6">
        <f t="shared" si="10"/>
        <v>16.978208496993506</v>
      </c>
      <c r="AA117" s="6">
        <f t="shared" si="11"/>
        <v>2</v>
      </c>
    </row>
    <row r="118" spans="1:27">
      <c r="A118" s="11">
        <v>117</v>
      </c>
      <c r="B118" s="12">
        <v>2</v>
      </c>
      <c r="C118" s="11">
        <v>1</v>
      </c>
      <c r="D118" s="11">
        <v>5</v>
      </c>
      <c r="E118" s="11">
        <v>3</v>
      </c>
      <c r="F118" s="11">
        <v>2</v>
      </c>
      <c r="G118" s="11">
        <v>3</v>
      </c>
      <c r="H118" s="11">
        <v>3</v>
      </c>
      <c r="I118" s="11">
        <v>2</v>
      </c>
      <c r="J118" s="11">
        <v>1</v>
      </c>
      <c r="K118" s="11">
        <v>2</v>
      </c>
      <c r="L118" s="11">
        <v>3</v>
      </c>
      <c r="M118" s="11">
        <v>2</v>
      </c>
      <c r="N118" s="11">
        <v>1</v>
      </c>
      <c r="O118" s="11">
        <v>3</v>
      </c>
      <c r="P118" s="11">
        <v>5</v>
      </c>
      <c r="Q118" s="11">
        <v>3</v>
      </c>
      <c r="R118" s="11">
        <v>1</v>
      </c>
      <c r="S118" s="11">
        <v>1</v>
      </c>
      <c r="T118" s="11">
        <v>2</v>
      </c>
      <c r="U118" s="10">
        <v>5</v>
      </c>
      <c r="V118" s="6">
        <f t="shared" si="6"/>
        <v>31.301712960913203</v>
      </c>
      <c r="W118" s="6">
        <f t="shared" si="7"/>
        <v>36.914845114698004</v>
      </c>
      <c r="X118" s="6">
        <f t="shared" si="8"/>
        <v>38.917810607026688</v>
      </c>
      <c r="Y118" s="6">
        <f t="shared" si="9"/>
        <v>26.957369202889382</v>
      </c>
      <c r="Z118" s="6">
        <f t="shared" si="10"/>
        <v>26.957369202889382</v>
      </c>
      <c r="AA118" s="6">
        <f t="shared" si="11"/>
        <v>4</v>
      </c>
    </row>
    <row r="119" spans="1:27">
      <c r="A119" s="11">
        <v>118</v>
      </c>
      <c r="B119" s="12">
        <v>4</v>
      </c>
      <c r="C119" s="11">
        <v>2</v>
      </c>
      <c r="D119" s="11">
        <v>3</v>
      </c>
      <c r="E119" s="11">
        <v>2</v>
      </c>
      <c r="F119" s="11">
        <v>2</v>
      </c>
      <c r="G119" s="11">
        <v>2</v>
      </c>
      <c r="H119" s="11">
        <v>2</v>
      </c>
      <c r="I119" s="11">
        <v>2</v>
      </c>
      <c r="J119" s="11">
        <v>2</v>
      </c>
      <c r="K119" s="11">
        <v>2</v>
      </c>
      <c r="L119" s="11">
        <v>2</v>
      </c>
      <c r="M119" s="11">
        <v>3</v>
      </c>
      <c r="N119" s="11">
        <v>2</v>
      </c>
      <c r="O119" s="11">
        <v>4</v>
      </c>
      <c r="P119" s="11">
        <v>4</v>
      </c>
      <c r="Q119" s="11">
        <v>2</v>
      </c>
      <c r="R119" s="11">
        <v>4</v>
      </c>
      <c r="S119" s="11">
        <v>3</v>
      </c>
      <c r="T119" s="11">
        <v>4</v>
      </c>
      <c r="U119" s="10">
        <v>4</v>
      </c>
      <c r="V119" s="6">
        <f t="shared" si="6"/>
        <v>23.412783083065012</v>
      </c>
      <c r="W119" s="6">
        <f t="shared" si="7"/>
        <v>16.649067715649807</v>
      </c>
      <c r="X119" s="6">
        <f t="shared" si="8"/>
        <v>16.357439854919836</v>
      </c>
      <c r="Y119" s="6">
        <f t="shared" si="9"/>
        <v>11.018650770832556</v>
      </c>
      <c r="Z119" s="6">
        <f t="shared" si="10"/>
        <v>11.018650770832556</v>
      </c>
      <c r="AA119" s="6">
        <f t="shared" si="11"/>
        <v>4</v>
      </c>
    </row>
    <row r="120" spans="1:27">
      <c r="A120" s="11">
        <v>119</v>
      </c>
      <c r="B120" s="12">
        <v>5</v>
      </c>
      <c r="C120" s="11">
        <v>2</v>
      </c>
      <c r="D120" s="11">
        <v>1</v>
      </c>
      <c r="E120" s="11">
        <v>2</v>
      </c>
      <c r="F120" s="11">
        <v>4</v>
      </c>
      <c r="G120" s="11">
        <v>4</v>
      </c>
      <c r="H120" s="11">
        <v>2</v>
      </c>
      <c r="I120" s="11">
        <v>1</v>
      </c>
      <c r="J120" s="11">
        <v>1</v>
      </c>
      <c r="K120" s="11">
        <v>4</v>
      </c>
      <c r="L120" s="11">
        <v>1</v>
      </c>
      <c r="M120" s="11">
        <v>1</v>
      </c>
      <c r="N120" s="11">
        <v>4</v>
      </c>
      <c r="O120" s="11">
        <v>5</v>
      </c>
      <c r="P120" s="11">
        <v>5</v>
      </c>
      <c r="Q120" s="11">
        <v>1</v>
      </c>
      <c r="R120" s="11">
        <v>1</v>
      </c>
      <c r="S120" s="11">
        <v>2</v>
      </c>
      <c r="T120" s="11">
        <v>2</v>
      </c>
      <c r="U120" s="10">
        <v>4</v>
      </c>
      <c r="V120" s="6">
        <f t="shared" si="6"/>
        <v>26.051682033805179</v>
      </c>
      <c r="W120" s="6">
        <f t="shared" si="7"/>
        <v>46.712376392842209</v>
      </c>
      <c r="X120" s="6">
        <f t="shared" si="8"/>
        <v>24.082777811239037</v>
      </c>
      <c r="Y120" s="6">
        <f t="shared" si="9"/>
        <v>34.73290954397239</v>
      </c>
      <c r="Z120" s="6">
        <f t="shared" si="10"/>
        <v>24.082777811239037</v>
      </c>
      <c r="AA120" s="6">
        <f t="shared" si="11"/>
        <v>3</v>
      </c>
    </row>
    <row r="121" spans="1:27">
      <c r="A121" s="11">
        <v>120</v>
      </c>
      <c r="B121" s="12">
        <v>5</v>
      </c>
      <c r="C121" s="11">
        <v>2</v>
      </c>
      <c r="D121" s="11">
        <v>1</v>
      </c>
      <c r="E121" s="11">
        <v>2</v>
      </c>
      <c r="F121" s="11">
        <v>1</v>
      </c>
      <c r="G121" s="11">
        <v>2</v>
      </c>
      <c r="H121" s="11">
        <v>3</v>
      </c>
      <c r="I121" s="11">
        <v>2</v>
      </c>
      <c r="J121" s="11">
        <v>2</v>
      </c>
      <c r="K121" s="11">
        <v>2</v>
      </c>
      <c r="L121" s="11">
        <v>3</v>
      </c>
      <c r="M121" s="11">
        <v>2</v>
      </c>
      <c r="N121" s="11">
        <v>3</v>
      </c>
      <c r="O121" s="11">
        <v>4</v>
      </c>
      <c r="P121" s="11">
        <v>2</v>
      </c>
      <c r="Q121" s="11">
        <v>1</v>
      </c>
      <c r="R121" s="11">
        <v>1</v>
      </c>
      <c r="S121" s="11">
        <v>1</v>
      </c>
      <c r="T121" s="11">
        <v>3</v>
      </c>
      <c r="U121" s="10">
        <v>1</v>
      </c>
      <c r="V121" s="6">
        <f t="shared" si="6"/>
        <v>38.6071846999806</v>
      </c>
      <c r="W121" s="6">
        <f t="shared" si="7"/>
        <v>45.737579959878666</v>
      </c>
      <c r="X121" s="6">
        <f t="shared" si="8"/>
        <v>19.500266094456205</v>
      </c>
      <c r="Y121" s="6">
        <f t="shared" si="9"/>
        <v>29.875794258293503</v>
      </c>
      <c r="Z121" s="6">
        <f t="shared" si="10"/>
        <v>19.500266094456205</v>
      </c>
      <c r="AA121" s="6">
        <f t="shared" si="11"/>
        <v>3</v>
      </c>
    </row>
    <row r="122" spans="1:27">
      <c r="A122" s="11">
        <v>121</v>
      </c>
      <c r="B122" s="12">
        <v>2</v>
      </c>
      <c r="C122" s="11">
        <v>1</v>
      </c>
      <c r="D122" s="11">
        <v>2</v>
      </c>
      <c r="E122" s="11">
        <v>3</v>
      </c>
      <c r="F122" s="11">
        <v>3</v>
      </c>
      <c r="G122" s="11">
        <v>3</v>
      </c>
      <c r="H122" s="11">
        <v>4</v>
      </c>
      <c r="I122" s="11">
        <v>2</v>
      </c>
      <c r="J122" s="11">
        <v>2</v>
      </c>
      <c r="K122" s="11">
        <v>3</v>
      </c>
      <c r="L122" s="11">
        <v>2</v>
      </c>
      <c r="M122" s="11">
        <v>2</v>
      </c>
      <c r="N122" s="11">
        <v>2</v>
      </c>
      <c r="O122" s="11">
        <v>4</v>
      </c>
      <c r="P122" s="11">
        <v>4</v>
      </c>
      <c r="Q122" s="11">
        <v>3</v>
      </c>
      <c r="R122" s="11">
        <v>3</v>
      </c>
      <c r="S122" s="11">
        <v>2</v>
      </c>
      <c r="T122" s="11">
        <v>3</v>
      </c>
      <c r="U122" s="10">
        <v>2</v>
      </c>
      <c r="V122" s="6">
        <f t="shared" si="6"/>
        <v>8.1072516416201523</v>
      </c>
      <c r="W122" s="6">
        <f t="shared" si="7"/>
        <v>17.269262791482753</v>
      </c>
      <c r="X122" s="6">
        <f t="shared" si="8"/>
        <v>6.8739134369185102</v>
      </c>
      <c r="Y122" s="6">
        <f t="shared" si="9"/>
        <v>12.671701257136204</v>
      </c>
      <c r="Z122" s="6">
        <f t="shared" si="10"/>
        <v>6.8739134369185102</v>
      </c>
      <c r="AA122" s="6">
        <f t="shared" si="11"/>
        <v>3</v>
      </c>
    </row>
    <row r="123" spans="1:27">
      <c r="A123" s="11">
        <v>122</v>
      </c>
      <c r="B123" s="12">
        <v>3</v>
      </c>
      <c r="C123" s="11">
        <v>3</v>
      </c>
      <c r="D123" s="11">
        <v>2</v>
      </c>
      <c r="E123" s="11">
        <v>3</v>
      </c>
      <c r="F123" s="11">
        <v>1</v>
      </c>
      <c r="G123" s="11">
        <v>2</v>
      </c>
      <c r="H123" s="11">
        <v>2</v>
      </c>
      <c r="I123" s="11">
        <v>3</v>
      </c>
      <c r="J123" s="11">
        <v>2</v>
      </c>
      <c r="K123" s="11">
        <v>2</v>
      </c>
      <c r="L123" s="11">
        <v>3</v>
      </c>
      <c r="M123" s="11">
        <v>1</v>
      </c>
      <c r="N123" s="11">
        <v>2</v>
      </c>
      <c r="O123" s="11">
        <v>3</v>
      </c>
      <c r="P123" s="11">
        <v>4</v>
      </c>
      <c r="Q123" s="11">
        <v>2</v>
      </c>
      <c r="R123" s="11">
        <v>3</v>
      </c>
      <c r="S123" s="11">
        <v>2</v>
      </c>
      <c r="T123" s="11">
        <v>1</v>
      </c>
      <c r="U123" s="10">
        <v>3</v>
      </c>
      <c r="V123" s="6">
        <f t="shared" si="6"/>
        <v>22.579475960693138</v>
      </c>
      <c r="W123" s="6">
        <f t="shared" si="7"/>
        <v>26.041400028537918</v>
      </c>
      <c r="X123" s="6">
        <f t="shared" si="8"/>
        <v>17.03874925258096</v>
      </c>
      <c r="Y123" s="6">
        <f t="shared" si="9"/>
        <v>15.426788876832973</v>
      </c>
      <c r="Z123" s="6">
        <f t="shared" si="10"/>
        <v>15.426788876832973</v>
      </c>
      <c r="AA123" s="6">
        <f t="shared" si="11"/>
        <v>4</v>
      </c>
    </row>
    <row r="124" spans="1:27">
      <c r="A124" s="11">
        <v>123</v>
      </c>
      <c r="B124" s="12">
        <v>3</v>
      </c>
      <c r="C124" s="11">
        <v>3</v>
      </c>
      <c r="D124" s="11">
        <v>1</v>
      </c>
      <c r="E124" s="11">
        <v>2</v>
      </c>
      <c r="F124" s="11">
        <v>2</v>
      </c>
      <c r="G124" s="11">
        <v>4</v>
      </c>
      <c r="H124" s="11">
        <v>3</v>
      </c>
      <c r="I124" s="11">
        <v>2</v>
      </c>
      <c r="J124" s="11">
        <v>2</v>
      </c>
      <c r="K124" s="11">
        <v>3</v>
      </c>
      <c r="L124" s="11">
        <v>2</v>
      </c>
      <c r="M124" s="11">
        <v>2</v>
      </c>
      <c r="N124" s="11">
        <v>3</v>
      </c>
      <c r="O124" s="11">
        <v>3</v>
      </c>
      <c r="P124" s="11">
        <v>4</v>
      </c>
      <c r="Q124" s="11">
        <v>3</v>
      </c>
      <c r="R124" s="11">
        <v>3</v>
      </c>
      <c r="S124" s="11">
        <v>2</v>
      </c>
      <c r="T124" s="11">
        <v>3</v>
      </c>
      <c r="U124" s="10">
        <v>3</v>
      </c>
      <c r="V124" s="6">
        <f t="shared" si="6"/>
        <v>11.051672286917031</v>
      </c>
      <c r="W124" s="6">
        <f t="shared" si="7"/>
        <v>15.332568709444798</v>
      </c>
      <c r="X124" s="6">
        <f t="shared" si="8"/>
        <v>5.7201352628510929</v>
      </c>
      <c r="Y124" s="6">
        <f t="shared" si="9"/>
        <v>9.5492562777372534</v>
      </c>
      <c r="Z124" s="6">
        <f t="shared" si="10"/>
        <v>5.7201352628510929</v>
      </c>
      <c r="AA124" s="6">
        <f t="shared" si="11"/>
        <v>3</v>
      </c>
    </row>
    <row r="125" spans="1:27">
      <c r="A125" s="11">
        <v>124</v>
      </c>
      <c r="B125" s="12">
        <v>2</v>
      </c>
      <c r="C125" s="11">
        <v>4</v>
      </c>
      <c r="D125" s="11">
        <v>3</v>
      </c>
      <c r="E125" s="11">
        <v>4</v>
      </c>
      <c r="F125" s="11">
        <v>5</v>
      </c>
      <c r="G125" s="11">
        <v>4</v>
      </c>
      <c r="H125" s="11">
        <v>4</v>
      </c>
      <c r="I125" s="11">
        <v>3</v>
      </c>
      <c r="J125" s="11">
        <v>2</v>
      </c>
      <c r="K125" s="11">
        <v>3</v>
      </c>
      <c r="L125" s="11">
        <v>4</v>
      </c>
      <c r="M125" s="11">
        <v>3</v>
      </c>
      <c r="N125" s="11">
        <v>3</v>
      </c>
      <c r="O125" s="11">
        <v>1</v>
      </c>
      <c r="P125" s="11">
        <v>2</v>
      </c>
      <c r="Q125" s="11">
        <v>3</v>
      </c>
      <c r="R125" s="11">
        <v>4</v>
      </c>
      <c r="S125" s="11">
        <v>3</v>
      </c>
      <c r="T125" s="11">
        <v>4</v>
      </c>
      <c r="U125" s="10">
        <v>5</v>
      </c>
      <c r="V125" s="6">
        <f t="shared" si="6"/>
        <v>38.523954733351736</v>
      </c>
      <c r="W125" s="6">
        <f t="shared" si="7"/>
        <v>17.471884633187475</v>
      </c>
      <c r="X125" s="6">
        <f t="shared" si="8"/>
        <v>51.335547041565114</v>
      </c>
      <c r="Y125" s="6">
        <f t="shared" si="9"/>
        <v>38.263606566425594</v>
      </c>
      <c r="Z125" s="6">
        <f t="shared" si="10"/>
        <v>17.471884633187475</v>
      </c>
      <c r="AA125" s="6">
        <f t="shared" si="11"/>
        <v>2</v>
      </c>
    </row>
    <row r="126" spans="1:27">
      <c r="A126" s="11">
        <v>125</v>
      </c>
      <c r="B126" s="12">
        <v>2</v>
      </c>
      <c r="C126" s="11">
        <v>2</v>
      </c>
      <c r="D126" s="11">
        <v>4</v>
      </c>
      <c r="E126" s="11">
        <v>2</v>
      </c>
      <c r="F126" s="11">
        <v>5</v>
      </c>
      <c r="G126" s="11">
        <v>3</v>
      </c>
      <c r="H126" s="11">
        <v>3</v>
      </c>
      <c r="I126" s="11">
        <v>2</v>
      </c>
      <c r="J126" s="11">
        <v>2</v>
      </c>
      <c r="K126" s="11">
        <v>3</v>
      </c>
      <c r="L126" s="11">
        <v>4</v>
      </c>
      <c r="M126" s="11">
        <v>2</v>
      </c>
      <c r="N126" s="11">
        <v>3</v>
      </c>
      <c r="O126" s="11">
        <v>4</v>
      </c>
      <c r="P126" s="11">
        <v>3</v>
      </c>
      <c r="Q126" s="11">
        <v>2</v>
      </c>
      <c r="R126" s="11">
        <v>3</v>
      </c>
      <c r="S126" s="11">
        <v>4</v>
      </c>
      <c r="T126" s="11">
        <v>3</v>
      </c>
      <c r="U126" s="10">
        <v>5</v>
      </c>
      <c r="V126" s="6">
        <f t="shared" si="6"/>
        <v>23.523945011254479</v>
      </c>
      <c r="W126" s="6">
        <f t="shared" si="7"/>
        <v>12.598478059660087</v>
      </c>
      <c r="X126" s="6">
        <f t="shared" si="8"/>
        <v>33.566243072070428</v>
      </c>
      <c r="Y126" s="6">
        <f t="shared" si="9"/>
        <v>22.28397550999512</v>
      </c>
      <c r="Z126" s="6">
        <f t="shared" si="10"/>
        <v>12.598478059660087</v>
      </c>
      <c r="AA126" s="6">
        <f t="shared" si="11"/>
        <v>2</v>
      </c>
    </row>
    <row r="127" spans="1:27">
      <c r="A127" s="11">
        <v>126</v>
      </c>
      <c r="B127" s="12">
        <v>4</v>
      </c>
      <c r="C127" s="11">
        <v>1</v>
      </c>
      <c r="D127" s="11">
        <v>1</v>
      </c>
      <c r="E127" s="11">
        <v>2</v>
      </c>
      <c r="F127" s="11">
        <v>2</v>
      </c>
      <c r="G127" s="11">
        <v>2</v>
      </c>
      <c r="H127" s="11">
        <v>4</v>
      </c>
      <c r="I127" s="11">
        <v>2</v>
      </c>
      <c r="J127" s="11">
        <v>2</v>
      </c>
      <c r="K127" s="11">
        <v>2</v>
      </c>
      <c r="L127" s="11">
        <v>1</v>
      </c>
      <c r="M127" s="11">
        <v>4</v>
      </c>
      <c r="N127" s="11">
        <v>4</v>
      </c>
      <c r="O127" s="11">
        <v>4</v>
      </c>
      <c r="P127" s="11">
        <v>1</v>
      </c>
      <c r="Q127" s="11">
        <v>2</v>
      </c>
      <c r="R127" s="11">
        <v>3</v>
      </c>
      <c r="S127" s="11">
        <v>2</v>
      </c>
      <c r="T127" s="11">
        <v>3</v>
      </c>
      <c r="U127" s="10">
        <v>4</v>
      </c>
      <c r="V127" s="6">
        <f t="shared" si="6"/>
        <v>33.32937722238772</v>
      </c>
      <c r="W127" s="6">
        <f t="shared" si="7"/>
        <v>34.104718160110984</v>
      </c>
      <c r="X127" s="6">
        <f t="shared" si="8"/>
        <v>25.86297751111475</v>
      </c>
      <c r="Y127" s="6">
        <f t="shared" si="9"/>
        <v>19.732956779428967</v>
      </c>
      <c r="Z127" s="6">
        <f t="shared" si="10"/>
        <v>19.732956779428967</v>
      </c>
      <c r="AA127" s="6">
        <f t="shared" si="11"/>
        <v>4</v>
      </c>
    </row>
    <row r="128" spans="1:27">
      <c r="A128" s="11">
        <v>127</v>
      </c>
      <c r="B128" s="12">
        <v>1</v>
      </c>
      <c r="C128" s="11">
        <v>1</v>
      </c>
      <c r="D128" s="11">
        <v>1</v>
      </c>
      <c r="E128" s="11">
        <v>4</v>
      </c>
      <c r="F128" s="11">
        <v>3</v>
      </c>
      <c r="G128" s="11">
        <v>2</v>
      </c>
      <c r="H128" s="11">
        <v>2</v>
      </c>
      <c r="I128" s="11">
        <v>2</v>
      </c>
      <c r="J128" s="11">
        <v>2</v>
      </c>
      <c r="K128" s="11">
        <v>2</v>
      </c>
      <c r="L128" s="11">
        <v>2</v>
      </c>
      <c r="M128" s="11">
        <v>2</v>
      </c>
      <c r="N128" s="11">
        <v>3</v>
      </c>
      <c r="O128" s="11">
        <v>4</v>
      </c>
      <c r="P128" s="11">
        <v>3</v>
      </c>
      <c r="Q128" s="11">
        <v>4</v>
      </c>
      <c r="R128" s="11">
        <v>4</v>
      </c>
      <c r="S128" s="11">
        <v>3</v>
      </c>
      <c r="T128" s="11">
        <v>2</v>
      </c>
      <c r="U128" s="10">
        <v>4</v>
      </c>
      <c r="V128" s="6">
        <f t="shared" si="6"/>
        <v>17.079453076650118</v>
      </c>
      <c r="W128" s="6">
        <f t="shared" si="7"/>
        <v>25.585721987163438</v>
      </c>
      <c r="X128" s="6">
        <f t="shared" si="8"/>
        <v>24.906953525375275</v>
      </c>
      <c r="Y128" s="6">
        <f t="shared" si="9"/>
        <v>18.957435497269387</v>
      </c>
      <c r="Z128" s="6">
        <f t="shared" si="10"/>
        <v>17.079453076650118</v>
      </c>
      <c r="AA128" s="6">
        <f t="shared" si="11"/>
        <v>1</v>
      </c>
    </row>
    <row r="129" spans="1:27">
      <c r="A129" s="11">
        <v>128</v>
      </c>
      <c r="B129" s="12">
        <v>1</v>
      </c>
      <c r="C129" s="11">
        <v>3</v>
      </c>
      <c r="D129" s="11">
        <v>2</v>
      </c>
      <c r="E129" s="11">
        <v>3</v>
      </c>
      <c r="F129" s="11">
        <v>4</v>
      </c>
      <c r="G129" s="11">
        <v>4</v>
      </c>
      <c r="H129" s="11">
        <v>3</v>
      </c>
      <c r="I129" s="11">
        <v>3</v>
      </c>
      <c r="J129" s="11">
        <v>3</v>
      </c>
      <c r="K129" s="11">
        <v>3</v>
      </c>
      <c r="L129" s="11">
        <v>3</v>
      </c>
      <c r="M129" s="11">
        <v>3</v>
      </c>
      <c r="N129" s="11">
        <v>2</v>
      </c>
      <c r="O129" s="11">
        <v>3</v>
      </c>
      <c r="P129" s="11">
        <v>3</v>
      </c>
      <c r="Q129" s="11">
        <v>3</v>
      </c>
      <c r="R129" s="11">
        <v>4</v>
      </c>
      <c r="S129" s="11">
        <v>2</v>
      </c>
      <c r="T129" s="11">
        <v>3</v>
      </c>
      <c r="U129" s="10">
        <v>4</v>
      </c>
      <c r="V129" s="6">
        <f t="shared" si="6"/>
        <v>17.523936573707765</v>
      </c>
      <c r="W129" s="6">
        <f t="shared" si="7"/>
        <v>10.395900022150547</v>
      </c>
      <c r="X129" s="6">
        <f t="shared" si="8"/>
        <v>23.566315125659838</v>
      </c>
      <c r="Y129" s="6">
        <f t="shared" si="9"/>
        <v>18.263570612276133</v>
      </c>
      <c r="Z129" s="6">
        <f t="shared" si="10"/>
        <v>10.395900022150547</v>
      </c>
      <c r="AA129" s="6">
        <f t="shared" si="11"/>
        <v>2</v>
      </c>
    </row>
    <row r="130" spans="1:27">
      <c r="A130" s="11">
        <v>129</v>
      </c>
      <c r="B130" s="12">
        <v>2</v>
      </c>
      <c r="C130" s="11">
        <v>3</v>
      </c>
      <c r="D130" s="11">
        <v>4</v>
      </c>
      <c r="E130" s="11">
        <v>2</v>
      </c>
      <c r="F130" s="11">
        <v>3</v>
      </c>
      <c r="G130" s="11">
        <v>2</v>
      </c>
      <c r="H130" s="11">
        <v>4</v>
      </c>
      <c r="I130" s="11">
        <v>3</v>
      </c>
      <c r="J130" s="11">
        <v>3</v>
      </c>
      <c r="K130" s="11">
        <v>4</v>
      </c>
      <c r="L130" s="11">
        <v>2</v>
      </c>
      <c r="M130" s="11">
        <v>3</v>
      </c>
      <c r="N130" s="11">
        <v>4</v>
      </c>
      <c r="O130" s="11">
        <v>4</v>
      </c>
      <c r="P130" s="11">
        <v>2</v>
      </c>
      <c r="Q130" s="11">
        <v>4</v>
      </c>
      <c r="R130" s="11">
        <v>2</v>
      </c>
      <c r="S130" s="11">
        <v>3</v>
      </c>
      <c r="T130" s="11">
        <v>2</v>
      </c>
      <c r="U130" s="10">
        <v>4</v>
      </c>
      <c r="V130" s="6">
        <f t="shared" ref="V130:V193" si="12">SUMXMY2($B130:$U130,AE$2:AE$21)</f>
        <v>24.190576442480079</v>
      </c>
      <c r="W130" s="6">
        <f t="shared" ref="W130:W193" si="13">SUMXMY2($B130:$U130,AF$2:AF$21)</f>
        <v>15.446538083193303</v>
      </c>
      <c r="X130" s="6">
        <f t="shared" ref="X130:X193" si="14">SUMXMY2($B130:$U130,AG$2:AG$21)</f>
        <v>32.720046333382257</v>
      </c>
      <c r="Y130" s="6">
        <f t="shared" ref="Y130:Y193" si="15">SUMXMY2($B130:$U130,AH$2:AH$21)</f>
        <v>22.7125443437459</v>
      </c>
      <c r="Z130" s="6">
        <f t="shared" ref="Z130:Z193" si="16">MIN(V130:Y130)</f>
        <v>15.446538083193303</v>
      </c>
      <c r="AA130" s="6">
        <f t="shared" si="11"/>
        <v>2</v>
      </c>
    </row>
    <row r="131" spans="1:27">
      <c r="A131" s="11">
        <v>130</v>
      </c>
      <c r="B131" s="12">
        <v>2</v>
      </c>
      <c r="C131" s="11">
        <v>2</v>
      </c>
      <c r="D131" s="11">
        <v>2</v>
      </c>
      <c r="E131" s="11">
        <v>2</v>
      </c>
      <c r="F131" s="11">
        <v>3</v>
      </c>
      <c r="G131" s="11">
        <v>2</v>
      </c>
      <c r="H131" s="11">
        <v>3</v>
      </c>
      <c r="I131" s="11">
        <v>2</v>
      </c>
      <c r="J131" s="11">
        <v>2</v>
      </c>
      <c r="K131" s="11">
        <v>3</v>
      </c>
      <c r="L131" s="11">
        <v>2</v>
      </c>
      <c r="M131" s="11">
        <v>2</v>
      </c>
      <c r="N131" s="11">
        <v>3</v>
      </c>
      <c r="O131" s="11">
        <v>4</v>
      </c>
      <c r="P131" s="11">
        <v>3</v>
      </c>
      <c r="Q131" s="11">
        <v>2</v>
      </c>
      <c r="R131" s="11">
        <v>2</v>
      </c>
      <c r="S131" s="11">
        <v>2</v>
      </c>
      <c r="T131" s="11">
        <v>2</v>
      </c>
      <c r="U131" s="10">
        <v>4</v>
      </c>
      <c r="V131" s="6">
        <f t="shared" si="12"/>
        <v>9.7738774383633622</v>
      </c>
      <c r="W131" s="6">
        <f t="shared" si="13"/>
        <v>15.636369517085527</v>
      </c>
      <c r="X131" s="6">
        <f t="shared" si="14"/>
        <v>10.423387236528033</v>
      </c>
      <c r="Y131" s="6">
        <f t="shared" si="15"/>
        <v>5.6308703714889736</v>
      </c>
      <c r="Z131" s="6">
        <f t="shared" si="16"/>
        <v>5.6308703714889736</v>
      </c>
      <c r="AA131" s="6">
        <f t="shared" ref="AA131:AA194" si="17">IF(Z131=V131,1,IF(Z131=W131,2,IF(Z131=X131,3,4)))</f>
        <v>4</v>
      </c>
    </row>
    <row r="132" spans="1:27">
      <c r="A132" s="11">
        <v>131</v>
      </c>
      <c r="B132" s="12">
        <v>3</v>
      </c>
      <c r="C132" s="11">
        <v>4</v>
      </c>
      <c r="D132" s="11">
        <v>2</v>
      </c>
      <c r="E132" s="11">
        <v>2</v>
      </c>
      <c r="F132" s="11">
        <v>5</v>
      </c>
      <c r="G132" s="11">
        <v>5</v>
      </c>
      <c r="H132" s="11">
        <v>5</v>
      </c>
      <c r="I132" s="11">
        <v>5</v>
      </c>
      <c r="J132" s="11">
        <v>4</v>
      </c>
      <c r="K132" s="11">
        <v>4</v>
      </c>
      <c r="L132" s="11">
        <v>1</v>
      </c>
      <c r="M132" s="11">
        <v>1</v>
      </c>
      <c r="N132" s="11">
        <v>3</v>
      </c>
      <c r="O132" s="11">
        <v>4</v>
      </c>
      <c r="P132" s="11">
        <v>4</v>
      </c>
      <c r="Q132" s="11">
        <v>3</v>
      </c>
      <c r="R132" s="11">
        <v>4</v>
      </c>
      <c r="S132" s="11">
        <v>4</v>
      </c>
      <c r="T132" s="11">
        <v>3</v>
      </c>
      <c r="U132" s="10">
        <v>5</v>
      </c>
      <c r="V132" s="6">
        <f t="shared" si="12"/>
        <v>37.829534435148759</v>
      </c>
      <c r="W132" s="6">
        <f t="shared" si="13"/>
        <v>30.522578740878455</v>
      </c>
      <c r="X132" s="6">
        <f t="shared" si="14"/>
        <v>52.511442495629659</v>
      </c>
      <c r="Y132" s="6">
        <f t="shared" si="15"/>
        <v>49.22279641236063</v>
      </c>
      <c r="Z132" s="6">
        <f t="shared" si="16"/>
        <v>30.522578740878455</v>
      </c>
      <c r="AA132" s="6">
        <f t="shared" si="17"/>
        <v>2</v>
      </c>
    </row>
    <row r="133" spans="1:27">
      <c r="A133" s="11">
        <v>132</v>
      </c>
      <c r="B133" s="12">
        <v>2</v>
      </c>
      <c r="C133" s="11">
        <v>2</v>
      </c>
      <c r="D133" s="11">
        <v>2</v>
      </c>
      <c r="E133" s="11">
        <v>2</v>
      </c>
      <c r="F133" s="11">
        <v>3</v>
      </c>
      <c r="G133" s="11">
        <v>5</v>
      </c>
      <c r="H133" s="11">
        <v>4</v>
      </c>
      <c r="I133" s="11">
        <v>2</v>
      </c>
      <c r="J133" s="11">
        <v>1</v>
      </c>
      <c r="K133" s="11">
        <v>4</v>
      </c>
      <c r="L133" s="11">
        <v>2</v>
      </c>
      <c r="M133" s="11">
        <v>2</v>
      </c>
      <c r="N133" s="11">
        <v>2</v>
      </c>
      <c r="O133" s="11">
        <v>4</v>
      </c>
      <c r="P133" s="11">
        <v>4</v>
      </c>
      <c r="Q133" s="11">
        <v>2</v>
      </c>
      <c r="R133" s="11">
        <v>3</v>
      </c>
      <c r="S133" s="11">
        <v>5</v>
      </c>
      <c r="T133" s="11">
        <v>3</v>
      </c>
      <c r="U133" s="10">
        <v>2</v>
      </c>
      <c r="V133" s="6">
        <f t="shared" si="12"/>
        <v>17.635012056514324</v>
      </c>
      <c r="W133" s="6">
        <f t="shared" si="13"/>
        <v>23.446506551237455</v>
      </c>
      <c r="X133" s="6">
        <f t="shared" si="14"/>
        <v>19.18160635027348</v>
      </c>
      <c r="Y133" s="6">
        <f t="shared" si="15"/>
        <v>21.79415488388922</v>
      </c>
      <c r="Z133" s="6">
        <f t="shared" si="16"/>
        <v>17.635012056514324</v>
      </c>
      <c r="AA133" s="6">
        <f t="shared" si="17"/>
        <v>1</v>
      </c>
    </row>
    <row r="134" spans="1:27">
      <c r="A134" s="11">
        <v>133</v>
      </c>
      <c r="B134" s="12">
        <v>2</v>
      </c>
      <c r="C134" s="11">
        <v>1</v>
      </c>
      <c r="D134" s="11">
        <v>1</v>
      </c>
      <c r="E134" s="11">
        <v>3</v>
      </c>
      <c r="F134" s="11">
        <v>3</v>
      </c>
      <c r="G134" s="11">
        <v>4</v>
      </c>
      <c r="H134" s="11">
        <v>3</v>
      </c>
      <c r="I134" s="11">
        <v>2</v>
      </c>
      <c r="J134" s="11">
        <v>4</v>
      </c>
      <c r="K134" s="11">
        <v>3</v>
      </c>
      <c r="L134" s="11">
        <v>1</v>
      </c>
      <c r="M134" s="11">
        <v>1</v>
      </c>
      <c r="N134" s="11">
        <v>4</v>
      </c>
      <c r="O134" s="11">
        <v>2</v>
      </c>
      <c r="P134" s="11">
        <v>3</v>
      </c>
      <c r="Q134" s="11">
        <v>2</v>
      </c>
      <c r="R134" s="11">
        <v>3</v>
      </c>
      <c r="S134" s="11">
        <v>2</v>
      </c>
      <c r="T134" s="11">
        <v>3</v>
      </c>
      <c r="U134" s="10">
        <v>4</v>
      </c>
      <c r="V134" s="6">
        <f t="shared" si="12"/>
        <v>21.496092856574961</v>
      </c>
      <c r="W134" s="6">
        <f t="shared" si="13"/>
        <v>24.876913869228371</v>
      </c>
      <c r="X134" s="6">
        <f t="shared" si="14"/>
        <v>21.522348035016595</v>
      </c>
      <c r="Y134" s="6">
        <f t="shared" si="15"/>
        <v>18.222746272099176</v>
      </c>
      <c r="Z134" s="6">
        <f t="shared" si="16"/>
        <v>18.222746272099176</v>
      </c>
      <c r="AA134" s="6">
        <f t="shared" si="17"/>
        <v>4</v>
      </c>
    </row>
    <row r="135" spans="1:27">
      <c r="A135" s="11">
        <v>134</v>
      </c>
      <c r="B135" s="12">
        <v>5</v>
      </c>
      <c r="C135" s="11">
        <v>2</v>
      </c>
      <c r="D135" s="11">
        <v>1</v>
      </c>
      <c r="E135" s="11">
        <v>3</v>
      </c>
      <c r="F135" s="11">
        <v>4</v>
      </c>
      <c r="G135" s="11">
        <v>3</v>
      </c>
      <c r="H135" s="11">
        <v>3</v>
      </c>
      <c r="I135" s="11">
        <v>2</v>
      </c>
      <c r="J135" s="11">
        <v>2</v>
      </c>
      <c r="K135" s="11">
        <v>2</v>
      </c>
      <c r="L135" s="11">
        <v>1</v>
      </c>
      <c r="M135" s="11">
        <v>2</v>
      </c>
      <c r="N135" s="11">
        <v>2</v>
      </c>
      <c r="O135" s="11">
        <v>4</v>
      </c>
      <c r="P135" s="11">
        <v>4</v>
      </c>
      <c r="Q135" s="11">
        <v>2</v>
      </c>
      <c r="R135" s="11">
        <v>4</v>
      </c>
      <c r="S135" s="11">
        <v>2</v>
      </c>
      <c r="T135" s="11">
        <v>4</v>
      </c>
      <c r="U135" s="10">
        <v>2</v>
      </c>
      <c r="V135" s="6">
        <f t="shared" si="12"/>
        <v>19.135024450674333</v>
      </c>
      <c r="W135" s="6">
        <f t="shared" si="13"/>
        <v>26.155365840326205</v>
      </c>
      <c r="X135" s="6">
        <f t="shared" si="14"/>
        <v>11.115722009163548</v>
      </c>
      <c r="Y135" s="6">
        <f t="shared" si="15"/>
        <v>22.263575409611605</v>
      </c>
      <c r="Z135" s="6">
        <f t="shared" si="16"/>
        <v>11.115722009163548</v>
      </c>
      <c r="AA135" s="6">
        <f t="shared" si="17"/>
        <v>3</v>
      </c>
    </row>
    <row r="136" spans="1:27">
      <c r="A136" s="11">
        <v>135</v>
      </c>
      <c r="B136" s="12">
        <v>5</v>
      </c>
      <c r="C136" s="11">
        <v>1</v>
      </c>
      <c r="D136" s="11">
        <v>1</v>
      </c>
      <c r="E136" s="11">
        <v>3</v>
      </c>
      <c r="F136" s="11">
        <v>3</v>
      </c>
      <c r="G136" s="11">
        <v>3</v>
      </c>
      <c r="H136" s="11">
        <v>3</v>
      </c>
      <c r="I136" s="11">
        <v>2</v>
      </c>
      <c r="J136" s="11">
        <v>1</v>
      </c>
      <c r="K136" s="11">
        <v>3</v>
      </c>
      <c r="L136" s="11">
        <v>3</v>
      </c>
      <c r="M136" s="11">
        <v>3</v>
      </c>
      <c r="N136" s="11">
        <v>4</v>
      </c>
      <c r="O136" s="11">
        <v>4</v>
      </c>
      <c r="P136" s="11">
        <v>3</v>
      </c>
      <c r="Q136" s="11">
        <v>5</v>
      </c>
      <c r="R136" s="11">
        <v>5</v>
      </c>
      <c r="S136" s="11">
        <v>2</v>
      </c>
      <c r="T136" s="11">
        <v>2</v>
      </c>
      <c r="U136" s="10">
        <v>3</v>
      </c>
      <c r="V136" s="6">
        <f t="shared" si="12"/>
        <v>30.107291315127899</v>
      </c>
      <c r="W136" s="6">
        <f t="shared" si="13"/>
        <v>33.3578950633418</v>
      </c>
      <c r="X136" s="6">
        <f t="shared" si="14"/>
        <v>26.247603895129924</v>
      </c>
      <c r="Y136" s="6">
        <f t="shared" si="15"/>
        <v>34.855411054374812</v>
      </c>
      <c r="Z136" s="6">
        <f t="shared" si="16"/>
        <v>26.247603895129924</v>
      </c>
      <c r="AA136" s="6">
        <f t="shared" si="17"/>
        <v>3</v>
      </c>
    </row>
    <row r="137" spans="1:27">
      <c r="A137" s="11">
        <v>136</v>
      </c>
      <c r="B137" s="12">
        <v>2</v>
      </c>
      <c r="C137" s="11">
        <v>2</v>
      </c>
      <c r="D137" s="11">
        <v>3</v>
      </c>
      <c r="E137" s="11">
        <v>4</v>
      </c>
      <c r="F137" s="11">
        <v>3</v>
      </c>
      <c r="G137" s="11">
        <v>2</v>
      </c>
      <c r="H137" s="11">
        <v>4</v>
      </c>
      <c r="I137" s="11">
        <v>3</v>
      </c>
      <c r="J137" s="11">
        <v>2</v>
      </c>
      <c r="K137" s="11">
        <v>1</v>
      </c>
      <c r="L137" s="11">
        <v>2</v>
      </c>
      <c r="M137" s="11">
        <v>5</v>
      </c>
      <c r="N137" s="11">
        <v>3</v>
      </c>
      <c r="O137" s="11">
        <v>4</v>
      </c>
      <c r="P137" s="11">
        <v>2</v>
      </c>
      <c r="Q137" s="11">
        <v>1</v>
      </c>
      <c r="R137" s="11">
        <v>3</v>
      </c>
      <c r="S137" s="11">
        <v>4</v>
      </c>
      <c r="T137" s="11">
        <v>5</v>
      </c>
      <c r="U137" s="10">
        <v>5</v>
      </c>
      <c r="V137" s="6">
        <f t="shared" si="12"/>
        <v>40.607192073025857</v>
      </c>
      <c r="W137" s="6">
        <f t="shared" si="13"/>
        <v>26.028832848663576</v>
      </c>
      <c r="X137" s="6">
        <f t="shared" si="14"/>
        <v>46.280581985572212</v>
      </c>
      <c r="Y137" s="6">
        <f t="shared" si="15"/>
        <v>28.32483620123779</v>
      </c>
      <c r="Z137" s="6">
        <f t="shared" si="16"/>
        <v>26.028832848663576</v>
      </c>
      <c r="AA137" s="6">
        <f t="shared" si="17"/>
        <v>2</v>
      </c>
    </row>
    <row r="138" spans="1:27">
      <c r="A138" s="11">
        <v>137</v>
      </c>
      <c r="B138" s="12">
        <v>5</v>
      </c>
      <c r="C138" s="11">
        <v>3</v>
      </c>
      <c r="D138" s="11">
        <v>1</v>
      </c>
      <c r="E138" s="11">
        <v>3</v>
      </c>
      <c r="F138" s="11">
        <v>2</v>
      </c>
      <c r="G138" s="11">
        <v>3</v>
      </c>
      <c r="H138" s="11">
        <v>3</v>
      </c>
      <c r="I138" s="11">
        <v>2</v>
      </c>
      <c r="J138" s="11">
        <v>4</v>
      </c>
      <c r="K138" s="11">
        <v>4</v>
      </c>
      <c r="L138" s="11">
        <v>1</v>
      </c>
      <c r="M138" s="11">
        <v>3</v>
      </c>
      <c r="N138" s="11">
        <v>2</v>
      </c>
      <c r="O138" s="11">
        <v>4</v>
      </c>
      <c r="P138" s="11">
        <v>4</v>
      </c>
      <c r="Q138" s="11">
        <v>4</v>
      </c>
      <c r="R138" s="11">
        <v>3</v>
      </c>
      <c r="S138" s="11">
        <v>1</v>
      </c>
      <c r="T138" s="11">
        <v>3</v>
      </c>
      <c r="U138" s="10">
        <v>1</v>
      </c>
      <c r="V138" s="6">
        <f t="shared" si="12"/>
        <v>29.468368389667116</v>
      </c>
      <c r="W138" s="6">
        <f t="shared" si="13"/>
        <v>35.649041324716748</v>
      </c>
      <c r="X138" s="6">
        <f t="shared" si="14"/>
        <v>18.56625665999049</v>
      </c>
      <c r="Y138" s="6">
        <f t="shared" si="15"/>
        <v>35.243163158676779</v>
      </c>
      <c r="Z138" s="6">
        <f t="shared" si="16"/>
        <v>18.56625665999049</v>
      </c>
      <c r="AA138" s="6">
        <f t="shared" si="17"/>
        <v>3</v>
      </c>
    </row>
    <row r="139" spans="1:27">
      <c r="A139" s="11">
        <v>138</v>
      </c>
      <c r="B139" s="12">
        <v>2</v>
      </c>
      <c r="C139" s="11">
        <v>1</v>
      </c>
      <c r="D139" s="11">
        <v>1</v>
      </c>
      <c r="E139" s="11">
        <v>5</v>
      </c>
      <c r="F139" s="11">
        <v>3</v>
      </c>
      <c r="G139" s="11">
        <v>2</v>
      </c>
      <c r="H139" s="11">
        <v>3</v>
      </c>
      <c r="I139" s="11">
        <v>5</v>
      </c>
      <c r="J139" s="11">
        <v>3</v>
      </c>
      <c r="K139" s="11">
        <v>2</v>
      </c>
      <c r="L139" s="11">
        <v>2</v>
      </c>
      <c r="M139" s="11">
        <v>1</v>
      </c>
      <c r="N139" s="11">
        <v>5</v>
      </c>
      <c r="O139" s="11">
        <v>4</v>
      </c>
      <c r="P139" s="11">
        <v>4</v>
      </c>
      <c r="Q139" s="11">
        <v>5</v>
      </c>
      <c r="R139" s="11">
        <v>1</v>
      </c>
      <c r="S139" s="11">
        <v>4</v>
      </c>
      <c r="T139" s="11">
        <v>5</v>
      </c>
      <c r="U139" s="10">
        <v>3</v>
      </c>
      <c r="V139" s="6">
        <f t="shared" si="12"/>
        <v>37.051693432722359</v>
      </c>
      <c r="W139" s="6">
        <f t="shared" si="13"/>
        <v>41.712359845155504</v>
      </c>
      <c r="X139" s="6">
        <f t="shared" si="14"/>
        <v>49.280639602924737</v>
      </c>
      <c r="Y139" s="6">
        <f t="shared" si="15"/>
        <v>51.141181192741776</v>
      </c>
      <c r="Z139" s="6">
        <f t="shared" si="16"/>
        <v>37.051693432722359</v>
      </c>
      <c r="AA139" s="6">
        <f t="shared" si="17"/>
        <v>1</v>
      </c>
    </row>
    <row r="140" spans="1:27">
      <c r="A140" s="11">
        <v>139</v>
      </c>
      <c r="B140" s="12">
        <v>3</v>
      </c>
      <c r="C140" s="11">
        <v>2</v>
      </c>
      <c r="D140" s="11">
        <v>1</v>
      </c>
      <c r="E140" s="11">
        <v>2</v>
      </c>
      <c r="F140" s="11">
        <v>2</v>
      </c>
      <c r="G140" s="11">
        <v>1</v>
      </c>
      <c r="H140" s="11">
        <v>3</v>
      </c>
      <c r="I140" s="11">
        <v>2</v>
      </c>
      <c r="J140" s="11">
        <v>2</v>
      </c>
      <c r="K140" s="11">
        <v>2</v>
      </c>
      <c r="L140" s="11">
        <v>3</v>
      </c>
      <c r="M140" s="11">
        <v>3</v>
      </c>
      <c r="N140" s="11">
        <v>3</v>
      </c>
      <c r="O140" s="11">
        <v>4</v>
      </c>
      <c r="P140" s="11">
        <v>4</v>
      </c>
      <c r="Q140" s="11">
        <v>1</v>
      </c>
      <c r="R140" s="11">
        <v>2</v>
      </c>
      <c r="S140" s="11">
        <v>1</v>
      </c>
      <c r="T140" s="11">
        <v>3</v>
      </c>
      <c r="U140" s="10">
        <v>3</v>
      </c>
      <c r="V140" s="6">
        <f t="shared" si="12"/>
        <v>25.523871856054644</v>
      </c>
      <c r="W140" s="6">
        <f t="shared" si="13"/>
        <v>28.851540605851632</v>
      </c>
      <c r="X140" s="6">
        <f t="shared" si="14"/>
        <v>11.764077847575653</v>
      </c>
      <c r="Y140" s="6">
        <f t="shared" si="15"/>
        <v>14.896178461930726</v>
      </c>
      <c r="Z140" s="6">
        <f t="shared" si="16"/>
        <v>11.764077847575653</v>
      </c>
      <c r="AA140" s="6">
        <f t="shared" si="17"/>
        <v>3</v>
      </c>
    </row>
    <row r="141" spans="1:27">
      <c r="A141" s="11">
        <v>140</v>
      </c>
      <c r="B141" s="12">
        <v>5</v>
      </c>
      <c r="C141" s="11">
        <v>1</v>
      </c>
      <c r="D141" s="11">
        <v>1</v>
      </c>
      <c r="E141" s="11">
        <v>1</v>
      </c>
      <c r="F141" s="11">
        <v>1</v>
      </c>
      <c r="G141" s="11">
        <v>5</v>
      </c>
      <c r="H141" s="11">
        <v>5</v>
      </c>
      <c r="I141" s="11">
        <v>1</v>
      </c>
      <c r="J141" s="11">
        <v>1</v>
      </c>
      <c r="K141" s="11">
        <v>5</v>
      </c>
      <c r="L141" s="11">
        <v>3</v>
      </c>
      <c r="M141" s="11">
        <v>5</v>
      </c>
      <c r="N141" s="11">
        <v>5</v>
      </c>
      <c r="O141" s="11">
        <v>5</v>
      </c>
      <c r="P141" s="11">
        <v>4</v>
      </c>
      <c r="Q141" s="11">
        <v>3</v>
      </c>
      <c r="R141" s="11">
        <v>5</v>
      </c>
      <c r="S141" s="11">
        <v>1</v>
      </c>
      <c r="T141" s="11">
        <v>5</v>
      </c>
      <c r="U141" s="10">
        <v>5</v>
      </c>
      <c r="V141" s="6">
        <f t="shared" si="12"/>
        <v>74.385042690249264</v>
      </c>
      <c r="W141" s="6">
        <f t="shared" si="13"/>
        <v>69.206102871024115</v>
      </c>
      <c r="X141" s="6">
        <f t="shared" si="14"/>
        <v>60.467482799594173</v>
      </c>
      <c r="Y141" s="6">
        <f t="shared" si="15"/>
        <v>70.181914631185293</v>
      </c>
      <c r="Z141" s="6">
        <f t="shared" si="16"/>
        <v>60.467482799594173</v>
      </c>
      <c r="AA141" s="6">
        <f t="shared" si="17"/>
        <v>3</v>
      </c>
    </row>
    <row r="142" spans="1:27">
      <c r="A142" s="11">
        <v>141</v>
      </c>
      <c r="B142" s="12">
        <v>4</v>
      </c>
      <c r="C142" s="11">
        <v>2</v>
      </c>
      <c r="D142" s="11">
        <v>3</v>
      </c>
      <c r="E142" s="11">
        <v>1</v>
      </c>
      <c r="F142" s="11">
        <v>4</v>
      </c>
      <c r="G142" s="11">
        <v>2</v>
      </c>
      <c r="H142" s="11">
        <v>3</v>
      </c>
      <c r="I142" s="11">
        <v>2</v>
      </c>
      <c r="J142" s="11">
        <v>2</v>
      </c>
      <c r="K142" s="11">
        <v>1</v>
      </c>
      <c r="L142" s="11">
        <v>1</v>
      </c>
      <c r="M142" s="11">
        <v>4</v>
      </c>
      <c r="N142" s="11">
        <v>2</v>
      </c>
      <c r="O142" s="11">
        <v>1</v>
      </c>
      <c r="P142" s="11">
        <v>2</v>
      </c>
      <c r="Q142" s="11">
        <v>3</v>
      </c>
      <c r="R142" s="11">
        <v>3</v>
      </c>
      <c r="S142" s="11">
        <v>4</v>
      </c>
      <c r="T142" s="11">
        <v>3</v>
      </c>
      <c r="U142" s="10">
        <v>5</v>
      </c>
      <c r="V142" s="6">
        <f t="shared" si="12"/>
        <v>42.579375845647213</v>
      </c>
      <c r="W142" s="6">
        <f t="shared" si="13"/>
        <v>29.598386736712555</v>
      </c>
      <c r="X142" s="6">
        <f t="shared" si="14"/>
        <v>43.555220351255386</v>
      </c>
      <c r="Y142" s="6">
        <f t="shared" si="15"/>
        <v>20.692137655661845</v>
      </c>
      <c r="Z142" s="6">
        <f t="shared" si="16"/>
        <v>20.692137655661845</v>
      </c>
      <c r="AA142" s="6">
        <f t="shared" si="17"/>
        <v>4</v>
      </c>
    </row>
    <row r="143" spans="1:27">
      <c r="A143" s="11">
        <v>142</v>
      </c>
      <c r="B143" s="12">
        <v>3</v>
      </c>
      <c r="C143" s="11">
        <v>3</v>
      </c>
      <c r="D143" s="11">
        <v>2</v>
      </c>
      <c r="E143" s="11">
        <v>3</v>
      </c>
      <c r="F143" s="11">
        <v>4</v>
      </c>
      <c r="G143" s="11">
        <v>3</v>
      </c>
      <c r="H143" s="11">
        <v>3</v>
      </c>
      <c r="I143" s="11">
        <v>2</v>
      </c>
      <c r="J143" s="11">
        <v>2</v>
      </c>
      <c r="K143" s="11">
        <v>2</v>
      </c>
      <c r="L143" s="11">
        <v>2</v>
      </c>
      <c r="M143" s="11">
        <v>4</v>
      </c>
      <c r="N143" s="11">
        <v>2</v>
      </c>
      <c r="O143" s="11">
        <v>2</v>
      </c>
      <c r="P143" s="11">
        <v>2</v>
      </c>
      <c r="Q143" s="11">
        <v>2</v>
      </c>
      <c r="R143" s="11">
        <v>5</v>
      </c>
      <c r="S143" s="11">
        <v>2</v>
      </c>
      <c r="T143" s="11">
        <v>1</v>
      </c>
      <c r="U143" s="10">
        <v>4</v>
      </c>
      <c r="V143" s="6">
        <f t="shared" si="12"/>
        <v>30.690568885391233</v>
      </c>
      <c r="W143" s="6">
        <f t="shared" si="13"/>
        <v>23.484459546518504</v>
      </c>
      <c r="X143" s="6">
        <f t="shared" si="14"/>
        <v>29.917897257058069</v>
      </c>
      <c r="Y143" s="6">
        <f t="shared" si="15"/>
        <v>19.998253864902264</v>
      </c>
      <c r="Z143" s="6">
        <f t="shared" si="16"/>
        <v>19.998253864902264</v>
      </c>
      <c r="AA143" s="6">
        <f t="shared" si="17"/>
        <v>4</v>
      </c>
    </row>
    <row r="144" spans="1:27">
      <c r="A144" s="11">
        <v>143</v>
      </c>
      <c r="B144" s="12">
        <v>4</v>
      </c>
      <c r="C144" s="11">
        <v>3</v>
      </c>
      <c r="D144" s="11">
        <v>3</v>
      </c>
      <c r="E144" s="11">
        <v>2</v>
      </c>
      <c r="F144" s="11">
        <v>2</v>
      </c>
      <c r="G144" s="11">
        <v>3</v>
      </c>
      <c r="H144" s="11">
        <v>2</v>
      </c>
      <c r="I144" s="11">
        <v>2</v>
      </c>
      <c r="J144" s="11">
        <v>3</v>
      </c>
      <c r="K144" s="11">
        <v>2</v>
      </c>
      <c r="L144" s="11">
        <v>2</v>
      </c>
      <c r="M144" s="11">
        <v>3</v>
      </c>
      <c r="N144" s="11">
        <v>3</v>
      </c>
      <c r="O144" s="11">
        <v>3</v>
      </c>
      <c r="P144" s="11">
        <v>3</v>
      </c>
      <c r="Q144" s="11">
        <v>2</v>
      </c>
      <c r="R144" s="11">
        <v>2</v>
      </c>
      <c r="S144" s="11">
        <v>2</v>
      </c>
      <c r="T144" s="11">
        <v>3</v>
      </c>
      <c r="U144" s="10">
        <v>4</v>
      </c>
      <c r="V144" s="6">
        <f t="shared" si="12"/>
        <v>20.190540123505279</v>
      </c>
      <c r="W144" s="6">
        <f t="shared" si="13"/>
        <v>13.484500221638866</v>
      </c>
      <c r="X144" s="6">
        <f t="shared" si="14"/>
        <v>14.950845683411652</v>
      </c>
      <c r="Y144" s="6">
        <f t="shared" si="15"/>
        <v>7.9574401229621481</v>
      </c>
      <c r="Z144" s="6">
        <f t="shared" si="16"/>
        <v>7.9574401229621481</v>
      </c>
      <c r="AA144" s="6">
        <f t="shared" si="17"/>
        <v>4</v>
      </c>
    </row>
    <row r="145" spans="1:27">
      <c r="A145" s="11">
        <v>144</v>
      </c>
      <c r="B145" s="12">
        <v>4</v>
      </c>
      <c r="C145" s="11">
        <v>2</v>
      </c>
      <c r="D145" s="11">
        <v>2</v>
      </c>
      <c r="E145" s="11">
        <v>2</v>
      </c>
      <c r="F145" s="11">
        <v>2</v>
      </c>
      <c r="G145" s="11">
        <v>3</v>
      </c>
      <c r="H145" s="11">
        <v>3</v>
      </c>
      <c r="I145" s="11">
        <v>1</v>
      </c>
      <c r="J145" s="11">
        <v>2</v>
      </c>
      <c r="K145" s="11">
        <v>4</v>
      </c>
      <c r="L145" s="11">
        <v>4</v>
      </c>
      <c r="M145" s="11">
        <v>3</v>
      </c>
      <c r="N145" s="11">
        <v>2</v>
      </c>
      <c r="O145" s="11">
        <v>4</v>
      </c>
      <c r="P145" s="11">
        <v>5</v>
      </c>
      <c r="Q145" s="11">
        <v>2</v>
      </c>
      <c r="R145" s="11">
        <v>2</v>
      </c>
      <c r="S145" s="11">
        <v>2</v>
      </c>
      <c r="T145" s="11">
        <v>3</v>
      </c>
      <c r="U145" s="10">
        <v>4</v>
      </c>
      <c r="V145" s="6">
        <f t="shared" si="12"/>
        <v>21.357265487084533</v>
      </c>
      <c r="W145" s="6">
        <f t="shared" si="13"/>
        <v>22.383265563093623</v>
      </c>
      <c r="X145" s="6">
        <f t="shared" si="14"/>
        <v>14.654198916796293</v>
      </c>
      <c r="Y145" s="6">
        <f t="shared" si="15"/>
        <v>18.120667227512918</v>
      </c>
      <c r="Z145" s="6">
        <f t="shared" si="16"/>
        <v>14.654198916796293</v>
      </c>
      <c r="AA145" s="6">
        <f t="shared" si="17"/>
        <v>3</v>
      </c>
    </row>
    <row r="146" spans="1:27">
      <c r="A146" s="11">
        <v>145</v>
      </c>
      <c r="B146" s="12">
        <v>1</v>
      </c>
      <c r="C146" s="11">
        <v>1</v>
      </c>
      <c r="D146" s="11">
        <v>1</v>
      </c>
      <c r="E146" s="11">
        <v>1</v>
      </c>
      <c r="F146" s="11">
        <v>1</v>
      </c>
      <c r="G146" s="11">
        <v>5</v>
      </c>
      <c r="H146" s="11">
        <v>5</v>
      </c>
      <c r="I146" s="11">
        <v>1</v>
      </c>
      <c r="J146" s="11">
        <v>1</v>
      </c>
      <c r="K146" s="11">
        <v>1</v>
      </c>
      <c r="L146" s="11">
        <v>1</v>
      </c>
      <c r="M146" s="11">
        <v>1</v>
      </c>
      <c r="N146" s="11">
        <v>1</v>
      </c>
      <c r="O146" s="11">
        <v>1</v>
      </c>
      <c r="P146" s="11">
        <v>1</v>
      </c>
      <c r="Q146" s="11">
        <v>1</v>
      </c>
      <c r="R146" s="11">
        <v>5</v>
      </c>
      <c r="S146" s="11">
        <v>5</v>
      </c>
      <c r="T146" s="11">
        <v>5</v>
      </c>
      <c r="U146" s="10">
        <v>5</v>
      </c>
      <c r="V146" s="6">
        <f t="shared" si="12"/>
        <v>78.440432409770665</v>
      </c>
      <c r="W146" s="6">
        <f t="shared" si="13"/>
        <v>75.902150188892321</v>
      </c>
      <c r="X146" s="6">
        <f t="shared" si="14"/>
        <v>78.214619672998737</v>
      </c>
      <c r="Y146" s="6">
        <f t="shared" si="15"/>
        <v>54.263537509035949</v>
      </c>
      <c r="Z146" s="6">
        <f t="shared" si="16"/>
        <v>54.263537509035949</v>
      </c>
      <c r="AA146" s="6">
        <f t="shared" si="17"/>
        <v>4</v>
      </c>
    </row>
    <row r="147" spans="1:27">
      <c r="A147" s="11">
        <v>146</v>
      </c>
      <c r="B147" s="12">
        <v>3</v>
      </c>
      <c r="C147" s="11">
        <v>3</v>
      </c>
      <c r="D147" s="11">
        <v>3</v>
      </c>
      <c r="E147" s="11">
        <v>2</v>
      </c>
      <c r="F147" s="11">
        <v>2</v>
      </c>
      <c r="G147" s="11">
        <v>3</v>
      </c>
      <c r="H147" s="11">
        <v>2</v>
      </c>
      <c r="I147" s="11">
        <v>1</v>
      </c>
      <c r="J147" s="11">
        <v>2</v>
      </c>
      <c r="K147" s="11">
        <v>4</v>
      </c>
      <c r="L147" s="11">
        <v>1</v>
      </c>
      <c r="M147" s="11">
        <v>3</v>
      </c>
      <c r="N147" s="11">
        <v>2</v>
      </c>
      <c r="O147" s="11">
        <v>4</v>
      </c>
      <c r="P147" s="11">
        <v>3</v>
      </c>
      <c r="Q147" s="11">
        <v>2</v>
      </c>
      <c r="R147" s="11">
        <v>1</v>
      </c>
      <c r="S147" s="11">
        <v>5</v>
      </c>
      <c r="T147" s="11">
        <v>3</v>
      </c>
      <c r="U147" s="10">
        <v>3</v>
      </c>
      <c r="V147" s="6">
        <f t="shared" si="12"/>
        <v>21.551611735791543</v>
      </c>
      <c r="W147" s="6">
        <f t="shared" si="13"/>
        <v>23.649053578274891</v>
      </c>
      <c r="X147" s="6">
        <f t="shared" si="14"/>
        <v>22.895842529109263</v>
      </c>
      <c r="Y147" s="6">
        <f t="shared" si="15"/>
        <v>15.630887623747713</v>
      </c>
      <c r="Z147" s="6">
        <f t="shared" si="16"/>
        <v>15.630887623747713</v>
      </c>
      <c r="AA147" s="6">
        <f t="shared" si="17"/>
        <v>4</v>
      </c>
    </row>
    <row r="148" spans="1:27">
      <c r="A148" s="11">
        <v>147</v>
      </c>
      <c r="B148" s="12">
        <v>3</v>
      </c>
      <c r="C148" s="11">
        <v>2</v>
      </c>
      <c r="D148" s="11">
        <v>2</v>
      </c>
      <c r="E148" s="11">
        <v>4</v>
      </c>
      <c r="F148" s="11">
        <v>3</v>
      </c>
      <c r="G148" s="11">
        <v>2</v>
      </c>
      <c r="H148" s="11">
        <v>3</v>
      </c>
      <c r="I148" s="11">
        <v>2</v>
      </c>
      <c r="J148" s="11">
        <v>2</v>
      </c>
      <c r="K148" s="11">
        <v>3</v>
      </c>
      <c r="L148" s="11">
        <v>2</v>
      </c>
      <c r="M148" s="11">
        <v>2</v>
      </c>
      <c r="N148" s="11">
        <v>2</v>
      </c>
      <c r="O148" s="11">
        <v>4</v>
      </c>
      <c r="P148" s="11">
        <v>4</v>
      </c>
      <c r="Q148" s="11">
        <v>2</v>
      </c>
      <c r="R148" s="11">
        <v>4</v>
      </c>
      <c r="S148" s="11">
        <v>1</v>
      </c>
      <c r="T148" s="11">
        <v>2</v>
      </c>
      <c r="U148" s="10">
        <v>2</v>
      </c>
      <c r="V148" s="6">
        <f t="shared" si="12"/>
        <v>14.218390682783442</v>
      </c>
      <c r="W148" s="6">
        <f t="shared" si="13"/>
        <v>21.965471984425818</v>
      </c>
      <c r="X148" s="6">
        <f t="shared" si="14"/>
        <v>8.8189614451183065</v>
      </c>
      <c r="Y148" s="6">
        <f t="shared" si="15"/>
        <v>17.549247627872806</v>
      </c>
      <c r="Z148" s="6">
        <f t="shared" si="16"/>
        <v>8.8189614451183065</v>
      </c>
      <c r="AA148" s="6">
        <f t="shared" si="17"/>
        <v>3</v>
      </c>
    </row>
    <row r="149" spans="1:27">
      <c r="A149" s="11">
        <v>148</v>
      </c>
      <c r="B149" s="12">
        <v>2</v>
      </c>
      <c r="C149" s="11">
        <v>2</v>
      </c>
      <c r="D149" s="11">
        <v>2</v>
      </c>
      <c r="E149" s="11">
        <v>3</v>
      </c>
      <c r="F149" s="11">
        <v>4</v>
      </c>
      <c r="G149" s="11">
        <v>4</v>
      </c>
      <c r="H149" s="11">
        <v>3</v>
      </c>
      <c r="I149" s="11">
        <v>2</v>
      </c>
      <c r="J149" s="11">
        <v>1</v>
      </c>
      <c r="K149" s="11">
        <v>4</v>
      </c>
      <c r="L149" s="11">
        <v>2</v>
      </c>
      <c r="M149" s="11">
        <v>2</v>
      </c>
      <c r="N149" s="11">
        <v>3</v>
      </c>
      <c r="O149" s="11">
        <v>4</v>
      </c>
      <c r="P149" s="11">
        <v>5</v>
      </c>
      <c r="Q149" s="11">
        <v>2</v>
      </c>
      <c r="R149" s="11">
        <v>3</v>
      </c>
      <c r="S149" s="11">
        <v>2</v>
      </c>
      <c r="T149" s="11">
        <v>3</v>
      </c>
      <c r="U149" s="10">
        <v>2</v>
      </c>
      <c r="V149" s="6">
        <f t="shared" si="12"/>
        <v>9.7739400499173534</v>
      </c>
      <c r="W149" s="6">
        <f t="shared" si="13"/>
        <v>19.332583705767441</v>
      </c>
      <c r="X149" s="6">
        <f t="shared" si="14"/>
        <v>7.9398614165160968</v>
      </c>
      <c r="Y149" s="6">
        <f t="shared" si="15"/>
        <v>19.181891052431368</v>
      </c>
      <c r="Z149" s="6">
        <f t="shared" si="16"/>
        <v>7.9398614165160968</v>
      </c>
      <c r="AA149" s="6">
        <f t="shared" si="17"/>
        <v>3</v>
      </c>
    </row>
    <row r="150" spans="1:27">
      <c r="A150" s="11">
        <v>149</v>
      </c>
      <c r="B150" s="12">
        <v>4</v>
      </c>
      <c r="C150" s="11">
        <v>3</v>
      </c>
      <c r="D150" s="11">
        <v>1</v>
      </c>
      <c r="E150" s="11">
        <v>2</v>
      </c>
      <c r="F150" s="11">
        <v>4</v>
      </c>
      <c r="G150" s="11">
        <v>3</v>
      </c>
      <c r="H150" s="11">
        <v>3</v>
      </c>
      <c r="I150" s="11">
        <v>4</v>
      </c>
      <c r="J150" s="11">
        <v>1</v>
      </c>
      <c r="K150" s="11">
        <v>4</v>
      </c>
      <c r="L150" s="11">
        <v>3</v>
      </c>
      <c r="M150" s="11">
        <v>2</v>
      </c>
      <c r="N150" s="11">
        <v>3</v>
      </c>
      <c r="O150" s="11">
        <v>4</v>
      </c>
      <c r="P150" s="11">
        <v>4</v>
      </c>
      <c r="Q150" s="11">
        <v>3</v>
      </c>
      <c r="R150" s="11">
        <v>4</v>
      </c>
      <c r="S150" s="11">
        <v>3</v>
      </c>
      <c r="T150" s="11">
        <v>3</v>
      </c>
      <c r="U150" s="10">
        <v>1</v>
      </c>
      <c r="V150" s="6">
        <f t="shared" si="12"/>
        <v>22.996181187163177</v>
      </c>
      <c r="W150" s="6">
        <f t="shared" si="13"/>
        <v>23.357892043785945</v>
      </c>
      <c r="X150" s="6">
        <f t="shared" si="14"/>
        <v>15.412414578427891</v>
      </c>
      <c r="Y150" s="6">
        <f t="shared" si="15"/>
        <v>30.937028681657392</v>
      </c>
      <c r="Z150" s="6">
        <f t="shared" si="16"/>
        <v>15.412414578427891</v>
      </c>
      <c r="AA150" s="6">
        <f t="shared" si="17"/>
        <v>3</v>
      </c>
    </row>
    <row r="151" spans="1:27">
      <c r="A151" s="11">
        <v>150</v>
      </c>
      <c r="B151" s="12">
        <v>3</v>
      </c>
      <c r="C151" s="11">
        <v>3</v>
      </c>
      <c r="D151" s="11">
        <v>2</v>
      </c>
      <c r="E151" s="11">
        <v>3</v>
      </c>
      <c r="F151" s="11">
        <v>4</v>
      </c>
      <c r="G151" s="11">
        <v>2</v>
      </c>
      <c r="H151" s="11">
        <v>3</v>
      </c>
      <c r="I151" s="11">
        <v>4</v>
      </c>
      <c r="J151" s="11">
        <v>3</v>
      </c>
      <c r="K151" s="11">
        <v>2</v>
      </c>
      <c r="L151" s="11">
        <v>3</v>
      </c>
      <c r="M151" s="11">
        <v>4</v>
      </c>
      <c r="N151" s="11">
        <v>4</v>
      </c>
      <c r="O151" s="11">
        <v>3</v>
      </c>
      <c r="P151" s="11">
        <v>5</v>
      </c>
      <c r="Q151" s="11">
        <v>3</v>
      </c>
      <c r="R151" s="11">
        <v>2</v>
      </c>
      <c r="S151" s="11">
        <v>4</v>
      </c>
      <c r="T151" s="11">
        <v>5</v>
      </c>
      <c r="U151" s="10">
        <v>5</v>
      </c>
      <c r="V151" s="6">
        <f t="shared" si="12"/>
        <v>32.718363290194127</v>
      </c>
      <c r="W151" s="6">
        <f t="shared" si="13"/>
        <v>16.699762032267831</v>
      </c>
      <c r="X151" s="6">
        <f t="shared" si="14"/>
        <v>37.566384893566124</v>
      </c>
      <c r="Y151" s="6">
        <f t="shared" si="15"/>
        <v>29.365655636769961</v>
      </c>
      <c r="Z151" s="6">
        <f t="shared" si="16"/>
        <v>16.699762032267831</v>
      </c>
      <c r="AA151" s="6">
        <f t="shared" si="17"/>
        <v>2</v>
      </c>
    </row>
    <row r="152" spans="1:27">
      <c r="A152" s="11">
        <v>151</v>
      </c>
      <c r="B152" s="12">
        <v>1</v>
      </c>
      <c r="C152" s="11">
        <v>2</v>
      </c>
      <c r="D152" s="11">
        <v>2</v>
      </c>
      <c r="E152" s="11">
        <v>2</v>
      </c>
      <c r="F152" s="11">
        <v>3</v>
      </c>
      <c r="G152" s="11">
        <v>2</v>
      </c>
      <c r="H152" s="11">
        <v>3</v>
      </c>
      <c r="I152" s="11">
        <v>4</v>
      </c>
      <c r="J152" s="11">
        <v>3</v>
      </c>
      <c r="K152" s="11">
        <v>4</v>
      </c>
      <c r="L152" s="11">
        <v>5</v>
      </c>
      <c r="M152" s="11">
        <v>4</v>
      </c>
      <c r="N152" s="11">
        <v>3</v>
      </c>
      <c r="O152" s="11">
        <v>2</v>
      </c>
      <c r="P152" s="11">
        <v>2</v>
      </c>
      <c r="Q152" s="11">
        <v>2</v>
      </c>
      <c r="R152" s="11">
        <v>2</v>
      </c>
      <c r="S152" s="11">
        <v>2</v>
      </c>
      <c r="T152" s="11">
        <v>3</v>
      </c>
      <c r="U152" s="10">
        <v>5</v>
      </c>
      <c r="V152" s="6">
        <f t="shared" si="12"/>
        <v>43.551672705013971</v>
      </c>
      <c r="W152" s="6">
        <f t="shared" si="13"/>
        <v>26.079459551670588</v>
      </c>
      <c r="X152" s="6">
        <f t="shared" si="14"/>
        <v>43.709173349522565</v>
      </c>
      <c r="Y152" s="6">
        <f t="shared" si="15"/>
        <v>30.222730245904966</v>
      </c>
      <c r="Z152" s="6">
        <f t="shared" si="16"/>
        <v>26.079459551670588</v>
      </c>
      <c r="AA152" s="6">
        <f t="shared" si="17"/>
        <v>2</v>
      </c>
    </row>
    <row r="153" spans="1:27">
      <c r="A153" s="11">
        <v>152</v>
      </c>
      <c r="B153" s="12">
        <v>2</v>
      </c>
      <c r="C153" s="11">
        <v>2</v>
      </c>
      <c r="D153" s="11">
        <v>2</v>
      </c>
      <c r="E153" s="11">
        <v>2</v>
      </c>
      <c r="F153" s="11">
        <v>3</v>
      </c>
      <c r="G153" s="11">
        <v>3</v>
      </c>
      <c r="H153" s="11">
        <v>3</v>
      </c>
      <c r="I153" s="11">
        <v>2</v>
      </c>
      <c r="J153" s="11">
        <v>2</v>
      </c>
      <c r="K153" s="11">
        <v>5</v>
      </c>
      <c r="L153" s="11">
        <v>1</v>
      </c>
      <c r="M153" s="11">
        <v>2</v>
      </c>
      <c r="N153" s="11">
        <v>2</v>
      </c>
      <c r="O153" s="11">
        <v>2</v>
      </c>
      <c r="P153" s="11">
        <v>3</v>
      </c>
      <c r="Q153" s="11">
        <v>2</v>
      </c>
      <c r="R153" s="11">
        <v>2</v>
      </c>
      <c r="S153" s="11">
        <v>2</v>
      </c>
      <c r="T153" s="11">
        <v>2</v>
      </c>
      <c r="U153" s="10">
        <v>2</v>
      </c>
      <c r="V153" s="6">
        <f t="shared" si="12"/>
        <v>17.940527596958386</v>
      </c>
      <c r="W153" s="6">
        <f t="shared" si="13"/>
        <v>25.269252648860899</v>
      </c>
      <c r="X153" s="6">
        <f t="shared" si="14"/>
        <v>13.423305277132243</v>
      </c>
      <c r="Y153" s="6">
        <f t="shared" si="15"/>
        <v>14.528798889662188</v>
      </c>
      <c r="Z153" s="6">
        <f t="shared" si="16"/>
        <v>13.423305277132243</v>
      </c>
      <c r="AA153" s="6">
        <f t="shared" si="17"/>
        <v>3</v>
      </c>
    </row>
    <row r="154" spans="1:27">
      <c r="A154" s="11">
        <v>153</v>
      </c>
      <c r="B154" s="12">
        <v>4</v>
      </c>
      <c r="C154" s="11">
        <v>1</v>
      </c>
      <c r="D154" s="11">
        <v>1</v>
      </c>
      <c r="E154" s="11">
        <v>5</v>
      </c>
      <c r="F154" s="11">
        <v>3</v>
      </c>
      <c r="G154" s="11">
        <v>4</v>
      </c>
      <c r="H154" s="11">
        <v>4</v>
      </c>
      <c r="I154" s="11">
        <v>5</v>
      </c>
      <c r="J154" s="11">
        <v>4</v>
      </c>
      <c r="K154" s="11">
        <v>4</v>
      </c>
      <c r="L154" s="11">
        <v>3</v>
      </c>
      <c r="M154" s="11">
        <v>3</v>
      </c>
      <c r="N154" s="11">
        <v>5</v>
      </c>
      <c r="O154" s="11">
        <v>3</v>
      </c>
      <c r="P154" s="11">
        <v>3</v>
      </c>
      <c r="Q154" s="11">
        <v>5</v>
      </c>
      <c r="R154" s="11">
        <v>5</v>
      </c>
      <c r="S154" s="11">
        <v>1</v>
      </c>
      <c r="T154" s="11">
        <v>3</v>
      </c>
      <c r="U154" s="10">
        <v>4</v>
      </c>
      <c r="V154" s="6">
        <f t="shared" si="12"/>
        <v>50.385123580372301</v>
      </c>
      <c r="W154" s="6">
        <f t="shared" si="13"/>
        <v>41.623817553386239</v>
      </c>
      <c r="X154" s="6">
        <f t="shared" si="14"/>
        <v>54.016949052913418</v>
      </c>
      <c r="Y154" s="6">
        <f t="shared" si="15"/>
        <v>61.141182490001377</v>
      </c>
      <c r="Z154" s="6">
        <f t="shared" si="16"/>
        <v>41.623817553386239</v>
      </c>
      <c r="AA154" s="6">
        <f t="shared" si="17"/>
        <v>2</v>
      </c>
    </row>
    <row r="155" spans="1:27">
      <c r="A155" s="11">
        <v>154</v>
      </c>
      <c r="B155" s="12">
        <v>2</v>
      </c>
      <c r="C155" s="11">
        <v>2</v>
      </c>
      <c r="D155" s="11">
        <v>3</v>
      </c>
      <c r="E155" s="11">
        <v>2</v>
      </c>
      <c r="F155" s="11">
        <v>3</v>
      </c>
      <c r="G155" s="11">
        <v>2</v>
      </c>
      <c r="H155" s="11">
        <v>3</v>
      </c>
      <c r="I155" s="11">
        <v>3</v>
      </c>
      <c r="J155" s="11">
        <v>4</v>
      </c>
      <c r="K155" s="11">
        <v>3</v>
      </c>
      <c r="L155" s="11">
        <v>2</v>
      </c>
      <c r="M155" s="11">
        <v>3</v>
      </c>
      <c r="N155" s="11">
        <v>3</v>
      </c>
      <c r="O155" s="11">
        <v>3</v>
      </c>
      <c r="P155" s="11">
        <v>4</v>
      </c>
      <c r="Q155" s="11">
        <v>2</v>
      </c>
      <c r="R155" s="11">
        <v>2</v>
      </c>
      <c r="S155" s="11">
        <v>2</v>
      </c>
      <c r="T155" s="11">
        <v>3</v>
      </c>
      <c r="U155" s="10">
        <v>4</v>
      </c>
      <c r="V155" s="6">
        <f t="shared" si="12"/>
        <v>19.523893356410866</v>
      </c>
      <c r="W155" s="6">
        <f t="shared" si="13"/>
        <v>11.737685082078396</v>
      </c>
      <c r="X155" s="6">
        <f t="shared" si="14"/>
        <v>17.522293541471516</v>
      </c>
      <c r="Y155" s="6">
        <f t="shared" si="15"/>
        <v>10.406404965417858</v>
      </c>
      <c r="Z155" s="6">
        <f t="shared" si="16"/>
        <v>10.406404965417858</v>
      </c>
      <c r="AA155" s="6">
        <f t="shared" si="17"/>
        <v>4</v>
      </c>
    </row>
    <row r="156" spans="1:27">
      <c r="A156" s="11">
        <v>155</v>
      </c>
      <c r="B156" s="12">
        <v>2</v>
      </c>
      <c r="C156" s="11">
        <v>2</v>
      </c>
      <c r="D156" s="11">
        <v>2</v>
      </c>
      <c r="E156" s="11">
        <v>5</v>
      </c>
      <c r="F156" s="11">
        <v>3</v>
      </c>
      <c r="G156" s="11">
        <v>5</v>
      </c>
      <c r="H156" s="11">
        <v>3</v>
      </c>
      <c r="I156" s="11">
        <v>3</v>
      </c>
      <c r="J156" s="11">
        <v>3</v>
      </c>
      <c r="K156" s="11">
        <v>2</v>
      </c>
      <c r="L156" s="11">
        <v>2</v>
      </c>
      <c r="M156" s="11">
        <v>2</v>
      </c>
      <c r="N156" s="11">
        <v>3</v>
      </c>
      <c r="O156" s="11">
        <v>5</v>
      </c>
      <c r="P156" s="11">
        <v>4</v>
      </c>
      <c r="Q156" s="11">
        <v>1</v>
      </c>
      <c r="R156" s="11">
        <v>2</v>
      </c>
      <c r="S156" s="11">
        <v>3</v>
      </c>
      <c r="T156" s="11">
        <v>3</v>
      </c>
      <c r="U156" s="10">
        <v>3</v>
      </c>
      <c r="V156" s="6">
        <f t="shared" si="12"/>
        <v>14.301712366048047</v>
      </c>
      <c r="W156" s="6">
        <f t="shared" si="13"/>
        <v>21.547819077406722</v>
      </c>
      <c r="X156" s="6">
        <f t="shared" si="14"/>
        <v>21.379495405445159</v>
      </c>
      <c r="Y156" s="6">
        <f t="shared" si="15"/>
        <v>24.243196159904606</v>
      </c>
      <c r="Z156" s="6">
        <f t="shared" si="16"/>
        <v>14.301712366048047</v>
      </c>
      <c r="AA156" s="6">
        <f t="shared" si="17"/>
        <v>1</v>
      </c>
    </row>
    <row r="157" spans="1:27">
      <c r="A157" s="11">
        <v>156</v>
      </c>
      <c r="B157" s="12">
        <v>2</v>
      </c>
      <c r="C157" s="11">
        <v>1</v>
      </c>
      <c r="D157" s="11">
        <v>1</v>
      </c>
      <c r="E157" s="11">
        <v>5</v>
      </c>
      <c r="F157" s="11">
        <v>3</v>
      </c>
      <c r="G157" s="11">
        <v>2</v>
      </c>
      <c r="H157" s="11">
        <v>3</v>
      </c>
      <c r="I157" s="11">
        <v>5</v>
      </c>
      <c r="J157" s="11">
        <v>3</v>
      </c>
      <c r="K157" s="11">
        <v>2</v>
      </c>
      <c r="L157" s="11">
        <v>2</v>
      </c>
      <c r="M157" s="11">
        <v>1</v>
      </c>
      <c r="N157" s="11">
        <v>5</v>
      </c>
      <c r="O157" s="11">
        <v>4</v>
      </c>
      <c r="P157" s="11">
        <v>5</v>
      </c>
      <c r="Q157" s="11">
        <v>1</v>
      </c>
      <c r="R157" s="11">
        <v>4</v>
      </c>
      <c r="S157" s="11">
        <v>5</v>
      </c>
      <c r="T157" s="11">
        <v>5</v>
      </c>
      <c r="U157" s="10">
        <v>3</v>
      </c>
      <c r="V157" s="6">
        <f t="shared" si="12"/>
        <v>45.996154831235934</v>
      </c>
      <c r="W157" s="6">
        <f t="shared" si="13"/>
        <v>41.168103447344443</v>
      </c>
      <c r="X157" s="6">
        <f t="shared" si="14"/>
        <v>46.983941268404322</v>
      </c>
      <c r="Y157" s="6">
        <f t="shared" si="15"/>
        <v>49.630965631647655</v>
      </c>
      <c r="Z157" s="6">
        <f t="shared" si="16"/>
        <v>41.168103447344443</v>
      </c>
      <c r="AA157" s="6">
        <f t="shared" si="17"/>
        <v>2</v>
      </c>
    </row>
    <row r="158" spans="1:27">
      <c r="A158" s="11">
        <v>157</v>
      </c>
      <c r="B158" s="12">
        <v>2</v>
      </c>
      <c r="C158" s="11">
        <v>2</v>
      </c>
      <c r="D158" s="11">
        <v>1</v>
      </c>
      <c r="E158" s="11">
        <v>2</v>
      </c>
      <c r="F158" s="11">
        <v>4</v>
      </c>
      <c r="G158" s="11">
        <v>3</v>
      </c>
      <c r="H158" s="11">
        <v>3</v>
      </c>
      <c r="I158" s="11">
        <v>1</v>
      </c>
      <c r="J158" s="11">
        <v>1</v>
      </c>
      <c r="K158" s="11">
        <v>3</v>
      </c>
      <c r="L158" s="11">
        <v>1</v>
      </c>
      <c r="M158" s="11">
        <v>2</v>
      </c>
      <c r="N158" s="11">
        <v>3</v>
      </c>
      <c r="O158" s="11">
        <v>1</v>
      </c>
      <c r="P158" s="11">
        <v>5</v>
      </c>
      <c r="Q158" s="11">
        <v>1</v>
      </c>
      <c r="R158" s="11">
        <v>3</v>
      </c>
      <c r="S158" s="11">
        <v>2</v>
      </c>
      <c r="T158" s="11">
        <v>3</v>
      </c>
      <c r="U158" s="10">
        <v>2</v>
      </c>
      <c r="V158" s="6">
        <f t="shared" si="12"/>
        <v>27.246076085695289</v>
      </c>
      <c r="W158" s="6">
        <f t="shared" si="13"/>
        <v>34.648978908226418</v>
      </c>
      <c r="X158" s="6">
        <f t="shared" si="14"/>
        <v>16.13764272061443</v>
      </c>
      <c r="Y158" s="6">
        <f t="shared" si="15"/>
        <v>20.283902273692497</v>
      </c>
      <c r="Z158" s="6">
        <f t="shared" si="16"/>
        <v>16.13764272061443</v>
      </c>
      <c r="AA158" s="6">
        <f t="shared" si="17"/>
        <v>3</v>
      </c>
    </row>
    <row r="159" spans="1:27">
      <c r="A159" s="11">
        <v>158</v>
      </c>
      <c r="B159" s="12">
        <v>2</v>
      </c>
      <c r="C159" s="11">
        <v>4</v>
      </c>
      <c r="D159" s="11">
        <v>4</v>
      </c>
      <c r="E159" s="11">
        <v>5</v>
      </c>
      <c r="F159" s="11">
        <v>4</v>
      </c>
      <c r="G159" s="11">
        <v>5</v>
      </c>
      <c r="H159" s="11">
        <v>3</v>
      </c>
      <c r="I159" s="11">
        <v>1</v>
      </c>
      <c r="J159" s="11">
        <v>1</v>
      </c>
      <c r="K159" s="11">
        <v>5</v>
      </c>
      <c r="L159" s="11">
        <v>1</v>
      </c>
      <c r="M159" s="11">
        <v>1</v>
      </c>
      <c r="N159" s="11">
        <v>1</v>
      </c>
      <c r="O159" s="11">
        <v>4</v>
      </c>
      <c r="P159" s="11">
        <v>4</v>
      </c>
      <c r="Q159" s="11">
        <v>1</v>
      </c>
      <c r="R159" s="11">
        <v>2</v>
      </c>
      <c r="S159" s="11">
        <v>3</v>
      </c>
      <c r="T159" s="11">
        <v>4</v>
      </c>
      <c r="U159" s="10">
        <v>3</v>
      </c>
      <c r="V159" s="6">
        <f t="shared" si="12"/>
        <v>27.385054669814206</v>
      </c>
      <c r="W159" s="6">
        <f t="shared" si="13"/>
        <v>36.282007576294049</v>
      </c>
      <c r="X159" s="6">
        <f t="shared" si="14"/>
        <v>40.785968367738271</v>
      </c>
      <c r="Y159" s="6">
        <f t="shared" si="15"/>
        <v>43.222720330597369</v>
      </c>
      <c r="Z159" s="6">
        <f t="shared" si="16"/>
        <v>27.385054669814206</v>
      </c>
      <c r="AA159" s="6">
        <f t="shared" si="17"/>
        <v>1</v>
      </c>
    </row>
    <row r="160" spans="1:27">
      <c r="A160" s="11">
        <v>159</v>
      </c>
      <c r="B160" s="12">
        <v>4</v>
      </c>
      <c r="C160" s="11">
        <v>2</v>
      </c>
      <c r="D160" s="11">
        <v>2</v>
      </c>
      <c r="E160" s="11">
        <v>2</v>
      </c>
      <c r="F160" s="11">
        <v>4</v>
      </c>
      <c r="G160" s="11">
        <v>2</v>
      </c>
      <c r="H160" s="11">
        <v>3</v>
      </c>
      <c r="I160" s="11">
        <v>3</v>
      </c>
      <c r="J160" s="11">
        <v>2</v>
      </c>
      <c r="K160" s="11">
        <v>3</v>
      </c>
      <c r="L160" s="11">
        <v>2</v>
      </c>
      <c r="M160" s="11">
        <v>2</v>
      </c>
      <c r="N160" s="11">
        <v>2</v>
      </c>
      <c r="O160" s="11">
        <v>4</v>
      </c>
      <c r="P160" s="11">
        <v>4</v>
      </c>
      <c r="Q160" s="11">
        <v>2</v>
      </c>
      <c r="R160" s="11">
        <v>4</v>
      </c>
      <c r="S160" s="11">
        <v>2</v>
      </c>
      <c r="T160" s="11">
        <v>3</v>
      </c>
      <c r="U160" s="10">
        <v>2</v>
      </c>
      <c r="V160" s="6">
        <f t="shared" si="12"/>
        <v>16.385045395015212</v>
      </c>
      <c r="W160" s="6">
        <f t="shared" si="13"/>
        <v>17.39587094820866</v>
      </c>
      <c r="X160" s="6">
        <f t="shared" si="14"/>
        <v>7.8629260329180068</v>
      </c>
      <c r="Y160" s="6">
        <f t="shared" si="15"/>
        <v>16.161502729373872</v>
      </c>
      <c r="Z160" s="6">
        <f t="shared" si="16"/>
        <v>7.8629260329180068</v>
      </c>
      <c r="AA160" s="6">
        <f t="shared" si="17"/>
        <v>3</v>
      </c>
    </row>
    <row r="161" spans="1:27">
      <c r="A161" s="11">
        <v>160</v>
      </c>
      <c r="B161" s="12">
        <v>2</v>
      </c>
      <c r="C161" s="11">
        <v>1</v>
      </c>
      <c r="D161" s="11">
        <v>1</v>
      </c>
      <c r="E161" s="11">
        <v>3</v>
      </c>
      <c r="F161" s="11">
        <v>2</v>
      </c>
      <c r="G161" s="11">
        <v>1</v>
      </c>
      <c r="H161" s="11">
        <v>3</v>
      </c>
      <c r="I161" s="11">
        <v>3</v>
      </c>
      <c r="J161" s="11">
        <v>2</v>
      </c>
      <c r="K161" s="11">
        <v>4</v>
      </c>
      <c r="L161" s="11">
        <v>1</v>
      </c>
      <c r="M161" s="11">
        <v>2</v>
      </c>
      <c r="N161" s="11">
        <v>1</v>
      </c>
      <c r="O161" s="11">
        <v>5</v>
      </c>
      <c r="P161" s="11">
        <v>5</v>
      </c>
      <c r="Q161" s="11">
        <v>3</v>
      </c>
      <c r="R161" s="11">
        <v>1</v>
      </c>
      <c r="S161" s="11">
        <v>2</v>
      </c>
      <c r="T161" s="11">
        <v>3</v>
      </c>
      <c r="U161" s="10">
        <v>4</v>
      </c>
      <c r="V161" s="6">
        <f t="shared" si="12"/>
        <v>20.523882649727241</v>
      </c>
      <c r="W161" s="6">
        <f t="shared" si="13"/>
        <v>39.206001704978299</v>
      </c>
      <c r="X161" s="6">
        <f t="shared" si="14"/>
        <v>24.115746884783739</v>
      </c>
      <c r="Y161" s="6">
        <f t="shared" si="15"/>
        <v>24.447173438495383</v>
      </c>
      <c r="Z161" s="6">
        <f t="shared" si="16"/>
        <v>20.523882649727241</v>
      </c>
      <c r="AA161" s="6">
        <f t="shared" si="17"/>
        <v>1</v>
      </c>
    </row>
    <row r="162" spans="1:27">
      <c r="A162" s="11">
        <v>161</v>
      </c>
      <c r="B162" s="12">
        <v>3</v>
      </c>
      <c r="C162" s="11">
        <v>2</v>
      </c>
      <c r="D162" s="11">
        <v>2</v>
      </c>
      <c r="E162" s="11">
        <v>2</v>
      </c>
      <c r="F162" s="11">
        <v>3</v>
      </c>
      <c r="G162" s="11">
        <v>2</v>
      </c>
      <c r="H162" s="11">
        <v>3</v>
      </c>
      <c r="I162" s="11">
        <v>2</v>
      </c>
      <c r="J162" s="11">
        <v>1</v>
      </c>
      <c r="K162" s="11">
        <v>3</v>
      </c>
      <c r="L162" s="11">
        <v>2</v>
      </c>
      <c r="M162" s="11">
        <v>3</v>
      </c>
      <c r="N162" s="11">
        <v>2</v>
      </c>
      <c r="O162" s="11">
        <v>1</v>
      </c>
      <c r="P162" s="11">
        <v>2</v>
      </c>
      <c r="Q162" s="11">
        <v>3</v>
      </c>
      <c r="R162" s="11">
        <v>2</v>
      </c>
      <c r="S162" s="11">
        <v>3</v>
      </c>
      <c r="T162" s="11">
        <v>3</v>
      </c>
      <c r="U162" s="10">
        <v>2</v>
      </c>
      <c r="V162" s="6">
        <f t="shared" si="12"/>
        <v>23.662720588271707</v>
      </c>
      <c r="W162" s="6">
        <f t="shared" si="13"/>
        <v>22.307187227254765</v>
      </c>
      <c r="X162" s="6">
        <f t="shared" si="14"/>
        <v>18.170551613511787</v>
      </c>
      <c r="Y162" s="6">
        <f t="shared" si="15"/>
        <v>12.345160086918098</v>
      </c>
      <c r="Z162" s="6">
        <f t="shared" si="16"/>
        <v>12.345160086918098</v>
      </c>
      <c r="AA162" s="6">
        <f t="shared" si="17"/>
        <v>4</v>
      </c>
    </row>
    <row r="163" spans="1:27">
      <c r="A163" s="11">
        <v>162</v>
      </c>
      <c r="B163" s="12">
        <v>3</v>
      </c>
      <c r="C163" s="11">
        <v>4</v>
      </c>
      <c r="D163" s="11">
        <v>2</v>
      </c>
      <c r="E163" s="11">
        <v>4</v>
      </c>
      <c r="F163" s="11">
        <v>3</v>
      </c>
      <c r="G163" s="11">
        <v>2</v>
      </c>
      <c r="H163" s="11">
        <v>2</v>
      </c>
      <c r="I163" s="11">
        <v>4</v>
      </c>
      <c r="J163" s="11">
        <v>2</v>
      </c>
      <c r="K163" s="11">
        <v>4</v>
      </c>
      <c r="L163" s="11">
        <v>1</v>
      </c>
      <c r="M163" s="11">
        <v>2</v>
      </c>
      <c r="N163" s="11">
        <v>3</v>
      </c>
      <c r="O163" s="11">
        <v>4</v>
      </c>
      <c r="P163" s="11">
        <v>5</v>
      </c>
      <c r="Q163" s="11">
        <v>3</v>
      </c>
      <c r="R163" s="11">
        <v>2</v>
      </c>
      <c r="S163" s="11">
        <v>2</v>
      </c>
      <c r="T163" s="11">
        <v>3</v>
      </c>
      <c r="U163" s="10">
        <v>4</v>
      </c>
      <c r="V163" s="6">
        <f t="shared" si="12"/>
        <v>15.162828294544932</v>
      </c>
      <c r="W163" s="6">
        <f t="shared" si="13"/>
        <v>19.940225232478223</v>
      </c>
      <c r="X163" s="6">
        <f t="shared" si="14"/>
        <v>21.214657774048916</v>
      </c>
      <c r="Y163" s="6">
        <f t="shared" si="15"/>
        <v>23.549260289403286</v>
      </c>
      <c r="Z163" s="6">
        <f t="shared" si="16"/>
        <v>15.162828294544932</v>
      </c>
      <c r="AA163" s="6">
        <f t="shared" si="17"/>
        <v>1</v>
      </c>
    </row>
    <row r="164" spans="1:27">
      <c r="A164" s="11">
        <v>163</v>
      </c>
      <c r="B164" s="12">
        <v>3</v>
      </c>
      <c r="C164" s="11">
        <v>2</v>
      </c>
      <c r="D164" s="11">
        <v>2</v>
      </c>
      <c r="E164" s="11">
        <v>4</v>
      </c>
      <c r="F164" s="11">
        <v>2</v>
      </c>
      <c r="G164" s="11">
        <v>2</v>
      </c>
      <c r="H164" s="11">
        <v>3</v>
      </c>
      <c r="I164" s="11">
        <v>2</v>
      </c>
      <c r="J164" s="11">
        <v>2</v>
      </c>
      <c r="K164" s="11">
        <v>4</v>
      </c>
      <c r="L164" s="11">
        <v>1</v>
      </c>
      <c r="M164" s="11">
        <v>1</v>
      </c>
      <c r="N164" s="11">
        <v>2</v>
      </c>
      <c r="O164" s="11">
        <v>2</v>
      </c>
      <c r="P164" s="11">
        <v>2</v>
      </c>
      <c r="Q164" s="11">
        <v>2</v>
      </c>
      <c r="R164" s="11">
        <v>1</v>
      </c>
      <c r="S164" s="11">
        <v>2</v>
      </c>
      <c r="T164" s="11">
        <v>2</v>
      </c>
      <c r="U164" s="10">
        <v>4</v>
      </c>
      <c r="V164" s="6">
        <f t="shared" si="12"/>
        <v>18.718299396144577</v>
      </c>
      <c r="W164" s="6">
        <f t="shared" si="13"/>
        <v>28.902186933086863</v>
      </c>
      <c r="X164" s="6">
        <f t="shared" si="14"/>
        <v>23.698075392024716</v>
      </c>
      <c r="Y164" s="6">
        <f t="shared" si="15"/>
        <v>15.569641675285792</v>
      </c>
      <c r="Z164" s="6">
        <f t="shared" si="16"/>
        <v>15.569641675285792</v>
      </c>
      <c r="AA164" s="6">
        <f t="shared" si="17"/>
        <v>4</v>
      </c>
    </row>
    <row r="165" spans="1:27">
      <c r="A165" s="11">
        <v>164</v>
      </c>
      <c r="B165" s="12">
        <v>5</v>
      </c>
      <c r="C165" s="11">
        <v>5</v>
      </c>
      <c r="D165" s="11">
        <v>2</v>
      </c>
      <c r="E165" s="11">
        <v>2</v>
      </c>
      <c r="F165" s="11">
        <v>2</v>
      </c>
      <c r="G165" s="11">
        <v>5</v>
      </c>
      <c r="H165" s="11">
        <v>5</v>
      </c>
      <c r="I165" s="11">
        <v>2</v>
      </c>
      <c r="J165" s="11">
        <v>2</v>
      </c>
      <c r="K165" s="11">
        <v>2</v>
      </c>
      <c r="L165" s="11">
        <v>2</v>
      </c>
      <c r="M165" s="11">
        <v>2</v>
      </c>
      <c r="N165" s="11">
        <v>2</v>
      </c>
      <c r="O165" s="11">
        <v>5</v>
      </c>
      <c r="P165" s="11">
        <v>2</v>
      </c>
      <c r="Q165" s="11">
        <v>5</v>
      </c>
      <c r="R165" s="11">
        <v>5</v>
      </c>
      <c r="S165" s="11">
        <v>2</v>
      </c>
      <c r="T165" s="11">
        <v>5</v>
      </c>
      <c r="U165" s="10">
        <v>2</v>
      </c>
      <c r="V165" s="6">
        <f t="shared" si="12"/>
        <v>50.19061364638425</v>
      </c>
      <c r="W165" s="6">
        <f t="shared" si="13"/>
        <v>46.560425412514853</v>
      </c>
      <c r="X165" s="6">
        <f t="shared" si="14"/>
        <v>48.258590044269077</v>
      </c>
      <c r="Y165" s="6">
        <f t="shared" si="15"/>
        <v>57.977905915421026</v>
      </c>
      <c r="Z165" s="6">
        <f t="shared" si="16"/>
        <v>46.560425412514853</v>
      </c>
      <c r="AA165" s="6">
        <f t="shared" si="17"/>
        <v>2</v>
      </c>
    </row>
    <row r="166" spans="1:27">
      <c r="A166" s="11">
        <v>165</v>
      </c>
      <c r="B166" s="12">
        <v>3</v>
      </c>
      <c r="C166" s="11">
        <v>4</v>
      </c>
      <c r="D166" s="11">
        <v>2</v>
      </c>
      <c r="E166" s="11">
        <v>2</v>
      </c>
      <c r="F166" s="11">
        <v>3</v>
      </c>
      <c r="G166" s="11">
        <v>3</v>
      </c>
      <c r="H166" s="11">
        <v>4</v>
      </c>
      <c r="I166" s="11">
        <v>2</v>
      </c>
      <c r="J166" s="11">
        <v>2</v>
      </c>
      <c r="K166" s="11">
        <v>4</v>
      </c>
      <c r="L166" s="11">
        <v>1</v>
      </c>
      <c r="M166" s="11">
        <v>2</v>
      </c>
      <c r="N166" s="11">
        <v>3</v>
      </c>
      <c r="O166" s="11">
        <v>2</v>
      </c>
      <c r="P166" s="11">
        <v>5</v>
      </c>
      <c r="Q166" s="11">
        <v>4</v>
      </c>
      <c r="R166" s="11">
        <v>5</v>
      </c>
      <c r="S166" s="11">
        <v>3</v>
      </c>
      <c r="T166" s="11">
        <v>4</v>
      </c>
      <c r="U166" s="10">
        <v>3</v>
      </c>
      <c r="V166" s="6">
        <f t="shared" si="12"/>
        <v>27.885038740868094</v>
      </c>
      <c r="W166" s="6">
        <f t="shared" si="13"/>
        <v>21.762981019106462</v>
      </c>
      <c r="X166" s="6">
        <f t="shared" si="14"/>
        <v>24.994836739874401</v>
      </c>
      <c r="Y166" s="6">
        <f t="shared" si="15"/>
        <v>27.651297642798902</v>
      </c>
      <c r="Z166" s="6">
        <f t="shared" si="16"/>
        <v>21.762981019106462</v>
      </c>
      <c r="AA166" s="6">
        <f t="shared" si="17"/>
        <v>2</v>
      </c>
    </row>
    <row r="167" spans="1:27">
      <c r="A167" s="11">
        <v>166</v>
      </c>
      <c r="B167" s="12">
        <v>2</v>
      </c>
      <c r="C167" s="11">
        <v>2</v>
      </c>
      <c r="D167" s="11">
        <v>3</v>
      </c>
      <c r="E167" s="11">
        <v>3</v>
      </c>
      <c r="F167" s="11">
        <v>2</v>
      </c>
      <c r="G167" s="11">
        <v>2</v>
      </c>
      <c r="H167" s="11">
        <v>4</v>
      </c>
      <c r="I167" s="11">
        <v>3</v>
      </c>
      <c r="J167" s="11">
        <v>3</v>
      </c>
      <c r="K167" s="11">
        <v>3</v>
      </c>
      <c r="L167" s="11">
        <v>3</v>
      </c>
      <c r="M167" s="11">
        <v>2</v>
      </c>
      <c r="N167" s="11">
        <v>4</v>
      </c>
      <c r="O167" s="11">
        <v>2</v>
      </c>
      <c r="P167" s="11">
        <v>4</v>
      </c>
      <c r="Q167" s="11">
        <v>3</v>
      </c>
      <c r="R167" s="11">
        <v>2</v>
      </c>
      <c r="S167" s="11">
        <v>5</v>
      </c>
      <c r="T167" s="11">
        <v>5</v>
      </c>
      <c r="U167" s="10">
        <v>5</v>
      </c>
      <c r="V167" s="6">
        <f t="shared" si="12"/>
        <v>33.079447600791745</v>
      </c>
      <c r="W167" s="6">
        <f t="shared" si="13"/>
        <v>17.649115297161295</v>
      </c>
      <c r="X167" s="6">
        <f t="shared" si="14"/>
        <v>39.884977271294751</v>
      </c>
      <c r="Y167" s="6">
        <f t="shared" si="15"/>
        <v>25.100319083688195</v>
      </c>
      <c r="Z167" s="6">
        <f t="shared" si="16"/>
        <v>17.649115297161295</v>
      </c>
      <c r="AA167" s="6">
        <f t="shared" si="17"/>
        <v>2</v>
      </c>
    </row>
    <row r="168" spans="1:27">
      <c r="A168" s="11">
        <v>167</v>
      </c>
      <c r="B168" s="12">
        <v>2</v>
      </c>
      <c r="C168" s="11">
        <v>3</v>
      </c>
      <c r="D168" s="11">
        <v>3</v>
      </c>
      <c r="E168" s="11">
        <v>2</v>
      </c>
      <c r="F168" s="11">
        <v>4</v>
      </c>
      <c r="G168" s="11">
        <v>3</v>
      </c>
      <c r="H168" s="11">
        <v>3</v>
      </c>
      <c r="I168" s="11">
        <v>1</v>
      </c>
      <c r="J168" s="11">
        <v>1</v>
      </c>
      <c r="K168" s="11">
        <v>3</v>
      </c>
      <c r="L168" s="11">
        <v>3</v>
      </c>
      <c r="M168" s="11">
        <v>2</v>
      </c>
      <c r="N168" s="11">
        <v>4</v>
      </c>
      <c r="O168" s="11">
        <v>3</v>
      </c>
      <c r="P168" s="11">
        <v>2</v>
      </c>
      <c r="Q168" s="11">
        <v>4</v>
      </c>
      <c r="R168" s="11">
        <v>3</v>
      </c>
      <c r="S168" s="11">
        <v>4</v>
      </c>
      <c r="T168" s="11">
        <v>2</v>
      </c>
      <c r="U168" s="10">
        <v>5</v>
      </c>
      <c r="V168" s="6">
        <f t="shared" si="12"/>
        <v>22.773900864787908</v>
      </c>
      <c r="W168" s="6">
        <f t="shared" si="13"/>
        <v>18.09208470115821</v>
      </c>
      <c r="X168" s="6">
        <f t="shared" si="14"/>
        <v>34.77502824126519</v>
      </c>
      <c r="Y168" s="6">
        <f t="shared" si="15"/>
        <v>21.202332674427371</v>
      </c>
      <c r="Z168" s="6">
        <f t="shared" si="16"/>
        <v>18.09208470115821</v>
      </c>
      <c r="AA168" s="6">
        <f t="shared" si="17"/>
        <v>2</v>
      </c>
    </row>
    <row r="169" spans="1:27">
      <c r="A169" s="11">
        <v>168</v>
      </c>
      <c r="B169" s="12">
        <v>4</v>
      </c>
      <c r="C169" s="11">
        <v>1</v>
      </c>
      <c r="D169" s="11">
        <v>1</v>
      </c>
      <c r="E169" s="11">
        <v>2</v>
      </c>
      <c r="F169" s="11">
        <v>2</v>
      </c>
      <c r="G169" s="11">
        <v>1</v>
      </c>
      <c r="H169" s="11">
        <v>3</v>
      </c>
      <c r="I169" s="11">
        <v>2</v>
      </c>
      <c r="J169" s="11">
        <v>2</v>
      </c>
      <c r="K169" s="11">
        <v>2</v>
      </c>
      <c r="L169" s="11">
        <v>2</v>
      </c>
      <c r="M169" s="11">
        <v>4</v>
      </c>
      <c r="N169" s="11">
        <v>2</v>
      </c>
      <c r="O169" s="11">
        <v>4</v>
      </c>
      <c r="P169" s="11">
        <v>3</v>
      </c>
      <c r="Q169" s="11">
        <v>2</v>
      </c>
      <c r="R169" s="11">
        <v>1</v>
      </c>
      <c r="S169" s="11">
        <v>4</v>
      </c>
      <c r="T169" s="11">
        <v>5</v>
      </c>
      <c r="U169" s="10">
        <v>2</v>
      </c>
      <c r="V169" s="6">
        <f t="shared" si="12"/>
        <v>34.551586351597926</v>
      </c>
      <c r="W169" s="6">
        <f t="shared" si="13"/>
        <v>35.940150272355716</v>
      </c>
      <c r="X169" s="6">
        <f t="shared" si="14"/>
        <v>23.654153805685901</v>
      </c>
      <c r="Y169" s="6">
        <f t="shared" si="15"/>
        <v>23.018670288030819</v>
      </c>
      <c r="Z169" s="6">
        <f t="shared" si="16"/>
        <v>23.018670288030819</v>
      </c>
      <c r="AA169" s="6">
        <f t="shared" si="17"/>
        <v>4</v>
      </c>
    </row>
    <row r="170" spans="1:27">
      <c r="A170" s="11">
        <v>169</v>
      </c>
      <c r="B170" s="12">
        <v>4</v>
      </c>
      <c r="C170" s="11">
        <v>2</v>
      </c>
      <c r="D170" s="11">
        <v>3</v>
      </c>
      <c r="E170" s="11">
        <v>2</v>
      </c>
      <c r="F170" s="11">
        <v>4</v>
      </c>
      <c r="G170" s="11">
        <v>2</v>
      </c>
      <c r="H170" s="11">
        <v>3</v>
      </c>
      <c r="I170" s="11">
        <v>2</v>
      </c>
      <c r="J170" s="11">
        <v>1</v>
      </c>
      <c r="K170" s="11">
        <v>1</v>
      </c>
      <c r="L170" s="11">
        <v>1</v>
      </c>
      <c r="M170" s="11">
        <v>2</v>
      </c>
      <c r="N170" s="11">
        <v>4</v>
      </c>
      <c r="O170" s="11">
        <v>2</v>
      </c>
      <c r="P170" s="11">
        <v>2</v>
      </c>
      <c r="Q170" s="11">
        <v>2</v>
      </c>
      <c r="R170" s="11">
        <v>2</v>
      </c>
      <c r="S170" s="11">
        <v>2</v>
      </c>
      <c r="T170" s="11">
        <v>2</v>
      </c>
      <c r="U170" s="10">
        <v>3</v>
      </c>
      <c r="V170" s="6">
        <f t="shared" si="12"/>
        <v>26.80162638131949</v>
      </c>
      <c r="W170" s="6">
        <f t="shared" si="13"/>
        <v>28.054033784217584</v>
      </c>
      <c r="X170" s="6">
        <f t="shared" si="14"/>
        <v>23.291420303203925</v>
      </c>
      <c r="Y170" s="6">
        <f t="shared" si="15"/>
        <v>16.263547419504253</v>
      </c>
      <c r="Z170" s="6">
        <f t="shared" si="16"/>
        <v>16.263547419504253</v>
      </c>
      <c r="AA170" s="6">
        <f t="shared" si="17"/>
        <v>4</v>
      </c>
    </row>
    <row r="171" spans="1:27">
      <c r="A171" s="11">
        <v>170</v>
      </c>
      <c r="B171" s="12">
        <v>3</v>
      </c>
      <c r="C171" s="11">
        <v>3</v>
      </c>
      <c r="D171" s="11">
        <v>1</v>
      </c>
      <c r="E171" s="11">
        <v>1</v>
      </c>
      <c r="F171" s="11">
        <v>3</v>
      </c>
      <c r="G171" s="11">
        <v>2</v>
      </c>
      <c r="H171" s="11">
        <v>3</v>
      </c>
      <c r="I171" s="11">
        <v>3</v>
      </c>
      <c r="J171" s="11">
        <v>2</v>
      </c>
      <c r="K171" s="11">
        <v>2</v>
      </c>
      <c r="L171" s="11">
        <v>2</v>
      </c>
      <c r="M171" s="11">
        <v>1</v>
      </c>
      <c r="N171" s="11">
        <v>3</v>
      </c>
      <c r="O171" s="11">
        <v>4</v>
      </c>
      <c r="P171" s="11">
        <v>4</v>
      </c>
      <c r="Q171" s="11">
        <v>5</v>
      </c>
      <c r="R171" s="11">
        <v>2</v>
      </c>
      <c r="S171" s="11">
        <v>3</v>
      </c>
      <c r="T171" s="11">
        <v>4</v>
      </c>
      <c r="U171" s="10">
        <v>2</v>
      </c>
      <c r="V171" s="6">
        <f t="shared" si="12"/>
        <v>21.246108536941041</v>
      </c>
      <c r="W171" s="6">
        <f t="shared" si="13"/>
        <v>27.281899422982107</v>
      </c>
      <c r="X171" s="6">
        <f t="shared" si="14"/>
        <v>19.28055593724747</v>
      </c>
      <c r="Y171" s="6">
        <f t="shared" si="15"/>
        <v>24.937031547710795</v>
      </c>
      <c r="Z171" s="6">
        <f t="shared" si="16"/>
        <v>19.28055593724747</v>
      </c>
      <c r="AA171" s="6">
        <f t="shared" si="17"/>
        <v>3</v>
      </c>
    </row>
    <row r="172" spans="1:27">
      <c r="A172" s="11">
        <v>171</v>
      </c>
      <c r="B172" s="12">
        <v>3</v>
      </c>
      <c r="C172" s="11">
        <v>4</v>
      </c>
      <c r="D172" s="11">
        <v>3</v>
      </c>
      <c r="E172" s="11">
        <v>2</v>
      </c>
      <c r="F172" s="11">
        <v>3</v>
      </c>
      <c r="G172" s="11">
        <v>3</v>
      </c>
      <c r="H172" s="11">
        <v>3</v>
      </c>
      <c r="I172" s="11">
        <v>4</v>
      </c>
      <c r="J172" s="11">
        <v>2</v>
      </c>
      <c r="K172" s="11">
        <v>4</v>
      </c>
      <c r="L172" s="11">
        <v>3</v>
      </c>
      <c r="M172" s="11">
        <v>2</v>
      </c>
      <c r="N172" s="11">
        <v>3</v>
      </c>
      <c r="O172" s="11">
        <v>3</v>
      </c>
      <c r="P172" s="11">
        <v>4</v>
      </c>
      <c r="Q172" s="11">
        <v>3</v>
      </c>
      <c r="R172" s="11">
        <v>2</v>
      </c>
      <c r="S172" s="11">
        <v>3</v>
      </c>
      <c r="T172" s="11">
        <v>4</v>
      </c>
      <c r="U172" s="10">
        <v>3</v>
      </c>
      <c r="V172" s="6">
        <f t="shared" si="12"/>
        <v>17.968379889305751</v>
      </c>
      <c r="W172" s="6">
        <f t="shared" si="13"/>
        <v>8.5984430977832105</v>
      </c>
      <c r="X172" s="6">
        <f t="shared" si="14"/>
        <v>18.555259382531151</v>
      </c>
      <c r="Y172" s="6">
        <f t="shared" si="15"/>
        <v>19.12069994794679</v>
      </c>
      <c r="Z172" s="6">
        <f t="shared" si="16"/>
        <v>8.5984430977832105</v>
      </c>
      <c r="AA172" s="6">
        <f t="shared" si="17"/>
        <v>2</v>
      </c>
    </row>
    <row r="173" spans="1:27">
      <c r="A173" s="11">
        <v>172</v>
      </c>
      <c r="B173" s="12">
        <v>3</v>
      </c>
      <c r="C173" s="11">
        <v>3</v>
      </c>
      <c r="D173" s="11">
        <v>2</v>
      </c>
      <c r="E173" s="11">
        <v>2</v>
      </c>
      <c r="F173" s="11">
        <v>5</v>
      </c>
      <c r="G173" s="11">
        <v>5</v>
      </c>
      <c r="H173" s="11">
        <v>5</v>
      </c>
      <c r="I173" s="11">
        <v>2</v>
      </c>
      <c r="J173" s="11">
        <v>2</v>
      </c>
      <c r="K173" s="11">
        <v>3</v>
      </c>
      <c r="L173" s="11">
        <v>2</v>
      </c>
      <c r="M173" s="11">
        <v>2</v>
      </c>
      <c r="N173" s="11">
        <v>2</v>
      </c>
      <c r="O173" s="11">
        <v>5</v>
      </c>
      <c r="P173" s="11">
        <v>4</v>
      </c>
      <c r="Q173" s="11">
        <v>3</v>
      </c>
      <c r="R173" s="11">
        <v>3</v>
      </c>
      <c r="S173" s="11">
        <v>4</v>
      </c>
      <c r="T173" s="11">
        <v>3</v>
      </c>
      <c r="U173" s="10">
        <v>5</v>
      </c>
      <c r="V173" s="6">
        <f t="shared" si="12"/>
        <v>18.051727125335898</v>
      </c>
      <c r="W173" s="6">
        <f t="shared" si="13"/>
        <v>21.484553138551878</v>
      </c>
      <c r="X173" s="6">
        <f t="shared" si="14"/>
        <v>32.709209884122508</v>
      </c>
      <c r="Y173" s="6">
        <f t="shared" si="15"/>
        <v>29.079915142762765</v>
      </c>
      <c r="Z173" s="6">
        <f t="shared" si="16"/>
        <v>18.051727125335898</v>
      </c>
      <c r="AA173" s="6">
        <f t="shared" si="17"/>
        <v>1</v>
      </c>
    </row>
    <row r="174" spans="1:27">
      <c r="A174" s="11">
        <v>173</v>
      </c>
      <c r="B174" s="12">
        <v>3</v>
      </c>
      <c r="C174" s="11">
        <v>3</v>
      </c>
      <c r="D174" s="11">
        <v>2</v>
      </c>
      <c r="E174" s="11">
        <v>2</v>
      </c>
      <c r="F174" s="11">
        <v>3</v>
      </c>
      <c r="G174" s="11">
        <v>3</v>
      </c>
      <c r="H174" s="11">
        <v>3</v>
      </c>
      <c r="I174" s="11">
        <v>2</v>
      </c>
      <c r="J174" s="11">
        <v>2</v>
      </c>
      <c r="K174" s="11">
        <v>3</v>
      </c>
      <c r="L174" s="11">
        <v>2</v>
      </c>
      <c r="M174" s="11">
        <v>3</v>
      </c>
      <c r="N174" s="11">
        <v>2</v>
      </c>
      <c r="O174" s="11">
        <v>3</v>
      </c>
      <c r="P174" s="11">
        <v>3</v>
      </c>
      <c r="Q174" s="11">
        <v>3</v>
      </c>
      <c r="R174" s="11">
        <v>2</v>
      </c>
      <c r="S174" s="11">
        <v>2</v>
      </c>
      <c r="T174" s="11">
        <v>3</v>
      </c>
      <c r="U174" s="10">
        <v>3</v>
      </c>
      <c r="V174" s="6">
        <f t="shared" si="12"/>
        <v>9.2183223251919753</v>
      </c>
      <c r="W174" s="6">
        <f t="shared" si="13"/>
        <v>10.408509540923843</v>
      </c>
      <c r="X174" s="6">
        <f t="shared" si="14"/>
        <v>7.3574456220104469</v>
      </c>
      <c r="Y174" s="6">
        <f t="shared" si="15"/>
        <v>5.6717065113820206</v>
      </c>
      <c r="Z174" s="6">
        <f t="shared" si="16"/>
        <v>5.6717065113820206</v>
      </c>
      <c r="AA174" s="6">
        <f t="shared" si="17"/>
        <v>4</v>
      </c>
    </row>
    <row r="175" spans="1:27">
      <c r="A175" s="11">
        <v>174</v>
      </c>
      <c r="B175" s="12">
        <v>2</v>
      </c>
      <c r="C175" s="11">
        <v>4</v>
      </c>
      <c r="D175" s="11">
        <v>2</v>
      </c>
      <c r="E175" s="11">
        <v>1</v>
      </c>
      <c r="F175" s="11">
        <v>2</v>
      </c>
      <c r="G175" s="11">
        <v>3</v>
      </c>
      <c r="H175" s="11">
        <v>3</v>
      </c>
      <c r="I175" s="11">
        <v>2</v>
      </c>
      <c r="J175" s="11">
        <v>1</v>
      </c>
      <c r="K175" s="11">
        <v>1</v>
      </c>
      <c r="L175" s="11">
        <v>5</v>
      </c>
      <c r="M175" s="11">
        <v>4</v>
      </c>
      <c r="N175" s="11">
        <v>5</v>
      </c>
      <c r="O175" s="11">
        <v>5</v>
      </c>
      <c r="P175" s="11">
        <v>5</v>
      </c>
      <c r="Q175" s="11">
        <v>2</v>
      </c>
      <c r="R175" s="11">
        <v>4</v>
      </c>
      <c r="S175" s="11">
        <v>2</v>
      </c>
      <c r="T175" s="11">
        <v>5</v>
      </c>
      <c r="U175" s="10">
        <v>2</v>
      </c>
      <c r="V175" s="6">
        <f t="shared" si="12"/>
        <v>56.718373926779655</v>
      </c>
      <c r="W175" s="6">
        <f t="shared" si="13"/>
        <v>43.446494667495031</v>
      </c>
      <c r="X175" s="6">
        <f t="shared" si="14"/>
        <v>39.577286292401958</v>
      </c>
      <c r="Y175" s="6">
        <f t="shared" si="15"/>
        <v>49.161527356746532</v>
      </c>
      <c r="Z175" s="6">
        <f t="shared" si="16"/>
        <v>39.577286292401958</v>
      </c>
      <c r="AA175" s="6">
        <f t="shared" si="17"/>
        <v>3</v>
      </c>
    </row>
    <row r="176" spans="1:27">
      <c r="A176" s="11">
        <v>175</v>
      </c>
      <c r="B176" s="12">
        <v>1</v>
      </c>
      <c r="C176" s="11">
        <v>1</v>
      </c>
      <c r="D176" s="11">
        <v>1</v>
      </c>
      <c r="E176" s="11">
        <v>1</v>
      </c>
      <c r="F176" s="11">
        <v>5</v>
      </c>
      <c r="G176" s="11">
        <v>1</v>
      </c>
      <c r="H176" s="11">
        <v>1</v>
      </c>
      <c r="I176" s="11">
        <v>4</v>
      </c>
      <c r="J176" s="11">
        <v>1</v>
      </c>
      <c r="K176" s="11">
        <v>5</v>
      </c>
      <c r="L176" s="11">
        <v>1</v>
      </c>
      <c r="M176" s="11">
        <v>1</v>
      </c>
      <c r="N176" s="11">
        <v>4</v>
      </c>
      <c r="O176" s="11">
        <v>2</v>
      </c>
      <c r="P176" s="11">
        <v>5</v>
      </c>
      <c r="Q176" s="11">
        <v>4</v>
      </c>
      <c r="R176" s="11">
        <v>3</v>
      </c>
      <c r="S176" s="11">
        <v>3</v>
      </c>
      <c r="T176" s="11">
        <v>3</v>
      </c>
      <c r="U176" s="10">
        <v>2</v>
      </c>
      <c r="V176" s="6">
        <f t="shared" si="12"/>
        <v>46.162769749485925</v>
      </c>
      <c r="W176" s="6">
        <f t="shared" si="13"/>
        <v>53.205960908149606</v>
      </c>
      <c r="X176" s="6">
        <f t="shared" si="14"/>
        <v>42.467311772992694</v>
      </c>
      <c r="Y176" s="6">
        <f t="shared" si="15"/>
        <v>48.100214480516783</v>
      </c>
      <c r="Z176" s="6">
        <f t="shared" si="16"/>
        <v>42.467311772992694</v>
      </c>
      <c r="AA176" s="6">
        <f t="shared" si="17"/>
        <v>3</v>
      </c>
    </row>
    <row r="177" spans="1:27">
      <c r="A177" s="11">
        <v>176</v>
      </c>
      <c r="B177" s="12">
        <v>5</v>
      </c>
      <c r="C177" s="11">
        <v>1</v>
      </c>
      <c r="D177" s="11">
        <v>2</v>
      </c>
      <c r="E177" s="11">
        <v>3</v>
      </c>
      <c r="F177" s="11">
        <v>2</v>
      </c>
      <c r="G177" s="11">
        <v>3</v>
      </c>
      <c r="H177" s="11">
        <v>1</v>
      </c>
      <c r="I177" s="11">
        <v>3</v>
      </c>
      <c r="J177" s="11">
        <v>4</v>
      </c>
      <c r="K177" s="11">
        <v>2</v>
      </c>
      <c r="L177" s="11">
        <v>1</v>
      </c>
      <c r="M177" s="11">
        <v>4</v>
      </c>
      <c r="N177" s="11">
        <v>3</v>
      </c>
      <c r="O177" s="11">
        <v>2</v>
      </c>
      <c r="P177" s="11">
        <v>1</v>
      </c>
      <c r="Q177" s="11">
        <v>3</v>
      </c>
      <c r="R177" s="11">
        <v>2</v>
      </c>
      <c r="S177" s="11">
        <v>3</v>
      </c>
      <c r="T177" s="11">
        <v>3</v>
      </c>
      <c r="U177" s="10">
        <v>2</v>
      </c>
      <c r="V177" s="6">
        <f t="shared" si="12"/>
        <v>42.912713656244627</v>
      </c>
      <c r="W177" s="6">
        <f t="shared" si="13"/>
        <v>36.459150272802184</v>
      </c>
      <c r="X177" s="6">
        <f t="shared" si="14"/>
        <v>34.148607058374722</v>
      </c>
      <c r="Y177" s="6">
        <f t="shared" si="15"/>
        <v>29.243198711621957</v>
      </c>
      <c r="Z177" s="6">
        <f t="shared" si="16"/>
        <v>29.243198711621957</v>
      </c>
      <c r="AA177" s="6">
        <f t="shared" si="17"/>
        <v>4</v>
      </c>
    </row>
    <row r="178" spans="1:27">
      <c r="A178" s="11">
        <v>177</v>
      </c>
      <c r="B178" s="12">
        <v>1</v>
      </c>
      <c r="C178" s="11">
        <v>1</v>
      </c>
      <c r="D178" s="11">
        <v>1</v>
      </c>
      <c r="E178" s="11">
        <v>1</v>
      </c>
      <c r="F178" s="11">
        <v>1</v>
      </c>
      <c r="G178" s="11">
        <v>5</v>
      </c>
      <c r="H178" s="11">
        <v>1</v>
      </c>
      <c r="I178" s="11">
        <v>1</v>
      </c>
      <c r="J178" s="11">
        <v>1</v>
      </c>
      <c r="K178" s="11">
        <v>1</v>
      </c>
      <c r="L178" s="11">
        <v>1</v>
      </c>
      <c r="M178" s="11">
        <v>1</v>
      </c>
      <c r="N178" s="11">
        <v>2</v>
      </c>
      <c r="O178" s="11">
        <v>4</v>
      </c>
      <c r="P178" s="11">
        <v>5</v>
      </c>
      <c r="Q178" s="11">
        <v>1</v>
      </c>
      <c r="R178" s="11">
        <v>1</v>
      </c>
      <c r="S178" s="11">
        <v>4</v>
      </c>
      <c r="T178" s="11">
        <v>4</v>
      </c>
      <c r="U178" s="10">
        <v>4</v>
      </c>
      <c r="V178" s="6">
        <f t="shared" si="12"/>
        <v>43.496011059867008</v>
      </c>
      <c r="W178" s="6">
        <f t="shared" si="13"/>
        <v>61.686969385593635</v>
      </c>
      <c r="X178" s="6">
        <f t="shared" si="14"/>
        <v>40.687149428488169</v>
      </c>
      <c r="Y178" s="6">
        <f t="shared" si="15"/>
        <v>33.243095244877466</v>
      </c>
      <c r="Z178" s="6">
        <f t="shared" si="16"/>
        <v>33.243095244877466</v>
      </c>
      <c r="AA178" s="6">
        <f t="shared" si="17"/>
        <v>4</v>
      </c>
    </row>
    <row r="179" spans="1:27">
      <c r="A179" s="11">
        <v>178</v>
      </c>
      <c r="B179" s="12">
        <v>3</v>
      </c>
      <c r="C179" s="11">
        <v>2</v>
      </c>
      <c r="D179" s="11">
        <v>2</v>
      </c>
      <c r="E179" s="11">
        <v>3</v>
      </c>
      <c r="F179" s="11">
        <v>4</v>
      </c>
      <c r="G179" s="11">
        <v>3</v>
      </c>
      <c r="H179" s="11">
        <v>3</v>
      </c>
      <c r="I179" s="11">
        <v>3</v>
      </c>
      <c r="J179" s="11">
        <v>2</v>
      </c>
      <c r="K179" s="11">
        <v>3</v>
      </c>
      <c r="L179" s="11">
        <v>3</v>
      </c>
      <c r="M179" s="11">
        <v>3</v>
      </c>
      <c r="N179" s="11">
        <v>3</v>
      </c>
      <c r="O179" s="11">
        <v>3</v>
      </c>
      <c r="P179" s="11">
        <v>2</v>
      </c>
      <c r="Q179" s="11">
        <v>2</v>
      </c>
      <c r="R179" s="11">
        <v>4</v>
      </c>
      <c r="S179" s="11">
        <v>4</v>
      </c>
      <c r="T179" s="11">
        <v>3</v>
      </c>
      <c r="U179" s="10">
        <v>2</v>
      </c>
      <c r="V179" s="6">
        <f t="shared" si="12"/>
        <v>19.023909804098849</v>
      </c>
      <c r="W179" s="6">
        <f t="shared" si="13"/>
        <v>10.243979247604717</v>
      </c>
      <c r="X179" s="6">
        <f t="shared" si="14"/>
        <v>16.533260106248406</v>
      </c>
      <c r="Y179" s="6">
        <f t="shared" si="15"/>
        <v>16.263589193647928</v>
      </c>
      <c r="Z179" s="6">
        <f t="shared" si="16"/>
        <v>10.243979247604717</v>
      </c>
      <c r="AA179" s="6">
        <f t="shared" si="17"/>
        <v>2</v>
      </c>
    </row>
    <row r="180" spans="1:27">
      <c r="A180" s="11">
        <v>179</v>
      </c>
      <c r="B180" s="12">
        <v>5</v>
      </c>
      <c r="C180" s="11">
        <v>1</v>
      </c>
      <c r="D180" s="11">
        <v>1</v>
      </c>
      <c r="E180" s="11">
        <v>1</v>
      </c>
      <c r="F180" s="11">
        <v>2</v>
      </c>
      <c r="G180" s="11">
        <v>3</v>
      </c>
      <c r="H180" s="11">
        <v>4</v>
      </c>
      <c r="I180" s="11">
        <v>2</v>
      </c>
      <c r="J180" s="11">
        <v>2</v>
      </c>
      <c r="K180" s="11">
        <v>4</v>
      </c>
      <c r="L180" s="11">
        <v>3</v>
      </c>
      <c r="M180" s="11">
        <v>2</v>
      </c>
      <c r="N180" s="11">
        <v>4</v>
      </c>
      <c r="O180" s="11">
        <v>2</v>
      </c>
      <c r="P180" s="11">
        <v>4</v>
      </c>
      <c r="Q180" s="11">
        <v>1</v>
      </c>
      <c r="R180" s="11">
        <v>5</v>
      </c>
      <c r="S180" s="11">
        <v>1</v>
      </c>
      <c r="T180" s="11">
        <v>5</v>
      </c>
      <c r="U180" s="10">
        <v>3</v>
      </c>
      <c r="V180" s="6">
        <f t="shared" si="12"/>
        <v>51.60724238919348</v>
      </c>
      <c r="W180" s="6">
        <f t="shared" si="13"/>
        <v>42.800978208512404</v>
      </c>
      <c r="X180" s="6">
        <f t="shared" si="14"/>
        <v>28.423429162317774</v>
      </c>
      <c r="Y180" s="6">
        <f t="shared" si="15"/>
        <v>38.671691335679284</v>
      </c>
      <c r="Z180" s="6">
        <f t="shared" si="16"/>
        <v>28.423429162317774</v>
      </c>
      <c r="AA180" s="6">
        <f t="shared" si="17"/>
        <v>3</v>
      </c>
    </row>
    <row r="181" spans="1:27">
      <c r="A181" s="11">
        <v>180</v>
      </c>
      <c r="B181" s="12">
        <v>3</v>
      </c>
      <c r="C181" s="11">
        <v>2</v>
      </c>
      <c r="D181" s="11">
        <v>2</v>
      </c>
      <c r="E181" s="11">
        <v>2</v>
      </c>
      <c r="F181" s="11">
        <v>3</v>
      </c>
      <c r="G181" s="11">
        <v>4</v>
      </c>
      <c r="H181" s="11">
        <v>3</v>
      </c>
      <c r="I181" s="11">
        <v>2</v>
      </c>
      <c r="J181" s="11">
        <v>2</v>
      </c>
      <c r="K181" s="11">
        <v>3</v>
      </c>
      <c r="L181" s="11">
        <v>2</v>
      </c>
      <c r="M181" s="11">
        <v>2</v>
      </c>
      <c r="N181" s="11">
        <v>3</v>
      </c>
      <c r="O181" s="11">
        <v>4</v>
      </c>
      <c r="P181" s="11">
        <v>4</v>
      </c>
      <c r="Q181" s="11">
        <v>3</v>
      </c>
      <c r="R181" s="11">
        <v>3</v>
      </c>
      <c r="S181" s="11">
        <v>2</v>
      </c>
      <c r="T181" s="11">
        <v>2</v>
      </c>
      <c r="U181" s="10">
        <v>4</v>
      </c>
      <c r="V181" s="6">
        <f t="shared" si="12"/>
        <v>6.9683674750902913</v>
      </c>
      <c r="W181" s="6">
        <f t="shared" si="13"/>
        <v>13.054115438583658</v>
      </c>
      <c r="X181" s="6">
        <f t="shared" si="14"/>
        <v>8.1377031226005769</v>
      </c>
      <c r="Y181" s="6">
        <f t="shared" si="15"/>
        <v>8.508438612595624</v>
      </c>
      <c r="Z181" s="6">
        <f t="shared" si="16"/>
        <v>6.9683674750902913</v>
      </c>
      <c r="AA181" s="6">
        <f t="shared" si="17"/>
        <v>1</v>
      </c>
    </row>
    <row r="182" spans="1:27">
      <c r="A182" s="11">
        <v>181</v>
      </c>
      <c r="B182" s="12">
        <v>2</v>
      </c>
      <c r="C182" s="11">
        <v>3</v>
      </c>
      <c r="D182" s="11">
        <v>1</v>
      </c>
      <c r="E182" s="11">
        <v>3</v>
      </c>
      <c r="F182" s="11">
        <v>5</v>
      </c>
      <c r="G182" s="11">
        <v>4</v>
      </c>
      <c r="H182" s="11">
        <v>3</v>
      </c>
      <c r="I182" s="11">
        <v>2</v>
      </c>
      <c r="J182" s="11">
        <v>1</v>
      </c>
      <c r="K182" s="11">
        <v>3</v>
      </c>
      <c r="L182" s="11">
        <v>2</v>
      </c>
      <c r="M182" s="11">
        <v>2</v>
      </c>
      <c r="N182" s="11">
        <v>2</v>
      </c>
      <c r="O182" s="11">
        <v>4</v>
      </c>
      <c r="P182" s="11">
        <v>4</v>
      </c>
      <c r="Q182" s="11">
        <v>2</v>
      </c>
      <c r="R182" s="11">
        <v>1</v>
      </c>
      <c r="S182" s="11">
        <v>3</v>
      </c>
      <c r="T182" s="11">
        <v>2</v>
      </c>
      <c r="U182" s="10">
        <v>4</v>
      </c>
      <c r="V182" s="6">
        <f t="shared" si="12"/>
        <v>8.3850120987220418</v>
      </c>
      <c r="W182" s="6">
        <f t="shared" si="13"/>
        <v>22.800936470902144</v>
      </c>
      <c r="X182" s="6">
        <f t="shared" si="14"/>
        <v>19.654229479165274</v>
      </c>
      <c r="Y182" s="6">
        <f t="shared" si="15"/>
        <v>18.263545475272956</v>
      </c>
      <c r="Z182" s="6">
        <f t="shared" si="16"/>
        <v>8.3850120987220418</v>
      </c>
      <c r="AA182" s="6">
        <f t="shared" si="17"/>
        <v>1</v>
      </c>
    </row>
    <row r="183" spans="1:27">
      <c r="A183" s="11">
        <v>182</v>
      </c>
      <c r="B183" s="12">
        <v>3</v>
      </c>
      <c r="C183" s="11">
        <v>2</v>
      </c>
      <c r="D183" s="11">
        <v>2</v>
      </c>
      <c r="E183" s="11">
        <v>3</v>
      </c>
      <c r="F183" s="11">
        <v>1</v>
      </c>
      <c r="G183" s="11">
        <v>3</v>
      </c>
      <c r="H183" s="11">
        <v>1</v>
      </c>
      <c r="I183" s="11">
        <v>4</v>
      </c>
      <c r="J183" s="11">
        <v>1</v>
      </c>
      <c r="K183" s="11">
        <v>4</v>
      </c>
      <c r="L183" s="11">
        <v>1</v>
      </c>
      <c r="M183" s="11">
        <v>1</v>
      </c>
      <c r="N183" s="11">
        <v>2</v>
      </c>
      <c r="O183" s="11">
        <v>2</v>
      </c>
      <c r="P183" s="11">
        <v>4</v>
      </c>
      <c r="Q183" s="11">
        <v>1</v>
      </c>
      <c r="R183" s="11">
        <v>2</v>
      </c>
      <c r="S183" s="11">
        <v>5</v>
      </c>
      <c r="T183" s="11">
        <v>2</v>
      </c>
      <c r="U183" s="10">
        <v>5</v>
      </c>
      <c r="V183" s="6">
        <f t="shared" si="12"/>
        <v>35.357189182105337</v>
      </c>
      <c r="W183" s="6">
        <f t="shared" si="13"/>
        <v>39.281978023755833</v>
      </c>
      <c r="X183" s="6">
        <f t="shared" si="14"/>
        <v>39.170638397955535</v>
      </c>
      <c r="Y183" s="6">
        <f t="shared" si="15"/>
        <v>24.896159514974421</v>
      </c>
      <c r="Z183" s="6">
        <f t="shared" si="16"/>
        <v>24.896159514974421</v>
      </c>
      <c r="AA183" s="6">
        <f t="shared" si="17"/>
        <v>4</v>
      </c>
    </row>
    <row r="184" spans="1:27">
      <c r="A184" s="11">
        <v>183</v>
      </c>
      <c r="B184" s="12">
        <v>3</v>
      </c>
      <c r="C184" s="11">
        <v>3</v>
      </c>
      <c r="D184" s="11">
        <v>1</v>
      </c>
      <c r="E184" s="11">
        <v>2</v>
      </c>
      <c r="F184" s="11">
        <v>2</v>
      </c>
      <c r="G184" s="11">
        <v>3</v>
      </c>
      <c r="H184" s="11">
        <v>3</v>
      </c>
      <c r="I184" s="11">
        <v>3</v>
      </c>
      <c r="J184" s="11">
        <v>1</v>
      </c>
      <c r="K184" s="11">
        <v>3</v>
      </c>
      <c r="L184" s="11">
        <v>1</v>
      </c>
      <c r="M184" s="11">
        <v>1</v>
      </c>
      <c r="N184" s="11">
        <v>3</v>
      </c>
      <c r="O184" s="11">
        <v>4</v>
      </c>
      <c r="P184" s="11">
        <v>3</v>
      </c>
      <c r="Q184" s="11">
        <v>2</v>
      </c>
      <c r="R184" s="11">
        <v>2</v>
      </c>
      <c r="S184" s="11">
        <v>2</v>
      </c>
      <c r="T184" s="11">
        <v>1</v>
      </c>
      <c r="U184" s="10">
        <v>1</v>
      </c>
      <c r="V184" s="6">
        <f t="shared" si="12"/>
        <v>19.579428396764058</v>
      </c>
      <c r="W184" s="6">
        <f t="shared" si="13"/>
        <v>36.155276020818569</v>
      </c>
      <c r="X184" s="6">
        <f t="shared" si="14"/>
        <v>12.060691044903551</v>
      </c>
      <c r="Y184" s="6">
        <f t="shared" si="15"/>
        <v>21.181883907237641</v>
      </c>
      <c r="Z184" s="6">
        <f t="shared" si="16"/>
        <v>12.060691044903551</v>
      </c>
      <c r="AA184" s="6">
        <f t="shared" si="17"/>
        <v>3</v>
      </c>
    </row>
    <row r="185" spans="1:27">
      <c r="A185" s="11">
        <v>184</v>
      </c>
      <c r="B185" s="12">
        <v>2</v>
      </c>
      <c r="C185" s="11">
        <v>3</v>
      </c>
      <c r="D185" s="11">
        <v>4</v>
      </c>
      <c r="E185" s="11">
        <v>3</v>
      </c>
      <c r="F185" s="11">
        <v>2</v>
      </c>
      <c r="G185" s="11">
        <v>3</v>
      </c>
      <c r="H185" s="11">
        <v>3</v>
      </c>
      <c r="I185" s="11">
        <v>2</v>
      </c>
      <c r="J185" s="11">
        <v>2</v>
      </c>
      <c r="K185" s="11">
        <v>2</v>
      </c>
      <c r="L185" s="11">
        <v>4</v>
      </c>
      <c r="M185" s="11">
        <v>3</v>
      </c>
      <c r="N185" s="11">
        <v>2</v>
      </c>
      <c r="O185" s="11">
        <v>2</v>
      </c>
      <c r="P185" s="11">
        <v>2</v>
      </c>
      <c r="Q185" s="11">
        <v>3</v>
      </c>
      <c r="R185" s="11">
        <v>2</v>
      </c>
      <c r="S185" s="11">
        <v>3</v>
      </c>
      <c r="T185" s="11">
        <v>2</v>
      </c>
      <c r="U185" s="10">
        <v>4</v>
      </c>
      <c r="V185" s="6">
        <f t="shared" si="12"/>
        <v>26.273899054934702</v>
      </c>
      <c r="W185" s="6">
        <f t="shared" si="13"/>
        <v>15.357877355753226</v>
      </c>
      <c r="X185" s="6">
        <f t="shared" si="14"/>
        <v>31.851896105656511</v>
      </c>
      <c r="Y185" s="6">
        <f t="shared" si="15"/>
        <v>15.528864394690054</v>
      </c>
      <c r="Z185" s="6">
        <f t="shared" si="16"/>
        <v>15.357877355753226</v>
      </c>
      <c r="AA185" s="6">
        <f t="shared" si="17"/>
        <v>2</v>
      </c>
    </row>
    <row r="186" spans="1:27">
      <c r="A186" s="11">
        <v>185</v>
      </c>
      <c r="B186" s="12">
        <v>5</v>
      </c>
      <c r="C186" s="11">
        <v>2</v>
      </c>
      <c r="D186" s="11">
        <v>4</v>
      </c>
      <c r="E186" s="11">
        <v>4</v>
      </c>
      <c r="F186" s="11">
        <v>4</v>
      </c>
      <c r="G186" s="11">
        <v>5</v>
      </c>
      <c r="H186" s="11">
        <v>3</v>
      </c>
      <c r="I186" s="11">
        <v>4</v>
      </c>
      <c r="J186" s="11">
        <v>5</v>
      </c>
      <c r="K186" s="11">
        <v>4</v>
      </c>
      <c r="L186" s="11">
        <v>1</v>
      </c>
      <c r="M186" s="11">
        <v>4</v>
      </c>
      <c r="N186" s="11">
        <v>4</v>
      </c>
      <c r="O186" s="11">
        <v>1</v>
      </c>
      <c r="P186" s="11">
        <v>5</v>
      </c>
      <c r="Q186" s="11">
        <v>1</v>
      </c>
      <c r="R186" s="11">
        <v>5</v>
      </c>
      <c r="S186" s="11">
        <v>4</v>
      </c>
      <c r="T186" s="11">
        <v>2</v>
      </c>
      <c r="U186" s="10">
        <v>4</v>
      </c>
      <c r="V186" s="6">
        <f t="shared" si="12"/>
        <v>64.773981360612794</v>
      </c>
      <c r="W186" s="6">
        <f t="shared" si="13"/>
        <v>41.104889930665365</v>
      </c>
      <c r="X186" s="6">
        <f t="shared" si="14"/>
        <v>63.148675514798242</v>
      </c>
      <c r="Y186" s="6">
        <f t="shared" si="15"/>
        <v>58.202392037569041</v>
      </c>
      <c r="Z186" s="6">
        <f t="shared" si="16"/>
        <v>41.104889930665365</v>
      </c>
      <c r="AA186" s="6">
        <f t="shared" si="17"/>
        <v>2</v>
      </c>
    </row>
    <row r="187" spans="1:27">
      <c r="A187" s="11">
        <v>186</v>
      </c>
      <c r="B187" s="12">
        <v>2</v>
      </c>
      <c r="C187" s="11">
        <v>2</v>
      </c>
      <c r="D187" s="11">
        <v>2</v>
      </c>
      <c r="E187" s="11">
        <v>4</v>
      </c>
      <c r="F187" s="11">
        <v>4</v>
      </c>
      <c r="G187" s="11">
        <v>3</v>
      </c>
      <c r="H187" s="11">
        <v>4</v>
      </c>
      <c r="I187" s="11">
        <v>3</v>
      </c>
      <c r="J187" s="11">
        <v>2</v>
      </c>
      <c r="K187" s="11">
        <v>3</v>
      </c>
      <c r="L187" s="11">
        <v>2</v>
      </c>
      <c r="M187" s="11">
        <v>1</v>
      </c>
      <c r="N187" s="11">
        <v>2</v>
      </c>
      <c r="O187" s="11">
        <v>4</v>
      </c>
      <c r="P187" s="11">
        <v>4</v>
      </c>
      <c r="Q187" s="11">
        <v>5</v>
      </c>
      <c r="R187" s="11">
        <v>3</v>
      </c>
      <c r="S187" s="11">
        <v>2</v>
      </c>
      <c r="T187" s="11">
        <v>2</v>
      </c>
      <c r="U187" s="10">
        <v>3</v>
      </c>
      <c r="V187" s="6">
        <f t="shared" si="12"/>
        <v>9.1628601957387499</v>
      </c>
      <c r="W187" s="6">
        <f t="shared" si="13"/>
        <v>20.902186214465178</v>
      </c>
      <c r="X187" s="6">
        <f t="shared" si="14"/>
        <v>21.830004687137158</v>
      </c>
      <c r="Y187" s="6">
        <f t="shared" si="15"/>
        <v>25.304376278032855</v>
      </c>
      <c r="Z187" s="6">
        <f t="shared" si="16"/>
        <v>9.1628601957387499</v>
      </c>
      <c r="AA187" s="6">
        <f t="shared" si="17"/>
        <v>1</v>
      </c>
    </row>
    <row r="188" spans="1:27">
      <c r="A188" s="11">
        <v>187</v>
      </c>
      <c r="B188" s="12">
        <v>4</v>
      </c>
      <c r="C188" s="11">
        <v>2</v>
      </c>
      <c r="D188" s="11">
        <v>2</v>
      </c>
      <c r="E188" s="11">
        <v>4</v>
      </c>
      <c r="F188" s="11">
        <v>4</v>
      </c>
      <c r="G188" s="11">
        <v>2</v>
      </c>
      <c r="H188" s="11">
        <v>3</v>
      </c>
      <c r="I188" s="11">
        <v>1</v>
      </c>
      <c r="J188" s="11">
        <v>1</v>
      </c>
      <c r="K188" s="11">
        <v>2</v>
      </c>
      <c r="L188" s="11">
        <v>2</v>
      </c>
      <c r="M188" s="11">
        <v>4</v>
      </c>
      <c r="N188" s="11">
        <v>2</v>
      </c>
      <c r="O188" s="11">
        <v>4</v>
      </c>
      <c r="P188" s="11">
        <v>4</v>
      </c>
      <c r="Q188" s="11">
        <v>1</v>
      </c>
      <c r="R188" s="11">
        <v>2</v>
      </c>
      <c r="S188" s="11">
        <v>1</v>
      </c>
      <c r="T188" s="11">
        <v>3</v>
      </c>
      <c r="U188" s="10">
        <v>1</v>
      </c>
      <c r="V188" s="6">
        <f t="shared" si="12"/>
        <v>26.690566612913152</v>
      </c>
      <c r="W188" s="6">
        <f t="shared" si="13"/>
        <v>35.788229364756788</v>
      </c>
      <c r="X188" s="6">
        <f t="shared" si="14"/>
        <v>16.335418430326619</v>
      </c>
      <c r="Y188" s="6">
        <f t="shared" si="15"/>
        <v>27.73293458613287</v>
      </c>
      <c r="Z188" s="6">
        <f t="shared" si="16"/>
        <v>16.335418430326619</v>
      </c>
      <c r="AA188" s="6">
        <f t="shared" si="17"/>
        <v>3</v>
      </c>
    </row>
    <row r="189" spans="1:27">
      <c r="A189" s="11">
        <v>188</v>
      </c>
      <c r="B189" s="12">
        <v>2</v>
      </c>
      <c r="C189" s="11">
        <v>2</v>
      </c>
      <c r="D189" s="11">
        <v>2</v>
      </c>
      <c r="E189" s="11">
        <v>1</v>
      </c>
      <c r="F189" s="11">
        <v>2</v>
      </c>
      <c r="G189" s="11">
        <v>2</v>
      </c>
      <c r="H189" s="11">
        <v>1</v>
      </c>
      <c r="I189" s="11">
        <v>2</v>
      </c>
      <c r="J189" s="11">
        <v>3</v>
      </c>
      <c r="K189" s="11">
        <v>2</v>
      </c>
      <c r="L189" s="11">
        <v>1</v>
      </c>
      <c r="M189" s="11">
        <v>2</v>
      </c>
      <c r="N189" s="11">
        <v>3</v>
      </c>
      <c r="O189" s="11">
        <v>1</v>
      </c>
      <c r="P189" s="11">
        <v>3</v>
      </c>
      <c r="Q189" s="11">
        <v>2</v>
      </c>
      <c r="R189" s="11">
        <v>1</v>
      </c>
      <c r="S189" s="11">
        <v>3</v>
      </c>
      <c r="T189" s="11">
        <v>2</v>
      </c>
      <c r="U189" s="10">
        <v>1</v>
      </c>
      <c r="V189" s="6">
        <f t="shared" si="12"/>
        <v>39.551564470736842</v>
      </c>
      <c r="W189" s="6">
        <f t="shared" si="13"/>
        <v>41.446402553331552</v>
      </c>
      <c r="X189" s="6">
        <f t="shared" si="14"/>
        <v>26.016662654338681</v>
      </c>
      <c r="Y189" s="6">
        <f t="shared" si="15"/>
        <v>21.243106512841091</v>
      </c>
      <c r="Z189" s="6">
        <f t="shared" si="16"/>
        <v>21.243106512841091</v>
      </c>
      <c r="AA189" s="6">
        <f t="shared" si="17"/>
        <v>4</v>
      </c>
    </row>
    <row r="190" spans="1:27">
      <c r="A190" s="11">
        <v>189</v>
      </c>
      <c r="B190" s="12">
        <v>2</v>
      </c>
      <c r="C190" s="11">
        <v>1</v>
      </c>
      <c r="D190" s="11">
        <v>1</v>
      </c>
      <c r="E190" s="11">
        <v>2</v>
      </c>
      <c r="F190" s="11">
        <v>1</v>
      </c>
      <c r="G190" s="11">
        <v>4</v>
      </c>
      <c r="H190" s="11">
        <v>3</v>
      </c>
      <c r="I190" s="11">
        <v>3</v>
      </c>
      <c r="J190" s="11">
        <v>2</v>
      </c>
      <c r="K190" s="11">
        <v>4</v>
      </c>
      <c r="L190" s="11">
        <v>2</v>
      </c>
      <c r="M190" s="11">
        <v>3</v>
      </c>
      <c r="N190" s="11">
        <v>3</v>
      </c>
      <c r="O190" s="11">
        <v>4</v>
      </c>
      <c r="P190" s="11">
        <v>5</v>
      </c>
      <c r="Q190" s="11">
        <v>1</v>
      </c>
      <c r="R190" s="11">
        <v>2</v>
      </c>
      <c r="S190" s="11">
        <v>2</v>
      </c>
      <c r="T190" s="11">
        <v>3</v>
      </c>
      <c r="U190" s="10">
        <v>1</v>
      </c>
      <c r="V190" s="6">
        <f t="shared" si="12"/>
        <v>28.496100241693814</v>
      </c>
      <c r="W190" s="6">
        <f t="shared" si="13"/>
        <v>37.889519425480955</v>
      </c>
      <c r="X190" s="6">
        <f t="shared" si="14"/>
        <v>12.687113196756661</v>
      </c>
      <c r="Y190" s="6">
        <f t="shared" si="15"/>
        <v>25.263509487679517</v>
      </c>
      <c r="Z190" s="6">
        <f t="shared" si="16"/>
        <v>12.687113196756661</v>
      </c>
      <c r="AA190" s="6">
        <f t="shared" si="17"/>
        <v>3</v>
      </c>
    </row>
    <row r="191" spans="1:27">
      <c r="A191" s="11">
        <v>190</v>
      </c>
      <c r="B191" s="12">
        <v>2</v>
      </c>
      <c r="C191" s="11">
        <v>2</v>
      </c>
      <c r="D191" s="11">
        <v>4</v>
      </c>
      <c r="E191" s="11">
        <v>2</v>
      </c>
      <c r="F191" s="11">
        <v>5</v>
      </c>
      <c r="G191" s="11">
        <v>3</v>
      </c>
      <c r="H191" s="11">
        <v>3</v>
      </c>
      <c r="I191" s="11">
        <v>2</v>
      </c>
      <c r="J191" s="11">
        <v>2</v>
      </c>
      <c r="K191" s="11">
        <v>2</v>
      </c>
      <c r="L191" s="11">
        <v>2</v>
      </c>
      <c r="M191" s="11">
        <v>3</v>
      </c>
      <c r="N191" s="11">
        <v>4</v>
      </c>
      <c r="O191" s="11">
        <v>3</v>
      </c>
      <c r="P191" s="11">
        <v>2</v>
      </c>
      <c r="Q191" s="11">
        <v>2</v>
      </c>
      <c r="R191" s="11">
        <v>3</v>
      </c>
      <c r="S191" s="11">
        <v>3</v>
      </c>
      <c r="T191" s="11">
        <v>3</v>
      </c>
      <c r="U191" s="10">
        <v>4</v>
      </c>
      <c r="V191" s="6">
        <f t="shared" si="12"/>
        <v>23.440552471149527</v>
      </c>
      <c r="W191" s="6">
        <f t="shared" si="13"/>
        <v>13.142723287366691</v>
      </c>
      <c r="X191" s="6">
        <f t="shared" si="14"/>
        <v>27.972781557307648</v>
      </c>
      <c r="Y191" s="6">
        <f t="shared" si="15"/>
        <v>16.161530092211642</v>
      </c>
      <c r="Z191" s="6">
        <f t="shared" si="16"/>
        <v>13.142723287366691</v>
      </c>
      <c r="AA191" s="6">
        <f t="shared" si="17"/>
        <v>2</v>
      </c>
    </row>
    <row r="192" spans="1:27">
      <c r="A192" s="11">
        <v>191</v>
      </c>
      <c r="B192" s="12">
        <v>2</v>
      </c>
      <c r="C192" s="11">
        <v>3</v>
      </c>
      <c r="D192" s="11">
        <v>3</v>
      </c>
      <c r="E192" s="11">
        <v>2</v>
      </c>
      <c r="F192" s="11">
        <v>3</v>
      </c>
      <c r="G192" s="11">
        <v>3</v>
      </c>
      <c r="H192" s="11">
        <v>2</v>
      </c>
      <c r="I192" s="11">
        <v>2</v>
      </c>
      <c r="J192" s="11">
        <v>2</v>
      </c>
      <c r="K192" s="11">
        <v>1</v>
      </c>
      <c r="L192" s="11">
        <v>2</v>
      </c>
      <c r="M192" s="11">
        <v>2</v>
      </c>
      <c r="N192" s="11">
        <v>2</v>
      </c>
      <c r="O192" s="11">
        <v>4</v>
      </c>
      <c r="P192" s="11">
        <v>4</v>
      </c>
      <c r="Q192" s="11">
        <v>3</v>
      </c>
      <c r="R192" s="11">
        <v>2</v>
      </c>
      <c r="S192" s="11">
        <v>3</v>
      </c>
      <c r="T192" s="11">
        <v>2</v>
      </c>
      <c r="U192" s="10">
        <v>5</v>
      </c>
      <c r="V192" s="6">
        <f t="shared" si="12"/>
        <v>15.051668953604141</v>
      </c>
      <c r="W192" s="6">
        <f t="shared" si="13"/>
        <v>18.054092447948168</v>
      </c>
      <c r="X192" s="6">
        <f t="shared" si="14"/>
        <v>23.489332043790355</v>
      </c>
      <c r="Y192" s="6">
        <f t="shared" si="15"/>
        <v>10.304363033635362</v>
      </c>
      <c r="Z192" s="6">
        <f t="shared" si="16"/>
        <v>10.304363033635362</v>
      </c>
      <c r="AA192" s="6">
        <f t="shared" si="17"/>
        <v>4</v>
      </c>
    </row>
    <row r="193" spans="1:27">
      <c r="A193" s="11">
        <v>192</v>
      </c>
      <c r="B193" s="12">
        <v>3</v>
      </c>
      <c r="C193" s="11">
        <v>4</v>
      </c>
      <c r="D193" s="11">
        <v>5</v>
      </c>
      <c r="E193" s="11">
        <v>2</v>
      </c>
      <c r="F193" s="11">
        <v>3</v>
      </c>
      <c r="G193" s="11">
        <v>2</v>
      </c>
      <c r="H193" s="11">
        <v>2</v>
      </c>
      <c r="I193" s="11">
        <v>1</v>
      </c>
      <c r="J193" s="11">
        <v>1</v>
      </c>
      <c r="K193" s="11">
        <v>4</v>
      </c>
      <c r="L193" s="11">
        <v>1</v>
      </c>
      <c r="M193" s="11">
        <v>4</v>
      </c>
      <c r="N193" s="11">
        <v>5</v>
      </c>
      <c r="O193" s="11">
        <v>5</v>
      </c>
      <c r="P193" s="11">
        <v>5</v>
      </c>
      <c r="Q193" s="11">
        <v>1</v>
      </c>
      <c r="R193" s="11">
        <v>1</v>
      </c>
      <c r="S193" s="11">
        <v>5</v>
      </c>
      <c r="T193" s="11">
        <v>1</v>
      </c>
      <c r="U193" s="10">
        <v>4</v>
      </c>
      <c r="V193" s="6">
        <f t="shared" si="12"/>
        <v>50.801669194539571</v>
      </c>
      <c r="W193" s="6">
        <f t="shared" si="13"/>
        <v>47.459223043086453</v>
      </c>
      <c r="X193" s="6">
        <f t="shared" si="14"/>
        <v>53.654050641191958</v>
      </c>
      <c r="Y193" s="6">
        <f t="shared" si="15"/>
        <v>45.651281028357758</v>
      </c>
      <c r="Z193" s="6">
        <f t="shared" si="16"/>
        <v>45.651281028357758</v>
      </c>
      <c r="AA193" s="6">
        <f t="shared" si="17"/>
        <v>4</v>
      </c>
    </row>
    <row r="194" spans="1:27">
      <c r="A194" s="11">
        <v>193</v>
      </c>
      <c r="B194" s="12">
        <v>5</v>
      </c>
      <c r="C194" s="11">
        <v>4</v>
      </c>
      <c r="D194" s="11">
        <v>4</v>
      </c>
      <c r="E194" s="11">
        <v>4</v>
      </c>
      <c r="F194" s="11">
        <v>4</v>
      </c>
      <c r="G194" s="11">
        <v>4</v>
      </c>
      <c r="H194" s="11">
        <v>4</v>
      </c>
      <c r="I194" s="11">
        <v>5</v>
      </c>
      <c r="J194" s="11">
        <v>4</v>
      </c>
      <c r="K194" s="11">
        <v>4</v>
      </c>
      <c r="L194" s="11">
        <v>3</v>
      </c>
      <c r="M194" s="11">
        <v>4</v>
      </c>
      <c r="N194" s="11">
        <v>4</v>
      </c>
      <c r="O194" s="11">
        <v>3</v>
      </c>
      <c r="P194" s="11">
        <v>4</v>
      </c>
      <c r="Q194" s="11">
        <v>4</v>
      </c>
      <c r="R194" s="11">
        <v>3</v>
      </c>
      <c r="S194" s="11">
        <v>5</v>
      </c>
      <c r="T194" s="11">
        <v>3</v>
      </c>
      <c r="U194" s="10">
        <v>4</v>
      </c>
      <c r="V194" s="6">
        <f t="shared" ref="V194:V257" si="18">SUMXMY2($B194:$U194,AE$2:AE$21)</f>
        <v>47.662901780292614</v>
      </c>
      <c r="W194" s="6">
        <f t="shared" ref="W194:W257" si="19">SUMXMY2($B194:$U194,AF$2:AF$21)</f>
        <v>23.003618219562778</v>
      </c>
      <c r="X194" s="6">
        <f t="shared" ref="X194:X257" si="20">SUMXMY2($B194:$U194,AG$2:AG$21)</f>
        <v>58.994879920953096</v>
      </c>
      <c r="Y194" s="6">
        <f t="shared" ref="Y194:Y257" si="21">SUMXMY2($B194:$U194,AH$2:AH$21)</f>
        <v>54.671823924586185</v>
      </c>
      <c r="Z194" s="6">
        <f t="shared" ref="Z194:Z257" si="22">MIN(V194:Y194)</f>
        <v>23.003618219562778</v>
      </c>
      <c r="AA194" s="6">
        <f t="shared" si="17"/>
        <v>2</v>
      </c>
    </row>
    <row r="195" spans="1:27">
      <c r="A195" s="11">
        <v>194</v>
      </c>
      <c r="B195" s="12">
        <v>4</v>
      </c>
      <c r="C195" s="11">
        <v>4</v>
      </c>
      <c r="D195" s="11">
        <v>5</v>
      </c>
      <c r="E195" s="11">
        <v>4</v>
      </c>
      <c r="F195" s="11">
        <v>5</v>
      </c>
      <c r="G195" s="11">
        <v>3</v>
      </c>
      <c r="H195" s="11">
        <v>5</v>
      </c>
      <c r="I195" s="11">
        <v>3</v>
      </c>
      <c r="J195" s="11">
        <v>5</v>
      </c>
      <c r="K195" s="11">
        <v>4</v>
      </c>
      <c r="L195" s="11">
        <v>3</v>
      </c>
      <c r="M195" s="11">
        <v>4</v>
      </c>
      <c r="N195" s="11">
        <v>3</v>
      </c>
      <c r="O195" s="11">
        <v>4</v>
      </c>
      <c r="P195" s="11">
        <v>5</v>
      </c>
      <c r="Q195" s="11">
        <v>3</v>
      </c>
      <c r="R195" s="11">
        <v>4</v>
      </c>
      <c r="S195" s="11">
        <v>4</v>
      </c>
      <c r="T195" s="11">
        <v>5</v>
      </c>
      <c r="U195" s="10">
        <v>5</v>
      </c>
      <c r="V195" s="6">
        <f t="shared" si="18"/>
        <v>56.857367511377639</v>
      </c>
      <c r="W195" s="6">
        <f t="shared" si="19"/>
        <v>28.054306682014253</v>
      </c>
      <c r="X195" s="6">
        <f t="shared" si="20"/>
        <v>68.676216477810868</v>
      </c>
      <c r="Y195" s="6">
        <f t="shared" si="21"/>
        <v>63.692222887258701</v>
      </c>
      <c r="Z195" s="6">
        <f t="shared" si="22"/>
        <v>28.054306682014253</v>
      </c>
      <c r="AA195" s="6">
        <f t="shared" ref="AA195:AA258" si="23">IF(Z195=V195,1,IF(Z195=W195,2,IF(Z195=X195,3,4)))</f>
        <v>2</v>
      </c>
    </row>
    <row r="196" spans="1:27">
      <c r="A196" s="11">
        <v>195</v>
      </c>
      <c r="B196" s="12">
        <v>1</v>
      </c>
      <c r="C196" s="11">
        <v>5</v>
      </c>
      <c r="D196" s="11">
        <v>1</v>
      </c>
      <c r="E196" s="11">
        <v>5</v>
      </c>
      <c r="F196" s="11">
        <v>5</v>
      </c>
      <c r="G196" s="11">
        <v>2</v>
      </c>
      <c r="H196" s="11">
        <v>1</v>
      </c>
      <c r="I196" s="11">
        <v>1</v>
      </c>
      <c r="J196" s="11">
        <v>1</v>
      </c>
      <c r="K196" s="11">
        <v>3</v>
      </c>
      <c r="L196" s="11">
        <v>2</v>
      </c>
      <c r="M196" s="11">
        <v>1</v>
      </c>
      <c r="N196" s="11">
        <v>4</v>
      </c>
      <c r="O196" s="11">
        <v>3</v>
      </c>
      <c r="P196" s="11">
        <v>3</v>
      </c>
      <c r="Q196" s="11">
        <v>1</v>
      </c>
      <c r="R196" s="11">
        <v>3</v>
      </c>
      <c r="S196" s="11">
        <v>1</v>
      </c>
      <c r="T196" s="11">
        <v>3</v>
      </c>
      <c r="U196" s="10">
        <v>1</v>
      </c>
      <c r="V196" s="6">
        <f t="shared" si="18"/>
        <v>42.218348840715265</v>
      </c>
      <c r="W196" s="6">
        <f t="shared" si="19"/>
        <v>51.155311428743538</v>
      </c>
      <c r="X196" s="6">
        <f t="shared" si="20"/>
        <v>40.071720787503267</v>
      </c>
      <c r="Y196" s="6">
        <f t="shared" si="21"/>
        <v>52.222725353677049</v>
      </c>
      <c r="Z196" s="6">
        <f t="shared" si="22"/>
        <v>40.071720787503267</v>
      </c>
      <c r="AA196" s="6">
        <f t="shared" si="23"/>
        <v>3</v>
      </c>
    </row>
    <row r="197" spans="1:27">
      <c r="A197" s="11">
        <v>196</v>
      </c>
      <c r="B197" s="12">
        <v>2</v>
      </c>
      <c r="C197" s="11">
        <v>2</v>
      </c>
      <c r="D197" s="11">
        <v>4</v>
      </c>
      <c r="E197" s="11">
        <v>4</v>
      </c>
      <c r="F197" s="11">
        <v>2</v>
      </c>
      <c r="G197" s="11">
        <v>5</v>
      </c>
      <c r="H197" s="11">
        <v>2</v>
      </c>
      <c r="I197" s="11">
        <v>2</v>
      </c>
      <c r="J197" s="11">
        <v>2</v>
      </c>
      <c r="K197" s="11">
        <v>4</v>
      </c>
      <c r="L197" s="11">
        <v>2</v>
      </c>
      <c r="M197" s="11">
        <v>2</v>
      </c>
      <c r="N197" s="11">
        <v>2</v>
      </c>
      <c r="O197" s="11">
        <v>4</v>
      </c>
      <c r="P197" s="11">
        <v>2</v>
      </c>
      <c r="Q197" s="11">
        <v>2</v>
      </c>
      <c r="R197" s="11">
        <v>2</v>
      </c>
      <c r="S197" s="11">
        <v>4</v>
      </c>
      <c r="T197" s="11">
        <v>4</v>
      </c>
      <c r="U197" s="10">
        <v>4</v>
      </c>
      <c r="V197" s="6">
        <f t="shared" si="18"/>
        <v>20.773893809952025</v>
      </c>
      <c r="W197" s="6">
        <f t="shared" si="19"/>
        <v>19.687074256085729</v>
      </c>
      <c r="X197" s="6">
        <f t="shared" si="20"/>
        <v>31.873891190506402</v>
      </c>
      <c r="Y197" s="6">
        <f t="shared" si="21"/>
        <v>22.508464227015338</v>
      </c>
      <c r="Z197" s="6">
        <f t="shared" si="22"/>
        <v>19.687074256085729</v>
      </c>
      <c r="AA197" s="6">
        <f t="shared" si="23"/>
        <v>2</v>
      </c>
    </row>
    <row r="198" spans="1:27">
      <c r="A198" s="11">
        <v>197</v>
      </c>
      <c r="B198" s="12">
        <v>5</v>
      </c>
      <c r="C198" s="11">
        <v>2</v>
      </c>
      <c r="D198" s="11">
        <v>1</v>
      </c>
      <c r="E198" s="11">
        <v>3</v>
      </c>
      <c r="F198" s="11">
        <v>3</v>
      </c>
      <c r="G198" s="11">
        <v>5</v>
      </c>
      <c r="H198" s="11">
        <v>3</v>
      </c>
      <c r="I198" s="11">
        <v>2</v>
      </c>
      <c r="J198" s="11">
        <v>2</v>
      </c>
      <c r="K198" s="11">
        <v>2</v>
      </c>
      <c r="L198" s="11">
        <v>1</v>
      </c>
      <c r="M198" s="11">
        <v>3</v>
      </c>
      <c r="N198" s="11">
        <v>5</v>
      </c>
      <c r="O198" s="11">
        <v>4</v>
      </c>
      <c r="P198" s="11">
        <v>5</v>
      </c>
      <c r="Q198" s="11">
        <v>2</v>
      </c>
      <c r="R198" s="11">
        <v>2</v>
      </c>
      <c r="S198" s="11">
        <v>4</v>
      </c>
      <c r="T198" s="11">
        <v>3</v>
      </c>
      <c r="U198" s="10">
        <v>2</v>
      </c>
      <c r="V198" s="6">
        <f t="shared" si="18"/>
        <v>26.051673129297576</v>
      </c>
      <c r="W198" s="6">
        <f t="shared" si="19"/>
        <v>33.003493213704665</v>
      </c>
      <c r="X198" s="6">
        <f t="shared" si="20"/>
        <v>20.005854283530386</v>
      </c>
      <c r="Y198" s="6">
        <f t="shared" si="21"/>
        <v>30.426870395096728</v>
      </c>
      <c r="Z198" s="6">
        <f t="shared" si="22"/>
        <v>20.005854283530386</v>
      </c>
      <c r="AA198" s="6">
        <f t="shared" si="23"/>
        <v>3</v>
      </c>
    </row>
    <row r="199" spans="1:27">
      <c r="A199" s="11">
        <v>198</v>
      </c>
      <c r="B199" s="12">
        <v>2</v>
      </c>
      <c r="C199" s="11">
        <v>1</v>
      </c>
      <c r="D199" s="11">
        <v>1</v>
      </c>
      <c r="E199" s="11">
        <v>4</v>
      </c>
      <c r="F199" s="11">
        <v>3</v>
      </c>
      <c r="G199" s="11">
        <v>2</v>
      </c>
      <c r="H199" s="11">
        <v>3</v>
      </c>
      <c r="I199" s="11">
        <v>2</v>
      </c>
      <c r="J199" s="11">
        <v>1</v>
      </c>
      <c r="K199" s="11">
        <v>4</v>
      </c>
      <c r="L199" s="11">
        <v>1</v>
      </c>
      <c r="M199" s="11">
        <v>1</v>
      </c>
      <c r="N199" s="11">
        <v>2</v>
      </c>
      <c r="O199" s="11">
        <v>3</v>
      </c>
      <c r="P199" s="11">
        <v>5</v>
      </c>
      <c r="Q199" s="11">
        <v>2</v>
      </c>
      <c r="R199" s="11">
        <v>2</v>
      </c>
      <c r="S199" s="11">
        <v>2</v>
      </c>
      <c r="T199" s="11">
        <v>4</v>
      </c>
      <c r="U199" s="10">
        <v>3</v>
      </c>
      <c r="V199" s="6">
        <f t="shared" si="18"/>
        <v>14.857219573998261</v>
      </c>
      <c r="W199" s="6">
        <f t="shared" si="19"/>
        <v>31.649027345427207</v>
      </c>
      <c r="X199" s="6">
        <f t="shared" si="20"/>
        <v>15.247580488792803</v>
      </c>
      <c r="Y199" s="6">
        <f t="shared" si="21"/>
        <v>20.2839095347355</v>
      </c>
      <c r="Z199" s="6">
        <f t="shared" si="22"/>
        <v>14.857219573998261</v>
      </c>
      <c r="AA199" s="6">
        <f t="shared" si="23"/>
        <v>1</v>
      </c>
    </row>
    <row r="200" spans="1:27">
      <c r="A200" s="11">
        <v>199</v>
      </c>
      <c r="B200" s="12">
        <v>4</v>
      </c>
      <c r="C200" s="11">
        <v>2</v>
      </c>
      <c r="D200" s="11">
        <v>2</v>
      </c>
      <c r="E200" s="11">
        <v>3</v>
      </c>
      <c r="F200" s="11">
        <v>5</v>
      </c>
      <c r="G200" s="11">
        <v>4</v>
      </c>
      <c r="H200" s="11">
        <v>4</v>
      </c>
      <c r="I200" s="11">
        <v>3</v>
      </c>
      <c r="J200" s="11">
        <v>2</v>
      </c>
      <c r="K200" s="11">
        <v>4</v>
      </c>
      <c r="L200" s="11">
        <v>2</v>
      </c>
      <c r="M200" s="11">
        <v>3</v>
      </c>
      <c r="N200" s="11">
        <v>2</v>
      </c>
      <c r="O200" s="11">
        <v>4</v>
      </c>
      <c r="P200" s="11">
        <v>4</v>
      </c>
      <c r="Q200" s="11">
        <v>2</v>
      </c>
      <c r="R200" s="11">
        <v>3</v>
      </c>
      <c r="S200" s="11">
        <v>3</v>
      </c>
      <c r="T200" s="11">
        <v>3</v>
      </c>
      <c r="U200" s="10">
        <v>2</v>
      </c>
      <c r="V200" s="6">
        <f t="shared" si="18"/>
        <v>13.662841144595994</v>
      </c>
      <c r="W200" s="6">
        <f t="shared" si="19"/>
        <v>15.636418719347812</v>
      </c>
      <c r="X200" s="6">
        <f t="shared" si="20"/>
        <v>13.74208101438006</v>
      </c>
      <c r="Y200" s="6">
        <f t="shared" si="21"/>
        <v>22.937044784163341</v>
      </c>
      <c r="Z200" s="6">
        <f t="shared" si="22"/>
        <v>13.662841144595994</v>
      </c>
      <c r="AA200" s="6">
        <f t="shared" si="23"/>
        <v>1</v>
      </c>
    </row>
    <row r="201" spans="1:27">
      <c r="A201" s="11">
        <v>200</v>
      </c>
      <c r="B201" s="12">
        <v>2</v>
      </c>
      <c r="C201" s="11">
        <v>1</v>
      </c>
      <c r="D201" s="11">
        <v>3</v>
      </c>
      <c r="E201" s="11">
        <v>2</v>
      </c>
      <c r="F201" s="11">
        <v>2</v>
      </c>
      <c r="G201" s="11">
        <v>1</v>
      </c>
      <c r="H201" s="11">
        <v>2</v>
      </c>
      <c r="I201" s="11">
        <v>3</v>
      </c>
      <c r="J201" s="11">
        <v>2</v>
      </c>
      <c r="K201" s="11">
        <v>1</v>
      </c>
      <c r="L201" s="11">
        <v>2</v>
      </c>
      <c r="M201" s="11">
        <v>3</v>
      </c>
      <c r="N201" s="11">
        <v>2</v>
      </c>
      <c r="O201" s="11">
        <v>2</v>
      </c>
      <c r="P201" s="11">
        <v>3</v>
      </c>
      <c r="Q201" s="11">
        <v>2</v>
      </c>
      <c r="R201" s="11">
        <v>3</v>
      </c>
      <c r="S201" s="11">
        <v>2</v>
      </c>
      <c r="T201" s="11">
        <v>3</v>
      </c>
      <c r="U201" s="10">
        <v>1</v>
      </c>
      <c r="V201" s="6">
        <f t="shared" si="18"/>
        <v>37.246064809537053</v>
      </c>
      <c r="W201" s="6">
        <f t="shared" si="19"/>
        <v>33.041337303514766</v>
      </c>
      <c r="X201" s="6">
        <f t="shared" si="20"/>
        <v>22.456212545893298</v>
      </c>
      <c r="Y201" s="6">
        <f t="shared" si="21"/>
        <v>18.528827757619847</v>
      </c>
      <c r="Z201" s="6">
        <f t="shared" si="22"/>
        <v>18.528827757619847</v>
      </c>
      <c r="AA201" s="6">
        <f t="shared" si="23"/>
        <v>4</v>
      </c>
    </row>
    <row r="202" spans="1:27">
      <c r="A202" s="11">
        <v>201</v>
      </c>
      <c r="B202" s="12">
        <v>4</v>
      </c>
      <c r="C202" s="11">
        <v>1</v>
      </c>
      <c r="D202" s="11">
        <v>2</v>
      </c>
      <c r="E202" s="11">
        <v>2</v>
      </c>
      <c r="F202" s="11">
        <v>4</v>
      </c>
      <c r="G202" s="11">
        <v>3</v>
      </c>
      <c r="H202" s="11">
        <v>3</v>
      </c>
      <c r="I202" s="11">
        <v>2</v>
      </c>
      <c r="J202" s="11">
        <v>2</v>
      </c>
      <c r="K202" s="11">
        <v>3</v>
      </c>
      <c r="L202" s="11">
        <v>1</v>
      </c>
      <c r="M202" s="11">
        <v>3</v>
      </c>
      <c r="N202" s="11">
        <v>1</v>
      </c>
      <c r="O202" s="11">
        <v>2</v>
      </c>
      <c r="P202" s="11">
        <v>3</v>
      </c>
      <c r="Q202" s="11">
        <v>2</v>
      </c>
      <c r="R202" s="11">
        <v>3</v>
      </c>
      <c r="S202" s="11">
        <v>5</v>
      </c>
      <c r="T202" s="11">
        <v>1</v>
      </c>
      <c r="U202" s="10">
        <v>5</v>
      </c>
      <c r="V202" s="6">
        <f t="shared" si="18"/>
        <v>29.468305957286709</v>
      </c>
      <c r="W202" s="6">
        <f t="shared" si="19"/>
        <v>30.054119826288773</v>
      </c>
      <c r="X202" s="6">
        <f t="shared" si="20"/>
        <v>35.247559057715591</v>
      </c>
      <c r="Y202" s="6">
        <f t="shared" si="21"/>
        <v>18.385993640917579</v>
      </c>
      <c r="Z202" s="6">
        <f t="shared" si="22"/>
        <v>18.385993640917579</v>
      </c>
      <c r="AA202" s="6">
        <f t="shared" si="23"/>
        <v>4</v>
      </c>
    </row>
    <row r="203" spans="1:27">
      <c r="A203" s="11">
        <v>202</v>
      </c>
      <c r="B203" s="12">
        <v>3</v>
      </c>
      <c r="C203" s="11">
        <v>3</v>
      </c>
      <c r="D203" s="11">
        <v>3</v>
      </c>
      <c r="E203" s="11">
        <v>4</v>
      </c>
      <c r="F203" s="11">
        <v>3</v>
      </c>
      <c r="G203" s="11">
        <v>2</v>
      </c>
      <c r="H203" s="11">
        <v>3</v>
      </c>
      <c r="I203" s="11">
        <v>2</v>
      </c>
      <c r="J203" s="11">
        <v>2</v>
      </c>
      <c r="K203" s="11">
        <v>3</v>
      </c>
      <c r="L203" s="11">
        <v>4</v>
      </c>
      <c r="M203" s="11">
        <v>2</v>
      </c>
      <c r="N203" s="11">
        <v>2</v>
      </c>
      <c r="O203" s="11">
        <v>2</v>
      </c>
      <c r="P203" s="11">
        <v>4</v>
      </c>
      <c r="Q203" s="11">
        <v>3</v>
      </c>
      <c r="R203" s="11">
        <v>5</v>
      </c>
      <c r="S203" s="11">
        <v>3</v>
      </c>
      <c r="T203" s="11">
        <v>3</v>
      </c>
      <c r="U203" s="10">
        <v>3</v>
      </c>
      <c r="V203" s="6">
        <f t="shared" si="18"/>
        <v>25.051753169857086</v>
      </c>
      <c r="W203" s="6">
        <f t="shared" si="19"/>
        <v>13.104752878442948</v>
      </c>
      <c r="X203" s="6">
        <f t="shared" si="20"/>
        <v>24.313478995335426</v>
      </c>
      <c r="Y203" s="6">
        <f t="shared" si="21"/>
        <v>22.732948667469227</v>
      </c>
      <c r="Z203" s="6">
        <f t="shared" si="22"/>
        <v>13.104752878442948</v>
      </c>
      <c r="AA203" s="6">
        <f t="shared" si="23"/>
        <v>2</v>
      </c>
    </row>
    <row r="204" spans="1:27">
      <c r="A204" s="11">
        <v>203</v>
      </c>
      <c r="B204" s="12">
        <v>2</v>
      </c>
      <c r="C204" s="11">
        <v>3</v>
      </c>
      <c r="D204" s="11">
        <v>4</v>
      </c>
      <c r="E204" s="11">
        <v>2</v>
      </c>
      <c r="F204" s="11">
        <v>4</v>
      </c>
      <c r="G204" s="11">
        <v>1</v>
      </c>
      <c r="H204" s="11">
        <v>2</v>
      </c>
      <c r="I204" s="11">
        <v>4</v>
      </c>
      <c r="J204" s="11">
        <v>5</v>
      </c>
      <c r="K204" s="11">
        <v>3</v>
      </c>
      <c r="L204" s="11">
        <v>2</v>
      </c>
      <c r="M204" s="11">
        <v>1</v>
      </c>
      <c r="N204" s="11">
        <v>3</v>
      </c>
      <c r="O204" s="11">
        <v>4</v>
      </c>
      <c r="P204" s="11">
        <v>3</v>
      </c>
      <c r="Q204" s="11">
        <v>4</v>
      </c>
      <c r="R204" s="11">
        <v>5</v>
      </c>
      <c r="S204" s="11">
        <v>4</v>
      </c>
      <c r="T204" s="11">
        <v>5</v>
      </c>
      <c r="U204" s="10">
        <v>5</v>
      </c>
      <c r="V204" s="6">
        <f t="shared" si="18"/>
        <v>51.746168425318487</v>
      </c>
      <c r="W204" s="6">
        <f t="shared" si="19"/>
        <v>29.547886495610225</v>
      </c>
      <c r="X204" s="6">
        <f t="shared" si="20"/>
        <v>60.544298928618488</v>
      </c>
      <c r="Y204" s="6">
        <f t="shared" si="21"/>
        <v>48.202379118318447</v>
      </c>
      <c r="Z204" s="6">
        <f t="shared" si="22"/>
        <v>29.547886495610225</v>
      </c>
      <c r="AA204" s="6">
        <f t="shared" si="23"/>
        <v>2</v>
      </c>
    </row>
    <row r="205" spans="1:27">
      <c r="A205" s="11">
        <v>204</v>
      </c>
      <c r="B205" s="12">
        <v>4</v>
      </c>
      <c r="C205" s="11">
        <v>3</v>
      </c>
      <c r="D205" s="11">
        <v>2</v>
      </c>
      <c r="E205" s="11">
        <v>4</v>
      </c>
      <c r="F205" s="11">
        <v>4</v>
      </c>
      <c r="G205" s="11">
        <v>4</v>
      </c>
      <c r="H205" s="11">
        <v>3</v>
      </c>
      <c r="I205" s="11">
        <v>2</v>
      </c>
      <c r="J205" s="11">
        <v>1</v>
      </c>
      <c r="K205" s="11">
        <v>3</v>
      </c>
      <c r="L205" s="11">
        <v>1</v>
      </c>
      <c r="M205" s="11">
        <v>2</v>
      </c>
      <c r="N205" s="11">
        <v>3</v>
      </c>
      <c r="O205" s="11">
        <v>4</v>
      </c>
      <c r="P205" s="11">
        <v>3</v>
      </c>
      <c r="Q205" s="11">
        <v>2</v>
      </c>
      <c r="R205" s="11">
        <v>2</v>
      </c>
      <c r="S205" s="11">
        <v>4</v>
      </c>
      <c r="T205" s="11">
        <v>3</v>
      </c>
      <c r="U205" s="10">
        <v>3</v>
      </c>
      <c r="V205" s="6">
        <f t="shared" si="18"/>
        <v>8.0239001570865103</v>
      </c>
      <c r="W205" s="6">
        <f t="shared" si="19"/>
        <v>15.864249390271839</v>
      </c>
      <c r="X205" s="6">
        <f t="shared" si="20"/>
        <v>15.522295213658255</v>
      </c>
      <c r="Y205" s="6">
        <f t="shared" si="21"/>
        <v>16.692156692374773</v>
      </c>
      <c r="Z205" s="6">
        <f t="shared" si="22"/>
        <v>8.0239001570865103</v>
      </c>
      <c r="AA205" s="6">
        <f t="shared" si="23"/>
        <v>1</v>
      </c>
    </row>
    <row r="206" spans="1:27">
      <c r="A206" s="11">
        <v>205</v>
      </c>
      <c r="B206" s="12">
        <v>1</v>
      </c>
      <c r="C206" s="11">
        <v>5</v>
      </c>
      <c r="D206" s="11">
        <v>1</v>
      </c>
      <c r="E206" s="11">
        <v>5</v>
      </c>
      <c r="F206" s="11">
        <v>5</v>
      </c>
      <c r="G206" s="11">
        <v>2</v>
      </c>
      <c r="H206" s="11">
        <v>1</v>
      </c>
      <c r="I206" s="11">
        <v>1</v>
      </c>
      <c r="J206" s="11">
        <v>1</v>
      </c>
      <c r="K206" s="11">
        <v>3</v>
      </c>
      <c r="L206" s="11">
        <v>2</v>
      </c>
      <c r="M206" s="11">
        <v>1</v>
      </c>
      <c r="N206" s="11">
        <v>4</v>
      </c>
      <c r="O206" s="11">
        <v>3</v>
      </c>
      <c r="P206" s="11">
        <v>3</v>
      </c>
      <c r="Q206" s="11">
        <v>3</v>
      </c>
      <c r="R206" s="11">
        <v>1</v>
      </c>
      <c r="S206" s="11">
        <v>1</v>
      </c>
      <c r="T206" s="11">
        <v>3</v>
      </c>
      <c r="U206" s="10">
        <v>1</v>
      </c>
      <c r="V206" s="6">
        <f t="shared" si="18"/>
        <v>37.718338517491006</v>
      </c>
      <c r="W206" s="6">
        <f t="shared" si="19"/>
        <v>52.218583373974603</v>
      </c>
      <c r="X206" s="6">
        <f t="shared" si="20"/>
        <v>42.18161216159649</v>
      </c>
      <c r="Y206" s="6">
        <f t="shared" si="21"/>
        <v>53.651303381060856</v>
      </c>
      <c r="Z206" s="6">
        <f t="shared" si="22"/>
        <v>37.718338517491006</v>
      </c>
      <c r="AA206" s="6">
        <f t="shared" si="23"/>
        <v>1</v>
      </c>
    </row>
    <row r="207" spans="1:27">
      <c r="A207" s="11">
        <v>206</v>
      </c>
      <c r="B207" s="12">
        <v>1</v>
      </c>
      <c r="C207" s="11">
        <v>1</v>
      </c>
      <c r="D207" s="11">
        <v>1</v>
      </c>
      <c r="E207" s="11">
        <v>1</v>
      </c>
      <c r="F207" s="11">
        <v>1</v>
      </c>
      <c r="G207" s="11">
        <v>1</v>
      </c>
      <c r="H207" s="11">
        <v>5</v>
      </c>
      <c r="I207" s="11">
        <v>1</v>
      </c>
      <c r="J207" s="11">
        <v>1</v>
      </c>
      <c r="K207" s="11">
        <v>3</v>
      </c>
      <c r="L207" s="11">
        <v>1</v>
      </c>
      <c r="M207" s="11">
        <v>3</v>
      </c>
      <c r="N207" s="11">
        <v>1</v>
      </c>
      <c r="O207" s="11">
        <v>2</v>
      </c>
      <c r="P207" s="11">
        <v>5</v>
      </c>
      <c r="Q207" s="11">
        <v>1</v>
      </c>
      <c r="R207" s="11">
        <v>5</v>
      </c>
      <c r="S207" s="11">
        <v>3</v>
      </c>
      <c r="T207" s="11">
        <v>3</v>
      </c>
      <c r="U207" s="10">
        <v>5</v>
      </c>
      <c r="V207" s="6">
        <f t="shared" si="18"/>
        <v>57.912716112417002</v>
      </c>
      <c r="W207" s="6">
        <f t="shared" si="19"/>
        <v>59.63634346501378</v>
      </c>
      <c r="X207" s="6">
        <f t="shared" si="20"/>
        <v>48.071763101641039</v>
      </c>
      <c r="Y207" s="6">
        <f t="shared" si="21"/>
        <v>34.222639443506743</v>
      </c>
      <c r="Z207" s="6">
        <f t="shared" si="22"/>
        <v>34.222639443506743</v>
      </c>
      <c r="AA207" s="6">
        <f t="shared" si="23"/>
        <v>4</v>
      </c>
    </row>
    <row r="208" spans="1:27">
      <c r="A208" s="11">
        <v>207</v>
      </c>
      <c r="B208" s="12">
        <v>2</v>
      </c>
      <c r="C208" s="11">
        <v>2</v>
      </c>
      <c r="D208" s="11">
        <v>2</v>
      </c>
      <c r="E208" s="11">
        <v>4</v>
      </c>
      <c r="F208" s="11">
        <v>2</v>
      </c>
      <c r="G208" s="11">
        <v>2</v>
      </c>
      <c r="H208" s="11">
        <v>1</v>
      </c>
      <c r="I208" s="11">
        <v>2</v>
      </c>
      <c r="J208" s="11">
        <v>2</v>
      </c>
      <c r="K208" s="11">
        <v>1</v>
      </c>
      <c r="L208" s="11">
        <v>3</v>
      </c>
      <c r="M208" s="11">
        <v>3</v>
      </c>
      <c r="N208" s="11">
        <v>4</v>
      </c>
      <c r="O208" s="11">
        <v>5</v>
      </c>
      <c r="P208" s="11">
        <v>5</v>
      </c>
      <c r="Q208" s="11">
        <v>3</v>
      </c>
      <c r="R208" s="11">
        <v>2</v>
      </c>
      <c r="S208" s="11">
        <v>2</v>
      </c>
      <c r="T208" s="11">
        <v>4</v>
      </c>
      <c r="U208" s="10">
        <v>2</v>
      </c>
      <c r="V208" s="6">
        <f t="shared" si="18"/>
        <v>26.74613130216785</v>
      </c>
      <c r="W208" s="6">
        <f t="shared" si="19"/>
        <v>31.40851040158293</v>
      </c>
      <c r="X208" s="6">
        <f t="shared" si="20"/>
        <v>21.236588374185182</v>
      </c>
      <c r="Y208" s="6">
        <f t="shared" si="21"/>
        <v>28.590101628854413</v>
      </c>
      <c r="Z208" s="6">
        <f t="shared" si="22"/>
        <v>21.236588374185182</v>
      </c>
      <c r="AA208" s="6">
        <f t="shared" si="23"/>
        <v>3</v>
      </c>
    </row>
    <row r="209" spans="1:27">
      <c r="A209" s="11">
        <v>208</v>
      </c>
      <c r="B209" s="12">
        <v>2</v>
      </c>
      <c r="C209" s="11">
        <v>2</v>
      </c>
      <c r="D209" s="11">
        <v>3</v>
      </c>
      <c r="E209" s="11">
        <v>4</v>
      </c>
      <c r="F209" s="11">
        <v>4</v>
      </c>
      <c r="G209" s="11">
        <v>3</v>
      </c>
      <c r="H209" s="11">
        <v>3</v>
      </c>
      <c r="I209" s="11">
        <v>2</v>
      </c>
      <c r="J209" s="11">
        <v>2</v>
      </c>
      <c r="K209" s="11">
        <v>4</v>
      </c>
      <c r="L209" s="11">
        <v>2</v>
      </c>
      <c r="M209" s="11">
        <v>1</v>
      </c>
      <c r="N209" s="11">
        <v>2</v>
      </c>
      <c r="O209" s="11">
        <v>4</v>
      </c>
      <c r="P209" s="11">
        <v>4</v>
      </c>
      <c r="Q209" s="11">
        <v>3</v>
      </c>
      <c r="R209" s="11">
        <v>4</v>
      </c>
      <c r="S209" s="11">
        <v>3</v>
      </c>
      <c r="T209" s="11">
        <v>3</v>
      </c>
      <c r="U209" s="10">
        <v>3</v>
      </c>
      <c r="V209" s="6">
        <f t="shared" si="18"/>
        <v>8.6350754994024115</v>
      </c>
      <c r="W209" s="6">
        <f t="shared" si="19"/>
        <v>12.636414011126917</v>
      </c>
      <c r="X209" s="6">
        <f t="shared" si="20"/>
        <v>16.742045085533846</v>
      </c>
      <c r="Y209" s="6">
        <f t="shared" si="21"/>
        <v>19.120691350012155</v>
      </c>
      <c r="Z209" s="6">
        <f t="shared" si="22"/>
        <v>8.6350754994024115</v>
      </c>
      <c r="AA209" s="6">
        <f t="shared" si="23"/>
        <v>1</v>
      </c>
    </row>
    <row r="210" spans="1:27">
      <c r="A210" s="11">
        <v>209</v>
      </c>
      <c r="B210" s="12">
        <v>4</v>
      </c>
      <c r="C210" s="11">
        <v>2</v>
      </c>
      <c r="D210" s="11">
        <v>2</v>
      </c>
      <c r="E210" s="11">
        <v>2</v>
      </c>
      <c r="F210" s="11">
        <v>2</v>
      </c>
      <c r="G210" s="11">
        <v>3</v>
      </c>
      <c r="H210" s="11">
        <v>3</v>
      </c>
      <c r="I210" s="11">
        <v>2</v>
      </c>
      <c r="J210" s="11">
        <v>2</v>
      </c>
      <c r="K210" s="11">
        <v>4</v>
      </c>
      <c r="L210" s="11">
        <v>2</v>
      </c>
      <c r="M210" s="11">
        <v>2</v>
      </c>
      <c r="N210" s="11">
        <v>4</v>
      </c>
      <c r="O210" s="11">
        <v>4</v>
      </c>
      <c r="P210" s="11">
        <v>4</v>
      </c>
      <c r="Q210" s="11">
        <v>3</v>
      </c>
      <c r="R210" s="11">
        <v>2</v>
      </c>
      <c r="S210" s="11">
        <v>2</v>
      </c>
      <c r="T210" s="11">
        <v>4</v>
      </c>
      <c r="U210" s="10">
        <v>4</v>
      </c>
      <c r="V210" s="6">
        <f t="shared" si="18"/>
        <v>14.412791129496291</v>
      </c>
      <c r="W210" s="6">
        <f t="shared" si="19"/>
        <v>16.952885089324113</v>
      </c>
      <c r="X210" s="6">
        <f t="shared" si="20"/>
        <v>10.950897247938823</v>
      </c>
      <c r="Y210" s="6">
        <f t="shared" si="21"/>
        <v>14.42680818459138</v>
      </c>
      <c r="Z210" s="6">
        <f t="shared" si="22"/>
        <v>10.950897247938823</v>
      </c>
      <c r="AA210" s="6">
        <f t="shared" si="23"/>
        <v>3</v>
      </c>
    </row>
    <row r="211" spans="1:27">
      <c r="A211" s="11">
        <v>210</v>
      </c>
      <c r="B211" s="12">
        <v>2</v>
      </c>
      <c r="C211" s="11">
        <v>2</v>
      </c>
      <c r="D211" s="11">
        <v>2</v>
      </c>
      <c r="E211" s="11">
        <v>4</v>
      </c>
      <c r="F211" s="11">
        <v>2</v>
      </c>
      <c r="G211" s="11">
        <v>4</v>
      </c>
      <c r="H211" s="11">
        <v>3</v>
      </c>
      <c r="I211" s="11">
        <v>1</v>
      </c>
      <c r="J211" s="11">
        <v>1</v>
      </c>
      <c r="K211" s="11">
        <v>3</v>
      </c>
      <c r="L211" s="11">
        <v>1</v>
      </c>
      <c r="M211" s="11">
        <v>1</v>
      </c>
      <c r="N211" s="11">
        <v>3</v>
      </c>
      <c r="O211" s="11">
        <v>4</v>
      </c>
      <c r="P211" s="11">
        <v>3</v>
      </c>
      <c r="Q211" s="11">
        <v>4</v>
      </c>
      <c r="R211" s="11">
        <v>1</v>
      </c>
      <c r="S211" s="11">
        <v>2</v>
      </c>
      <c r="T211" s="11">
        <v>3</v>
      </c>
      <c r="U211" s="10">
        <v>1</v>
      </c>
      <c r="V211" s="6">
        <f t="shared" si="18"/>
        <v>14.912765614222231</v>
      </c>
      <c r="W211" s="6">
        <f t="shared" si="19"/>
        <v>36.066681386469909</v>
      </c>
      <c r="X211" s="6">
        <f t="shared" si="20"/>
        <v>18.29144173674457</v>
      </c>
      <c r="Y211" s="6">
        <f t="shared" si="21"/>
        <v>27.202315634469581</v>
      </c>
      <c r="Z211" s="6">
        <f t="shared" si="22"/>
        <v>14.912765614222231</v>
      </c>
      <c r="AA211" s="6">
        <f t="shared" si="23"/>
        <v>1</v>
      </c>
    </row>
    <row r="212" spans="1:27">
      <c r="A212" s="11">
        <v>211</v>
      </c>
      <c r="B212" s="12">
        <v>3</v>
      </c>
      <c r="C212" s="11">
        <v>2</v>
      </c>
      <c r="D212" s="11">
        <v>4</v>
      </c>
      <c r="E212" s="11">
        <v>5</v>
      </c>
      <c r="F212" s="11">
        <v>4</v>
      </c>
      <c r="G212" s="11">
        <v>3</v>
      </c>
      <c r="H212" s="11">
        <v>3</v>
      </c>
      <c r="I212" s="11">
        <v>5</v>
      </c>
      <c r="J212" s="11">
        <v>4</v>
      </c>
      <c r="K212" s="11">
        <v>3</v>
      </c>
      <c r="L212" s="11">
        <v>4</v>
      </c>
      <c r="M212" s="11">
        <v>3</v>
      </c>
      <c r="N212" s="11">
        <v>4</v>
      </c>
      <c r="O212" s="11">
        <v>4</v>
      </c>
      <c r="P212" s="11">
        <v>2</v>
      </c>
      <c r="Q212" s="11">
        <v>2</v>
      </c>
      <c r="R212" s="11">
        <v>3</v>
      </c>
      <c r="S212" s="11">
        <v>1</v>
      </c>
      <c r="T212" s="11">
        <v>4</v>
      </c>
      <c r="U212" s="10">
        <v>5</v>
      </c>
      <c r="V212" s="6">
        <f t="shared" si="18"/>
        <v>43.357331506556399</v>
      </c>
      <c r="W212" s="6">
        <f t="shared" si="19"/>
        <v>24.509926987031154</v>
      </c>
      <c r="X212" s="6">
        <f t="shared" si="20"/>
        <v>52.192689378834011</v>
      </c>
      <c r="Y212" s="6">
        <f t="shared" si="21"/>
        <v>46.977914814578526</v>
      </c>
      <c r="Z212" s="6">
        <f t="shared" si="22"/>
        <v>24.509926987031154</v>
      </c>
      <c r="AA212" s="6">
        <f t="shared" si="23"/>
        <v>2</v>
      </c>
    </row>
    <row r="213" spans="1:27">
      <c r="A213" s="11">
        <v>212</v>
      </c>
      <c r="B213" s="12">
        <v>3</v>
      </c>
      <c r="C213" s="11">
        <v>2</v>
      </c>
      <c r="D213" s="11">
        <v>3</v>
      </c>
      <c r="E213" s="11">
        <v>3</v>
      </c>
      <c r="F213" s="11">
        <v>2</v>
      </c>
      <c r="G213" s="11">
        <v>3</v>
      </c>
      <c r="H213" s="11">
        <v>3</v>
      </c>
      <c r="I213" s="11">
        <v>2</v>
      </c>
      <c r="J213" s="11">
        <v>1</v>
      </c>
      <c r="K213" s="11">
        <v>1</v>
      </c>
      <c r="L213" s="11">
        <v>2</v>
      </c>
      <c r="M213" s="11">
        <v>3</v>
      </c>
      <c r="N213" s="11">
        <v>3</v>
      </c>
      <c r="O213" s="11">
        <v>4</v>
      </c>
      <c r="P213" s="11">
        <v>3</v>
      </c>
      <c r="Q213" s="11">
        <v>3</v>
      </c>
      <c r="R213" s="11">
        <v>3</v>
      </c>
      <c r="S213" s="11">
        <v>3</v>
      </c>
      <c r="T213" s="11">
        <v>3</v>
      </c>
      <c r="U213" s="10">
        <v>2</v>
      </c>
      <c r="V213" s="6">
        <f t="shared" si="18"/>
        <v>15.468331158286214</v>
      </c>
      <c r="W213" s="6">
        <f t="shared" si="19"/>
        <v>16.86417157996507</v>
      </c>
      <c r="X213" s="6">
        <f t="shared" si="20"/>
        <v>12.302435904670343</v>
      </c>
      <c r="Y213" s="6">
        <f t="shared" si="21"/>
        <v>11.141119041415873</v>
      </c>
      <c r="Z213" s="6">
        <f t="shared" si="22"/>
        <v>11.141119041415873</v>
      </c>
      <c r="AA213" s="6">
        <f t="shared" si="23"/>
        <v>4</v>
      </c>
    </row>
    <row r="214" spans="1:27">
      <c r="A214" s="11">
        <v>213</v>
      </c>
      <c r="B214" s="12">
        <v>5</v>
      </c>
      <c r="C214" s="11">
        <v>3</v>
      </c>
      <c r="D214" s="11">
        <v>2</v>
      </c>
      <c r="E214" s="11">
        <v>3</v>
      </c>
      <c r="F214" s="11">
        <v>4</v>
      </c>
      <c r="G214" s="11">
        <v>2</v>
      </c>
      <c r="H214" s="11">
        <v>3</v>
      </c>
      <c r="I214" s="11">
        <v>4</v>
      </c>
      <c r="J214" s="11">
        <v>1</v>
      </c>
      <c r="K214" s="11">
        <v>3</v>
      </c>
      <c r="L214" s="11">
        <v>2</v>
      </c>
      <c r="M214" s="11">
        <v>1</v>
      </c>
      <c r="N214" s="11">
        <v>1</v>
      </c>
      <c r="O214" s="11">
        <v>5</v>
      </c>
      <c r="P214" s="11">
        <v>4</v>
      </c>
      <c r="Q214" s="11">
        <v>3</v>
      </c>
      <c r="R214" s="11">
        <v>2</v>
      </c>
      <c r="S214" s="11">
        <v>4</v>
      </c>
      <c r="T214" s="11">
        <v>5</v>
      </c>
      <c r="U214" s="10">
        <v>5</v>
      </c>
      <c r="V214" s="6">
        <f t="shared" si="18"/>
        <v>26.135048709678969</v>
      </c>
      <c r="W214" s="6">
        <f t="shared" si="19"/>
        <v>29.320000430149047</v>
      </c>
      <c r="X214" s="6">
        <f t="shared" si="20"/>
        <v>37.66523881033266</v>
      </c>
      <c r="Y214" s="6">
        <f t="shared" si="21"/>
        <v>34.957457503047024</v>
      </c>
      <c r="Z214" s="6">
        <f t="shared" si="22"/>
        <v>26.135048709678969</v>
      </c>
      <c r="AA214" s="6">
        <f t="shared" si="23"/>
        <v>1</v>
      </c>
    </row>
    <row r="215" spans="1:27">
      <c r="A215" s="11">
        <v>214</v>
      </c>
      <c r="B215" s="12">
        <v>3</v>
      </c>
      <c r="C215" s="11">
        <v>2</v>
      </c>
      <c r="D215" s="11">
        <v>1</v>
      </c>
      <c r="E215" s="11">
        <v>2</v>
      </c>
      <c r="F215" s="11">
        <v>3</v>
      </c>
      <c r="G215" s="11">
        <v>3</v>
      </c>
      <c r="H215" s="11">
        <v>3</v>
      </c>
      <c r="I215" s="11">
        <v>3</v>
      </c>
      <c r="J215" s="11">
        <v>1</v>
      </c>
      <c r="K215" s="11">
        <v>2</v>
      </c>
      <c r="L215" s="11">
        <v>2</v>
      </c>
      <c r="M215" s="11">
        <v>1</v>
      </c>
      <c r="N215" s="11">
        <v>3</v>
      </c>
      <c r="O215" s="11">
        <v>4</v>
      </c>
      <c r="P215" s="11">
        <v>3</v>
      </c>
      <c r="Q215" s="11">
        <v>2</v>
      </c>
      <c r="R215" s="11">
        <v>2</v>
      </c>
      <c r="S215" s="11">
        <v>1</v>
      </c>
      <c r="T215" s="11">
        <v>1</v>
      </c>
      <c r="U215" s="10">
        <v>1</v>
      </c>
      <c r="V215" s="6">
        <f t="shared" si="18"/>
        <v>20.329448019811473</v>
      </c>
      <c r="W215" s="6">
        <f t="shared" si="19"/>
        <v>37.180580548694032</v>
      </c>
      <c r="X215" s="6">
        <f t="shared" si="20"/>
        <v>11.961798954592792</v>
      </c>
      <c r="Y215" s="6">
        <f t="shared" si="21"/>
        <v>22.692094836682408</v>
      </c>
      <c r="Z215" s="6">
        <f t="shared" si="22"/>
        <v>11.961798954592792</v>
      </c>
      <c r="AA215" s="6">
        <f t="shared" si="23"/>
        <v>3</v>
      </c>
    </row>
    <row r="216" spans="1:27">
      <c r="A216" s="11">
        <v>215</v>
      </c>
      <c r="B216" s="12">
        <v>1</v>
      </c>
      <c r="C216" s="11">
        <v>1</v>
      </c>
      <c r="D216" s="11">
        <v>4</v>
      </c>
      <c r="E216" s="11">
        <v>1</v>
      </c>
      <c r="F216" s="11">
        <v>1</v>
      </c>
      <c r="G216" s="11">
        <v>3</v>
      </c>
      <c r="H216" s="11">
        <v>3</v>
      </c>
      <c r="I216" s="11">
        <v>1</v>
      </c>
      <c r="J216" s="11">
        <v>1</v>
      </c>
      <c r="K216" s="11">
        <v>2</v>
      </c>
      <c r="L216" s="11">
        <v>1</v>
      </c>
      <c r="M216" s="11">
        <v>4</v>
      </c>
      <c r="N216" s="11">
        <v>3</v>
      </c>
      <c r="O216" s="11">
        <v>2</v>
      </c>
      <c r="P216" s="11">
        <v>4</v>
      </c>
      <c r="Q216" s="11">
        <v>2</v>
      </c>
      <c r="R216" s="11">
        <v>5</v>
      </c>
      <c r="S216" s="11">
        <v>1</v>
      </c>
      <c r="T216" s="11">
        <v>4</v>
      </c>
      <c r="U216" s="10">
        <v>2</v>
      </c>
      <c r="V216" s="6">
        <f t="shared" si="18"/>
        <v>54.690509916239378</v>
      </c>
      <c r="W216" s="6">
        <f t="shared" si="19"/>
        <v>47.97807200210864</v>
      </c>
      <c r="X216" s="6">
        <f t="shared" si="20"/>
        <v>36.016640703935018</v>
      </c>
      <c r="Y216" s="6">
        <f t="shared" si="21"/>
        <v>32.181846202961687</v>
      </c>
      <c r="Z216" s="6">
        <f t="shared" si="22"/>
        <v>32.181846202961687</v>
      </c>
      <c r="AA216" s="6">
        <f t="shared" si="23"/>
        <v>4</v>
      </c>
    </row>
    <row r="217" spans="1:27">
      <c r="A217" s="11">
        <v>216</v>
      </c>
      <c r="B217" s="12">
        <v>4</v>
      </c>
      <c r="C217" s="11">
        <v>4</v>
      </c>
      <c r="D217" s="11">
        <v>4</v>
      </c>
      <c r="E217" s="11">
        <v>3</v>
      </c>
      <c r="F217" s="11">
        <v>3</v>
      </c>
      <c r="G217" s="11">
        <v>2</v>
      </c>
      <c r="H217" s="11">
        <v>4</v>
      </c>
      <c r="I217" s="11">
        <v>3</v>
      </c>
      <c r="J217" s="11">
        <v>2</v>
      </c>
      <c r="K217" s="11">
        <v>2</v>
      </c>
      <c r="L217" s="11">
        <v>3</v>
      </c>
      <c r="M217" s="11">
        <v>2</v>
      </c>
      <c r="N217" s="11">
        <v>3</v>
      </c>
      <c r="O217" s="11">
        <v>4</v>
      </c>
      <c r="P217" s="11">
        <v>3</v>
      </c>
      <c r="Q217" s="11">
        <v>4</v>
      </c>
      <c r="R217" s="11">
        <v>3</v>
      </c>
      <c r="S217" s="11">
        <v>2</v>
      </c>
      <c r="T217" s="11">
        <v>3</v>
      </c>
      <c r="U217" s="10">
        <v>3</v>
      </c>
      <c r="V217" s="6">
        <f t="shared" si="18"/>
        <v>20.801745448517909</v>
      </c>
      <c r="W217" s="6">
        <f t="shared" si="19"/>
        <v>12.573093426748905</v>
      </c>
      <c r="X217" s="6">
        <f t="shared" si="20"/>
        <v>24.159611678909148</v>
      </c>
      <c r="Y217" s="6">
        <f t="shared" si="21"/>
        <v>23.651342185789332</v>
      </c>
      <c r="Z217" s="6">
        <f t="shared" si="22"/>
        <v>12.573093426748905</v>
      </c>
      <c r="AA217" s="6">
        <f t="shared" si="23"/>
        <v>2</v>
      </c>
    </row>
    <row r="218" spans="1:27">
      <c r="A218" s="11">
        <v>217</v>
      </c>
      <c r="B218" s="12">
        <v>3</v>
      </c>
      <c r="C218" s="11">
        <v>4</v>
      </c>
      <c r="D218" s="11">
        <v>2</v>
      </c>
      <c r="E218" s="11">
        <v>1</v>
      </c>
      <c r="F218" s="11">
        <v>5</v>
      </c>
      <c r="G218" s="11">
        <v>4</v>
      </c>
      <c r="H218" s="11">
        <v>2</v>
      </c>
      <c r="I218" s="11">
        <v>2</v>
      </c>
      <c r="J218" s="11">
        <v>2</v>
      </c>
      <c r="K218" s="11">
        <v>3</v>
      </c>
      <c r="L218" s="11">
        <v>2</v>
      </c>
      <c r="M218" s="11">
        <v>3</v>
      </c>
      <c r="N218" s="11">
        <v>4</v>
      </c>
      <c r="O218" s="11">
        <v>4</v>
      </c>
      <c r="P218" s="11">
        <v>4</v>
      </c>
      <c r="Q218" s="11">
        <v>2</v>
      </c>
      <c r="R218" s="11">
        <v>3</v>
      </c>
      <c r="S218" s="11">
        <v>5</v>
      </c>
      <c r="T218" s="11">
        <v>1</v>
      </c>
      <c r="U218" s="10">
        <v>5</v>
      </c>
      <c r="V218" s="6">
        <f t="shared" si="18"/>
        <v>31.079463198427085</v>
      </c>
      <c r="W218" s="6">
        <f t="shared" si="19"/>
        <v>26.497200251322436</v>
      </c>
      <c r="X218" s="6">
        <f t="shared" si="20"/>
        <v>37.852025247535188</v>
      </c>
      <c r="Y218" s="6">
        <f t="shared" si="21"/>
        <v>29.141121764646051</v>
      </c>
      <c r="Z218" s="6">
        <f t="shared" si="22"/>
        <v>26.497200251322436</v>
      </c>
      <c r="AA218" s="6">
        <f t="shared" si="23"/>
        <v>2</v>
      </c>
    </row>
    <row r="219" spans="1:27">
      <c r="A219" s="11">
        <v>218</v>
      </c>
      <c r="B219" s="12">
        <v>3</v>
      </c>
      <c r="C219" s="11">
        <v>2</v>
      </c>
      <c r="D219" s="11">
        <v>2</v>
      </c>
      <c r="E219" s="11">
        <v>2</v>
      </c>
      <c r="F219" s="11">
        <v>2</v>
      </c>
      <c r="G219" s="11">
        <v>3</v>
      </c>
      <c r="H219" s="11">
        <v>5</v>
      </c>
      <c r="I219" s="11">
        <v>1</v>
      </c>
      <c r="J219" s="11">
        <v>1</v>
      </c>
      <c r="K219" s="11">
        <v>3</v>
      </c>
      <c r="L219" s="11">
        <v>3</v>
      </c>
      <c r="M219" s="11">
        <v>2</v>
      </c>
      <c r="N219" s="11">
        <v>2</v>
      </c>
      <c r="O219" s="11">
        <v>5</v>
      </c>
      <c r="P219" s="11">
        <v>4</v>
      </c>
      <c r="Q219" s="11">
        <v>2</v>
      </c>
      <c r="R219" s="11">
        <v>2</v>
      </c>
      <c r="S219" s="11">
        <v>2</v>
      </c>
      <c r="T219" s="11">
        <v>2</v>
      </c>
      <c r="U219" s="10">
        <v>3</v>
      </c>
      <c r="V219" s="6">
        <f t="shared" si="18"/>
        <v>16.162805668931522</v>
      </c>
      <c r="W219" s="6">
        <f t="shared" si="19"/>
        <v>27.965468596578425</v>
      </c>
      <c r="X219" s="6">
        <f t="shared" si="20"/>
        <v>13.456345714143708</v>
      </c>
      <c r="Y219" s="6">
        <f t="shared" si="21"/>
        <v>17.610457789816412</v>
      </c>
      <c r="Z219" s="6">
        <f t="shared" si="22"/>
        <v>13.456345714143708</v>
      </c>
      <c r="AA219" s="6">
        <f t="shared" si="23"/>
        <v>3</v>
      </c>
    </row>
    <row r="220" spans="1:27">
      <c r="A220" s="11">
        <v>219</v>
      </c>
      <c r="B220" s="12">
        <v>2</v>
      </c>
      <c r="C220" s="11">
        <v>3</v>
      </c>
      <c r="D220" s="11">
        <v>4</v>
      </c>
      <c r="E220" s="11">
        <v>4</v>
      </c>
      <c r="F220" s="11">
        <v>5</v>
      </c>
      <c r="G220" s="11">
        <v>4</v>
      </c>
      <c r="H220" s="11">
        <v>4</v>
      </c>
      <c r="I220" s="11">
        <v>3</v>
      </c>
      <c r="J220" s="11">
        <v>4</v>
      </c>
      <c r="K220" s="11">
        <v>3</v>
      </c>
      <c r="L220" s="11">
        <v>4</v>
      </c>
      <c r="M220" s="11">
        <v>1</v>
      </c>
      <c r="N220" s="11">
        <v>5</v>
      </c>
      <c r="O220" s="11">
        <v>3</v>
      </c>
      <c r="P220" s="11">
        <v>5</v>
      </c>
      <c r="Q220" s="11">
        <v>3</v>
      </c>
      <c r="R220" s="11">
        <v>1</v>
      </c>
      <c r="S220" s="11">
        <v>3</v>
      </c>
      <c r="T220" s="11">
        <v>4</v>
      </c>
      <c r="U220" s="10">
        <v>5</v>
      </c>
      <c r="V220" s="6">
        <f t="shared" si="18"/>
        <v>36.135112829552426</v>
      </c>
      <c r="W220" s="6">
        <f t="shared" si="19"/>
        <v>24.206131501026849</v>
      </c>
      <c r="X220" s="6">
        <f t="shared" si="20"/>
        <v>52.720176979972855</v>
      </c>
      <c r="Y220" s="6">
        <f t="shared" si="21"/>
        <v>48.549333531286123</v>
      </c>
      <c r="Z220" s="6">
        <f t="shared" si="22"/>
        <v>24.206131501026849</v>
      </c>
      <c r="AA220" s="6">
        <f t="shared" si="23"/>
        <v>2</v>
      </c>
    </row>
    <row r="221" spans="1:27">
      <c r="A221" s="11">
        <v>220</v>
      </c>
      <c r="B221" s="12">
        <v>2</v>
      </c>
      <c r="C221" s="11">
        <v>1</v>
      </c>
      <c r="D221" s="11">
        <v>1</v>
      </c>
      <c r="E221" s="11">
        <v>3</v>
      </c>
      <c r="F221" s="11">
        <v>2</v>
      </c>
      <c r="G221" s="11">
        <v>3</v>
      </c>
      <c r="H221" s="11">
        <v>3</v>
      </c>
      <c r="I221" s="11">
        <v>4</v>
      </c>
      <c r="J221" s="11">
        <v>1</v>
      </c>
      <c r="K221" s="11">
        <v>3</v>
      </c>
      <c r="L221" s="11">
        <v>1</v>
      </c>
      <c r="M221" s="11">
        <v>2</v>
      </c>
      <c r="N221" s="11">
        <v>3</v>
      </c>
      <c r="O221" s="11">
        <v>4</v>
      </c>
      <c r="P221" s="11">
        <v>3</v>
      </c>
      <c r="Q221" s="11">
        <v>1</v>
      </c>
      <c r="R221" s="11">
        <v>3</v>
      </c>
      <c r="S221" s="11">
        <v>1</v>
      </c>
      <c r="T221" s="11">
        <v>3</v>
      </c>
      <c r="U221" s="10">
        <v>1</v>
      </c>
      <c r="V221" s="6">
        <f t="shared" si="18"/>
        <v>25.357205283153743</v>
      </c>
      <c r="W221" s="6">
        <f t="shared" si="19"/>
        <v>38.016057956526289</v>
      </c>
      <c r="X221" s="6">
        <f t="shared" si="20"/>
        <v>13.89587785278623</v>
      </c>
      <c r="Y221" s="6">
        <f t="shared" si="21"/>
        <v>24.345149669423719</v>
      </c>
      <c r="Z221" s="6">
        <f t="shared" si="22"/>
        <v>13.89587785278623</v>
      </c>
      <c r="AA221" s="6">
        <f t="shared" si="23"/>
        <v>3</v>
      </c>
    </row>
    <row r="222" spans="1:27">
      <c r="A222" s="11">
        <v>221</v>
      </c>
      <c r="B222" s="12">
        <v>1</v>
      </c>
      <c r="C222" s="11">
        <v>1</v>
      </c>
      <c r="D222" s="11">
        <v>1</v>
      </c>
      <c r="E222" s="11">
        <v>2</v>
      </c>
      <c r="F222" s="11">
        <v>4</v>
      </c>
      <c r="G222" s="11">
        <v>3</v>
      </c>
      <c r="H222" s="11">
        <v>3</v>
      </c>
      <c r="I222" s="11">
        <v>2</v>
      </c>
      <c r="J222" s="11">
        <v>1</v>
      </c>
      <c r="K222" s="11">
        <v>3</v>
      </c>
      <c r="L222" s="11">
        <v>1</v>
      </c>
      <c r="M222" s="11">
        <v>2</v>
      </c>
      <c r="N222" s="11">
        <v>3</v>
      </c>
      <c r="O222" s="11">
        <v>4</v>
      </c>
      <c r="P222" s="11">
        <v>5</v>
      </c>
      <c r="Q222" s="11">
        <v>4</v>
      </c>
      <c r="R222" s="11">
        <v>3</v>
      </c>
      <c r="S222" s="11">
        <v>1</v>
      </c>
      <c r="T222" s="11">
        <v>3</v>
      </c>
      <c r="U222" s="10">
        <v>2</v>
      </c>
      <c r="V222" s="6">
        <f t="shared" si="18"/>
        <v>18.246120734759085</v>
      </c>
      <c r="W222" s="6">
        <f t="shared" si="19"/>
        <v>35.914794810628088</v>
      </c>
      <c r="X222" s="6">
        <f t="shared" si="20"/>
        <v>15.895917140356445</v>
      </c>
      <c r="Y222" s="6">
        <f t="shared" si="21"/>
        <v>26.059421767714142</v>
      </c>
      <c r="Z222" s="6">
        <f t="shared" si="22"/>
        <v>15.895917140356445</v>
      </c>
      <c r="AA222" s="6">
        <f t="shared" si="23"/>
        <v>3</v>
      </c>
    </row>
    <row r="223" spans="1:27">
      <c r="A223" s="11">
        <v>222</v>
      </c>
      <c r="B223" s="12">
        <v>5</v>
      </c>
      <c r="C223" s="11">
        <v>2</v>
      </c>
      <c r="D223" s="11">
        <v>2</v>
      </c>
      <c r="E223" s="11">
        <v>2</v>
      </c>
      <c r="F223" s="11">
        <v>3</v>
      </c>
      <c r="G223" s="11">
        <v>4</v>
      </c>
      <c r="H223" s="11">
        <v>4</v>
      </c>
      <c r="I223" s="11">
        <v>1</v>
      </c>
      <c r="J223" s="11">
        <v>1</v>
      </c>
      <c r="K223" s="11">
        <v>4</v>
      </c>
      <c r="L223" s="11">
        <v>2</v>
      </c>
      <c r="M223" s="11">
        <v>1</v>
      </c>
      <c r="N223" s="11">
        <v>2</v>
      </c>
      <c r="O223" s="11">
        <v>4</v>
      </c>
      <c r="P223" s="11">
        <v>4</v>
      </c>
      <c r="Q223" s="11">
        <v>1</v>
      </c>
      <c r="R223" s="11">
        <v>1</v>
      </c>
      <c r="S223" s="11">
        <v>3</v>
      </c>
      <c r="T223" s="11">
        <v>2</v>
      </c>
      <c r="U223" s="10">
        <v>3</v>
      </c>
      <c r="V223" s="6">
        <f t="shared" si="18"/>
        <v>19.385015284335399</v>
      </c>
      <c r="W223" s="6">
        <f t="shared" si="19"/>
        <v>33.585760601809845</v>
      </c>
      <c r="X223" s="6">
        <f t="shared" si="20"/>
        <v>17.43434877254035</v>
      </c>
      <c r="Y223" s="6">
        <f t="shared" si="21"/>
        <v>23.079850868320904</v>
      </c>
      <c r="Z223" s="6">
        <f t="shared" si="22"/>
        <v>17.43434877254035</v>
      </c>
      <c r="AA223" s="6">
        <f t="shared" si="23"/>
        <v>3</v>
      </c>
    </row>
    <row r="224" spans="1:27">
      <c r="A224" s="11">
        <v>223</v>
      </c>
      <c r="B224" s="12">
        <v>4</v>
      </c>
      <c r="C224" s="11">
        <v>3</v>
      </c>
      <c r="D224" s="11">
        <v>2</v>
      </c>
      <c r="E224" s="11">
        <v>3</v>
      </c>
      <c r="F224" s="11">
        <v>4</v>
      </c>
      <c r="G224" s="11">
        <v>2</v>
      </c>
      <c r="H224" s="11">
        <v>3</v>
      </c>
      <c r="I224" s="11">
        <v>3</v>
      </c>
      <c r="J224" s="11">
        <v>4</v>
      </c>
      <c r="K224" s="11">
        <v>2</v>
      </c>
      <c r="L224" s="11">
        <v>3</v>
      </c>
      <c r="M224" s="11">
        <v>4</v>
      </c>
      <c r="N224" s="11">
        <v>2</v>
      </c>
      <c r="O224" s="11">
        <v>3</v>
      </c>
      <c r="P224" s="11">
        <v>4</v>
      </c>
      <c r="Q224" s="11">
        <v>3</v>
      </c>
      <c r="R224" s="11">
        <v>3</v>
      </c>
      <c r="S224" s="11">
        <v>4</v>
      </c>
      <c r="T224" s="11">
        <v>2</v>
      </c>
      <c r="U224" s="10">
        <v>3</v>
      </c>
      <c r="V224" s="6">
        <f t="shared" si="18"/>
        <v>24.579489839231712</v>
      </c>
      <c r="W224" s="6">
        <f t="shared" si="19"/>
        <v>13.130084424596602</v>
      </c>
      <c r="X224" s="6">
        <f t="shared" si="20"/>
        <v>24.511343911647053</v>
      </c>
      <c r="Y224" s="6">
        <f t="shared" si="21"/>
        <v>20.549326216248474</v>
      </c>
      <c r="Z224" s="6">
        <f t="shared" si="22"/>
        <v>13.130084424596602</v>
      </c>
      <c r="AA224" s="6">
        <f t="shared" si="23"/>
        <v>2</v>
      </c>
    </row>
    <row r="225" spans="1:27">
      <c r="A225" s="11">
        <v>224</v>
      </c>
      <c r="B225" s="12">
        <v>3</v>
      </c>
      <c r="C225" s="11">
        <v>2</v>
      </c>
      <c r="D225" s="11">
        <v>2</v>
      </c>
      <c r="E225" s="11">
        <v>2</v>
      </c>
      <c r="F225" s="11">
        <v>3</v>
      </c>
      <c r="G225" s="11">
        <v>4</v>
      </c>
      <c r="H225" s="11">
        <v>2</v>
      </c>
      <c r="I225" s="11">
        <v>2</v>
      </c>
      <c r="J225" s="11">
        <v>1</v>
      </c>
      <c r="K225" s="11">
        <v>4</v>
      </c>
      <c r="L225" s="11">
        <v>2</v>
      </c>
      <c r="M225" s="11">
        <v>2</v>
      </c>
      <c r="N225" s="11">
        <v>2</v>
      </c>
      <c r="O225" s="11">
        <v>1</v>
      </c>
      <c r="P225" s="11">
        <v>4</v>
      </c>
      <c r="Q225" s="11">
        <v>2</v>
      </c>
      <c r="R225" s="11">
        <v>2</v>
      </c>
      <c r="S225" s="11">
        <v>2</v>
      </c>
      <c r="T225" s="11">
        <v>3</v>
      </c>
      <c r="U225" s="10">
        <v>2</v>
      </c>
      <c r="V225" s="6">
        <f t="shared" si="18"/>
        <v>20.884984302798593</v>
      </c>
      <c r="W225" s="6">
        <f t="shared" si="19"/>
        <v>25.23127536266739</v>
      </c>
      <c r="X225" s="6">
        <f t="shared" si="20"/>
        <v>12.599144057047756</v>
      </c>
      <c r="Y225" s="6">
        <f t="shared" si="21"/>
        <v>15.610437049920218</v>
      </c>
      <c r="Z225" s="6">
        <f t="shared" si="22"/>
        <v>12.599144057047756</v>
      </c>
      <c r="AA225" s="6">
        <f t="shared" si="23"/>
        <v>3</v>
      </c>
    </row>
    <row r="226" spans="1:27">
      <c r="A226" s="11">
        <v>225</v>
      </c>
      <c r="B226" s="12">
        <v>2</v>
      </c>
      <c r="C226" s="11">
        <v>2</v>
      </c>
      <c r="D226" s="11">
        <v>2</v>
      </c>
      <c r="E226" s="11">
        <v>2</v>
      </c>
      <c r="F226" s="11">
        <v>2</v>
      </c>
      <c r="G226" s="11">
        <v>5</v>
      </c>
      <c r="H226" s="11">
        <v>2</v>
      </c>
      <c r="I226" s="11">
        <v>2</v>
      </c>
      <c r="J226" s="11">
        <v>2</v>
      </c>
      <c r="K226" s="11">
        <v>2</v>
      </c>
      <c r="L226" s="11">
        <v>2</v>
      </c>
      <c r="M226" s="11">
        <v>2</v>
      </c>
      <c r="N226" s="11">
        <v>2</v>
      </c>
      <c r="O226" s="11">
        <v>5</v>
      </c>
      <c r="P226" s="11">
        <v>5</v>
      </c>
      <c r="Q226" s="11">
        <v>2</v>
      </c>
      <c r="R226" s="11">
        <v>5</v>
      </c>
      <c r="S226" s="11">
        <v>2</v>
      </c>
      <c r="T226" s="11">
        <v>5</v>
      </c>
      <c r="U226" s="10">
        <v>2</v>
      </c>
      <c r="V226" s="6">
        <f t="shared" si="18"/>
        <v>31.523922262692231</v>
      </c>
      <c r="W226" s="6">
        <f t="shared" si="19"/>
        <v>34.37056004448764</v>
      </c>
      <c r="X226" s="6">
        <f t="shared" si="20"/>
        <v>21.32450328436061</v>
      </c>
      <c r="Y226" s="6">
        <f t="shared" si="21"/>
        <v>31.406403680377942</v>
      </c>
      <c r="Z226" s="6">
        <f t="shared" si="22"/>
        <v>21.32450328436061</v>
      </c>
      <c r="AA226" s="6">
        <f t="shared" si="23"/>
        <v>3</v>
      </c>
    </row>
    <row r="227" spans="1:27">
      <c r="A227" s="11">
        <v>226</v>
      </c>
      <c r="B227" s="12">
        <v>4</v>
      </c>
      <c r="C227" s="11">
        <v>2</v>
      </c>
      <c r="D227" s="11">
        <v>2</v>
      </c>
      <c r="E227" s="11">
        <v>1</v>
      </c>
      <c r="F227" s="11">
        <v>4</v>
      </c>
      <c r="G227" s="11">
        <v>3</v>
      </c>
      <c r="H227" s="11">
        <v>3</v>
      </c>
      <c r="I227" s="11">
        <v>2</v>
      </c>
      <c r="J227" s="11">
        <v>2</v>
      </c>
      <c r="K227" s="11">
        <v>3</v>
      </c>
      <c r="L227" s="11">
        <v>2</v>
      </c>
      <c r="M227" s="11">
        <v>2</v>
      </c>
      <c r="N227" s="11">
        <v>2</v>
      </c>
      <c r="O227" s="11">
        <v>4</v>
      </c>
      <c r="P227" s="11">
        <v>3</v>
      </c>
      <c r="Q227" s="11">
        <v>2</v>
      </c>
      <c r="R227" s="11">
        <v>3</v>
      </c>
      <c r="S227" s="11">
        <v>5</v>
      </c>
      <c r="T227" s="11">
        <v>3</v>
      </c>
      <c r="U227" s="10">
        <v>5</v>
      </c>
      <c r="V227" s="6">
        <f t="shared" si="18"/>
        <v>20.884992888172096</v>
      </c>
      <c r="W227" s="6">
        <f t="shared" si="19"/>
        <v>18.370614021253925</v>
      </c>
      <c r="X227" s="6">
        <f t="shared" si="20"/>
        <v>25.368484187828063</v>
      </c>
      <c r="Y227" s="6">
        <f t="shared" si="21"/>
        <v>15.039074797933843</v>
      </c>
      <c r="Z227" s="6">
        <f t="shared" si="22"/>
        <v>15.039074797933843</v>
      </c>
      <c r="AA227" s="6">
        <f t="shared" si="23"/>
        <v>4</v>
      </c>
    </row>
    <row r="228" spans="1:27">
      <c r="A228" s="11">
        <v>227</v>
      </c>
      <c r="B228" s="12">
        <v>3</v>
      </c>
      <c r="C228" s="11">
        <v>2</v>
      </c>
      <c r="D228" s="11">
        <v>1</v>
      </c>
      <c r="E228" s="11">
        <v>4</v>
      </c>
      <c r="F228" s="11">
        <v>3</v>
      </c>
      <c r="G228" s="11">
        <v>4</v>
      </c>
      <c r="H228" s="11">
        <v>2</v>
      </c>
      <c r="I228" s="11">
        <v>2</v>
      </c>
      <c r="J228" s="11">
        <v>2</v>
      </c>
      <c r="K228" s="11">
        <v>2</v>
      </c>
      <c r="L228" s="11">
        <v>1</v>
      </c>
      <c r="M228" s="11">
        <v>4</v>
      </c>
      <c r="N228" s="11">
        <v>3</v>
      </c>
      <c r="O228" s="11">
        <v>2</v>
      </c>
      <c r="P228" s="11">
        <v>3</v>
      </c>
      <c r="Q228" s="11">
        <v>4</v>
      </c>
      <c r="R228" s="11">
        <v>3</v>
      </c>
      <c r="S228" s="11">
        <v>2</v>
      </c>
      <c r="T228" s="11">
        <v>3</v>
      </c>
      <c r="U228" s="10">
        <v>4</v>
      </c>
      <c r="V228" s="6">
        <f t="shared" si="18"/>
        <v>19.107202095151489</v>
      </c>
      <c r="W228" s="6">
        <f t="shared" si="19"/>
        <v>22.155352946306586</v>
      </c>
      <c r="X228" s="6">
        <f t="shared" si="20"/>
        <v>22.148726454532611</v>
      </c>
      <c r="Y228" s="6">
        <f t="shared" si="21"/>
        <v>16.732964958482594</v>
      </c>
      <c r="Z228" s="6">
        <f t="shared" si="22"/>
        <v>16.732964958482594</v>
      </c>
      <c r="AA228" s="6">
        <f t="shared" si="23"/>
        <v>4</v>
      </c>
    </row>
    <row r="229" spans="1:27">
      <c r="A229" s="11">
        <v>228</v>
      </c>
      <c r="B229" s="12">
        <v>2</v>
      </c>
      <c r="C229" s="11">
        <v>2</v>
      </c>
      <c r="D229" s="11">
        <v>3</v>
      </c>
      <c r="E229" s="11">
        <v>3</v>
      </c>
      <c r="F229" s="11">
        <v>5</v>
      </c>
      <c r="G229" s="11">
        <v>4</v>
      </c>
      <c r="H229" s="11">
        <v>3</v>
      </c>
      <c r="I229" s="11">
        <v>2</v>
      </c>
      <c r="J229" s="11">
        <v>2</v>
      </c>
      <c r="K229" s="11">
        <v>3</v>
      </c>
      <c r="L229" s="11">
        <v>2</v>
      </c>
      <c r="M229" s="11">
        <v>2</v>
      </c>
      <c r="N229" s="11">
        <v>2</v>
      </c>
      <c r="O229" s="11">
        <v>4</v>
      </c>
      <c r="P229" s="11">
        <v>4</v>
      </c>
      <c r="Q229" s="11">
        <v>3</v>
      </c>
      <c r="R229" s="11">
        <v>2</v>
      </c>
      <c r="S229" s="11">
        <v>4</v>
      </c>
      <c r="T229" s="11">
        <v>3</v>
      </c>
      <c r="U229" s="10">
        <v>5</v>
      </c>
      <c r="V229" s="6">
        <f t="shared" si="18"/>
        <v>9.7461490877126788</v>
      </c>
      <c r="W229" s="6">
        <f t="shared" si="19"/>
        <v>12.838970684124023</v>
      </c>
      <c r="X229" s="6">
        <f t="shared" si="20"/>
        <v>26.522328045249978</v>
      </c>
      <c r="Y229" s="6">
        <f t="shared" si="21"/>
        <v>17.283976381541862</v>
      </c>
      <c r="Z229" s="6">
        <f t="shared" si="22"/>
        <v>9.7461490877126788</v>
      </c>
      <c r="AA229" s="6">
        <f t="shared" si="23"/>
        <v>1</v>
      </c>
    </row>
    <row r="230" spans="1:27">
      <c r="A230" s="11">
        <v>229</v>
      </c>
      <c r="B230" s="12">
        <v>3</v>
      </c>
      <c r="C230" s="11">
        <v>2</v>
      </c>
      <c r="D230" s="11">
        <v>1</v>
      </c>
      <c r="E230" s="11">
        <v>2</v>
      </c>
      <c r="F230" s="11">
        <v>2</v>
      </c>
      <c r="G230" s="11">
        <v>1</v>
      </c>
      <c r="H230" s="11">
        <v>3</v>
      </c>
      <c r="I230" s="11">
        <v>2</v>
      </c>
      <c r="J230" s="11">
        <v>2</v>
      </c>
      <c r="K230" s="11">
        <v>2</v>
      </c>
      <c r="L230" s="11">
        <v>3</v>
      </c>
      <c r="M230" s="11">
        <v>3</v>
      </c>
      <c r="N230" s="11">
        <v>3</v>
      </c>
      <c r="O230" s="11">
        <v>4</v>
      </c>
      <c r="P230" s="11">
        <v>4</v>
      </c>
      <c r="Q230" s="11">
        <v>1</v>
      </c>
      <c r="R230" s="11">
        <v>2</v>
      </c>
      <c r="S230" s="11">
        <v>1</v>
      </c>
      <c r="T230" s="11">
        <v>3</v>
      </c>
      <c r="U230" s="10">
        <v>3</v>
      </c>
      <c r="V230" s="6">
        <f t="shared" si="18"/>
        <v>25.523871856054644</v>
      </c>
      <c r="W230" s="6">
        <f t="shared" si="19"/>
        <v>28.851540605851632</v>
      </c>
      <c r="X230" s="6">
        <f t="shared" si="20"/>
        <v>11.764077847575653</v>
      </c>
      <c r="Y230" s="6">
        <f t="shared" si="21"/>
        <v>14.896178461930726</v>
      </c>
      <c r="Z230" s="6">
        <f t="shared" si="22"/>
        <v>11.764077847575653</v>
      </c>
      <c r="AA230" s="6">
        <f t="shared" si="23"/>
        <v>3</v>
      </c>
    </row>
    <row r="231" spans="1:27">
      <c r="A231" s="11">
        <v>230</v>
      </c>
      <c r="B231" s="12">
        <v>2</v>
      </c>
      <c r="C231" s="11">
        <v>4</v>
      </c>
      <c r="D231" s="11">
        <v>1</v>
      </c>
      <c r="E231" s="11">
        <v>3</v>
      </c>
      <c r="F231" s="11">
        <v>5</v>
      </c>
      <c r="G231" s="11">
        <v>2</v>
      </c>
      <c r="H231" s="11">
        <v>3</v>
      </c>
      <c r="I231" s="11">
        <v>1</v>
      </c>
      <c r="J231" s="11">
        <v>1</v>
      </c>
      <c r="K231" s="11">
        <v>3</v>
      </c>
      <c r="L231" s="11">
        <v>1</v>
      </c>
      <c r="M231" s="11">
        <v>1</v>
      </c>
      <c r="N231" s="11">
        <v>5</v>
      </c>
      <c r="O231" s="11">
        <v>5</v>
      </c>
      <c r="P231" s="11">
        <v>4</v>
      </c>
      <c r="Q231" s="11">
        <v>5</v>
      </c>
      <c r="R231" s="11">
        <v>1</v>
      </c>
      <c r="S231" s="11">
        <v>2</v>
      </c>
      <c r="T231" s="11">
        <v>1</v>
      </c>
      <c r="U231" s="10">
        <v>5</v>
      </c>
      <c r="V231" s="6">
        <f t="shared" si="18"/>
        <v>29.412804787164493</v>
      </c>
      <c r="W231" s="6">
        <f t="shared" si="19"/>
        <v>49.762953613951751</v>
      </c>
      <c r="X231" s="6">
        <f t="shared" si="20"/>
        <v>47.346553053862834</v>
      </c>
      <c r="Y231" s="6">
        <f t="shared" si="21"/>
        <v>47.324770780384185</v>
      </c>
      <c r="Z231" s="6">
        <f t="shared" si="22"/>
        <v>29.412804787164493</v>
      </c>
      <c r="AA231" s="6">
        <f t="shared" si="23"/>
        <v>1</v>
      </c>
    </row>
    <row r="232" spans="1:27">
      <c r="A232" s="11">
        <v>231</v>
      </c>
      <c r="B232" s="12">
        <v>2</v>
      </c>
      <c r="C232" s="11">
        <v>3</v>
      </c>
      <c r="D232" s="11">
        <v>3</v>
      </c>
      <c r="E232" s="11">
        <v>3</v>
      </c>
      <c r="F232" s="11">
        <v>3</v>
      </c>
      <c r="G232" s="11">
        <v>2</v>
      </c>
      <c r="H232" s="11">
        <v>3</v>
      </c>
      <c r="I232" s="11">
        <v>4</v>
      </c>
      <c r="J232" s="11">
        <v>3</v>
      </c>
      <c r="K232" s="11">
        <v>5</v>
      </c>
      <c r="L232" s="11">
        <v>3</v>
      </c>
      <c r="M232" s="11">
        <v>2</v>
      </c>
      <c r="N232" s="11">
        <v>3</v>
      </c>
      <c r="O232" s="11">
        <v>3</v>
      </c>
      <c r="P232" s="11">
        <v>4</v>
      </c>
      <c r="Q232" s="11">
        <v>2</v>
      </c>
      <c r="R232" s="11">
        <v>3</v>
      </c>
      <c r="S232" s="11">
        <v>4</v>
      </c>
      <c r="T232" s="11">
        <v>3</v>
      </c>
      <c r="U232" s="10">
        <v>4</v>
      </c>
      <c r="V232" s="6">
        <f t="shared" si="18"/>
        <v>22.19061327830719</v>
      </c>
      <c r="W232" s="6">
        <f t="shared" si="19"/>
        <v>9.8516555949812226</v>
      </c>
      <c r="X232" s="6">
        <f t="shared" si="20"/>
        <v>26.56626554772879</v>
      </c>
      <c r="Y232" s="6">
        <f t="shared" si="21"/>
        <v>20.93702200126797</v>
      </c>
      <c r="Z232" s="6">
        <f t="shared" si="22"/>
        <v>9.8516555949812226</v>
      </c>
      <c r="AA232" s="6">
        <f t="shared" si="23"/>
        <v>2</v>
      </c>
    </row>
    <row r="233" spans="1:27">
      <c r="A233" s="11">
        <v>232</v>
      </c>
      <c r="B233" s="12">
        <v>4</v>
      </c>
      <c r="C233" s="11">
        <v>1</v>
      </c>
      <c r="D233" s="11">
        <v>1</v>
      </c>
      <c r="E233" s="11">
        <v>3</v>
      </c>
      <c r="F233" s="11">
        <v>1</v>
      </c>
      <c r="G233" s="11">
        <v>4</v>
      </c>
      <c r="H233" s="11">
        <v>3</v>
      </c>
      <c r="I233" s="11">
        <v>2</v>
      </c>
      <c r="J233" s="11">
        <v>3</v>
      </c>
      <c r="K233" s="11">
        <v>3</v>
      </c>
      <c r="L233" s="11">
        <v>2</v>
      </c>
      <c r="M233" s="11">
        <v>3</v>
      </c>
      <c r="N233" s="11">
        <v>3</v>
      </c>
      <c r="O233" s="11">
        <v>4</v>
      </c>
      <c r="P233" s="11">
        <v>5</v>
      </c>
      <c r="Q233" s="11">
        <v>1</v>
      </c>
      <c r="R233" s="11">
        <v>3</v>
      </c>
      <c r="S233" s="11">
        <v>2</v>
      </c>
      <c r="T233" s="11">
        <v>3</v>
      </c>
      <c r="U233" s="10">
        <v>2</v>
      </c>
      <c r="V233" s="6">
        <f t="shared" si="18"/>
        <v>25.246126531546413</v>
      </c>
      <c r="W233" s="6">
        <f t="shared" si="19"/>
        <v>30.978172803743099</v>
      </c>
      <c r="X233" s="6">
        <f t="shared" si="20"/>
        <v>9.9618816989773968</v>
      </c>
      <c r="Y233" s="6">
        <f t="shared" si="21"/>
        <v>21.222736320538495</v>
      </c>
      <c r="Z233" s="6">
        <f t="shared" si="22"/>
        <v>9.9618816989773968</v>
      </c>
      <c r="AA233" s="6">
        <f t="shared" si="23"/>
        <v>3</v>
      </c>
    </row>
    <row r="234" spans="1:27">
      <c r="A234" s="11">
        <v>233</v>
      </c>
      <c r="B234" s="12">
        <v>3</v>
      </c>
      <c r="C234" s="11">
        <v>1</v>
      </c>
      <c r="D234" s="11">
        <v>1</v>
      </c>
      <c r="E234" s="11">
        <v>4</v>
      </c>
      <c r="F234" s="11">
        <v>5</v>
      </c>
      <c r="G234" s="11">
        <v>5</v>
      </c>
      <c r="H234" s="11">
        <v>4</v>
      </c>
      <c r="I234" s="11">
        <v>1</v>
      </c>
      <c r="J234" s="11">
        <v>1</v>
      </c>
      <c r="K234" s="11">
        <v>2</v>
      </c>
      <c r="L234" s="11">
        <v>2</v>
      </c>
      <c r="M234" s="11">
        <v>2</v>
      </c>
      <c r="N234" s="11">
        <v>3</v>
      </c>
      <c r="O234" s="11">
        <v>4</v>
      </c>
      <c r="P234" s="11">
        <v>4</v>
      </c>
      <c r="Q234" s="11">
        <v>5</v>
      </c>
      <c r="R234" s="11">
        <v>2</v>
      </c>
      <c r="S234" s="11">
        <v>1</v>
      </c>
      <c r="T234" s="11">
        <v>1</v>
      </c>
      <c r="U234" s="10">
        <v>4</v>
      </c>
      <c r="V234" s="6">
        <f t="shared" si="18"/>
        <v>21.246175893335515</v>
      </c>
      <c r="W234" s="6">
        <f t="shared" si="19"/>
        <v>44.016097807751152</v>
      </c>
      <c r="X234" s="6">
        <f t="shared" si="20"/>
        <v>35.34654046905213</v>
      </c>
      <c r="Y234" s="6">
        <f t="shared" si="21"/>
        <v>40.141117014877068</v>
      </c>
      <c r="Z234" s="6">
        <f t="shared" si="22"/>
        <v>21.246175893335515</v>
      </c>
      <c r="AA234" s="6">
        <f t="shared" si="23"/>
        <v>1</v>
      </c>
    </row>
    <row r="235" spans="1:27">
      <c r="A235" s="11">
        <v>234</v>
      </c>
      <c r="B235" s="12">
        <v>2</v>
      </c>
      <c r="C235" s="11">
        <v>2</v>
      </c>
      <c r="D235" s="11">
        <v>2</v>
      </c>
      <c r="E235" s="11">
        <v>4</v>
      </c>
      <c r="F235" s="11">
        <v>3</v>
      </c>
      <c r="G235" s="11">
        <v>4</v>
      </c>
      <c r="H235" s="11">
        <v>3</v>
      </c>
      <c r="I235" s="11">
        <v>2</v>
      </c>
      <c r="J235" s="11">
        <v>2</v>
      </c>
      <c r="K235" s="11">
        <v>3</v>
      </c>
      <c r="L235" s="11">
        <v>2</v>
      </c>
      <c r="M235" s="11">
        <v>2</v>
      </c>
      <c r="N235" s="11">
        <v>4</v>
      </c>
      <c r="O235" s="11">
        <v>4</v>
      </c>
      <c r="P235" s="11">
        <v>4</v>
      </c>
      <c r="Q235" s="11">
        <v>2</v>
      </c>
      <c r="R235" s="11">
        <v>2</v>
      </c>
      <c r="S235" s="11">
        <v>3</v>
      </c>
      <c r="T235" s="11">
        <v>2</v>
      </c>
      <c r="U235" s="10">
        <v>2</v>
      </c>
      <c r="V235" s="6">
        <f t="shared" si="18"/>
        <v>7.5516949555576023</v>
      </c>
      <c r="W235" s="6">
        <f t="shared" si="19"/>
        <v>16.484476791737542</v>
      </c>
      <c r="X235" s="6">
        <f t="shared" si="20"/>
        <v>9.3354637278415744</v>
      </c>
      <c r="Y235" s="6">
        <f t="shared" si="21"/>
        <v>15.141114879077916</v>
      </c>
      <c r="Z235" s="6">
        <f t="shared" si="22"/>
        <v>7.5516949555576023</v>
      </c>
      <c r="AA235" s="6">
        <f t="shared" si="23"/>
        <v>1</v>
      </c>
    </row>
    <row r="236" spans="1:27">
      <c r="A236" s="11">
        <v>235</v>
      </c>
      <c r="B236" s="12">
        <v>3</v>
      </c>
      <c r="C236" s="11">
        <v>2</v>
      </c>
      <c r="D236" s="11">
        <v>2</v>
      </c>
      <c r="E236" s="11">
        <v>2</v>
      </c>
      <c r="F236" s="11">
        <v>3</v>
      </c>
      <c r="G236" s="11">
        <v>5</v>
      </c>
      <c r="H236" s="11">
        <v>2</v>
      </c>
      <c r="I236" s="11">
        <v>2</v>
      </c>
      <c r="J236" s="11">
        <v>2</v>
      </c>
      <c r="K236" s="11">
        <v>3</v>
      </c>
      <c r="L236" s="11">
        <v>3</v>
      </c>
      <c r="M236" s="11">
        <v>1</v>
      </c>
      <c r="N236" s="11">
        <v>3</v>
      </c>
      <c r="O236" s="11">
        <v>4</v>
      </c>
      <c r="P236" s="11">
        <v>4</v>
      </c>
      <c r="Q236" s="11">
        <v>1</v>
      </c>
      <c r="R236" s="11">
        <v>1</v>
      </c>
      <c r="S236" s="11">
        <v>2</v>
      </c>
      <c r="T236" s="11">
        <v>2</v>
      </c>
      <c r="U236" s="10">
        <v>2</v>
      </c>
      <c r="V236" s="6">
        <f t="shared" si="18"/>
        <v>17.635021725434715</v>
      </c>
      <c r="W236" s="6">
        <f t="shared" si="19"/>
        <v>28.421180566483962</v>
      </c>
      <c r="X236" s="6">
        <f t="shared" si="20"/>
        <v>12.357427799029997</v>
      </c>
      <c r="Y236" s="6">
        <f t="shared" si="21"/>
        <v>21.100270342588651</v>
      </c>
      <c r="Z236" s="6">
        <f t="shared" si="22"/>
        <v>12.357427799029997</v>
      </c>
      <c r="AA236" s="6">
        <f t="shared" si="23"/>
        <v>3</v>
      </c>
    </row>
    <row r="237" spans="1:27">
      <c r="A237" s="11">
        <v>236</v>
      </c>
      <c r="B237" s="12">
        <v>2</v>
      </c>
      <c r="C237" s="11">
        <v>2</v>
      </c>
      <c r="D237" s="11">
        <v>1</v>
      </c>
      <c r="E237" s="11">
        <v>2</v>
      </c>
      <c r="F237" s="11">
        <v>2</v>
      </c>
      <c r="G237" s="11">
        <v>2</v>
      </c>
      <c r="H237" s="11">
        <v>1</v>
      </c>
      <c r="I237" s="11">
        <v>1</v>
      </c>
      <c r="J237" s="11">
        <v>1</v>
      </c>
      <c r="K237" s="11">
        <v>1</v>
      </c>
      <c r="L237" s="11">
        <v>2</v>
      </c>
      <c r="M237" s="11">
        <v>2</v>
      </c>
      <c r="N237" s="11">
        <v>3</v>
      </c>
      <c r="O237" s="11">
        <v>2</v>
      </c>
      <c r="P237" s="11">
        <v>1</v>
      </c>
      <c r="Q237" s="11">
        <v>2</v>
      </c>
      <c r="R237" s="11">
        <v>3</v>
      </c>
      <c r="S237" s="11">
        <v>2</v>
      </c>
      <c r="T237" s="11">
        <v>1</v>
      </c>
      <c r="U237" s="10">
        <v>2</v>
      </c>
      <c r="V237" s="6">
        <f t="shared" si="18"/>
        <v>39.412689873931171</v>
      </c>
      <c r="W237" s="6">
        <f t="shared" si="19"/>
        <v>46.927377287393576</v>
      </c>
      <c r="X237" s="6">
        <f t="shared" si="20"/>
        <v>28.906812416023044</v>
      </c>
      <c r="Y237" s="6">
        <f t="shared" si="21"/>
        <v>22.671678667254874</v>
      </c>
      <c r="Z237" s="6">
        <f t="shared" si="22"/>
        <v>22.671678667254874</v>
      </c>
      <c r="AA237" s="6">
        <f t="shared" si="23"/>
        <v>4</v>
      </c>
    </row>
    <row r="238" spans="1:27">
      <c r="A238" s="11">
        <v>237</v>
      </c>
      <c r="B238" s="12">
        <v>2</v>
      </c>
      <c r="C238" s="11">
        <v>2</v>
      </c>
      <c r="D238" s="11">
        <v>1</v>
      </c>
      <c r="E238" s="11">
        <v>3</v>
      </c>
      <c r="F238" s="11">
        <v>3</v>
      </c>
      <c r="G238" s="11">
        <v>4</v>
      </c>
      <c r="H238" s="11">
        <v>4</v>
      </c>
      <c r="I238" s="11">
        <v>5</v>
      </c>
      <c r="J238" s="11">
        <v>4</v>
      </c>
      <c r="K238" s="11">
        <v>4</v>
      </c>
      <c r="L238" s="11">
        <v>2</v>
      </c>
      <c r="M238" s="11">
        <v>2</v>
      </c>
      <c r="N238" s="11">
        <v>3</v>
      </c>
      <c r="O238" s="11">
        <v>4</v>
      </c>
      <c r="P238" s="11">
        <v>4</v>
      </c>
      <c r="Q238" s="11">
        <v>3</v>
      </c>
      <c r="R238" s="11">
        <v>3</v>
      </c>
      <c r="S238" s="11">
        <v>3</v>
      </c>
      <c r="T238" s="11">
        <v>2</v>
      </c>
      <c r="U238" s="10">
        <v>2</v>
      </c>
      <c r="V238" s="6">
        <f t="shared" si="18"/>
        <v>20.996172095503557</v>
      </c>
      <c r="W238" s="6">
        <f t="shared" si="19"/>
        <v>22.965523328514784</v>
      </c>
      <c r="X238" s="6">
        <f t="shared" si="20"/>
        <v>22.522357437293451</v>
      </c>
      <c r="Y238" s="6">
        <f t="shared" si="21"/>
        <v>29.77378792472345</v>
      </c>
      <c r="Z238" s="6">
        <f t="shared" si="22"/>
        <v>20.996172095503557</v>
      </c>
      <c r="AA238" s="6">
        <f t="shared" si="23"/>
        <v>1</v>
      </c>
    </row>
    <row r="239" spans="1:27">
      <c r="A239" s="11">
        <v>238</v>
      </c>
      <c r="B239" s="12">
        <v>2</v>
      </c>
      <c r="C239" s="11">
        <v>3</v>
      </c>
      <c r="D239" s="11">
        <v>2</v>
      </c>
      <c r="E239" s="11">
        <v>3</v>
      </c>
      <c r="F239" s="11">
        <v>2</v>
      </c>
      <c r="G239" s="11">
        <v>3</v>
      </c>
      <c r="H239" s="11">
        <v>2</v>
      </c>
      <c r="I239" s="11">
        <v>3</v>
      </c>
      <c r="J239" s="11">
        <v>2</v>
      </c>
      <c r="K239" s="11">
        <v>3</v>
      </c>
      <c r="L239" s="11">
        <v>2</v>
      </c>
      <c r="M239" s="11">
        <v>3</v>
      </c>
      <c r="N239" s="11">
        <v>2</v>
      </c>
      <c r="O239" s="11">
        <v>3</v>
      </c>
      <c r="P239" s="11">
        <v>2</v>
      </c>
      <c r="Q239" s="11">
        <v>3</v>
      </c>
      <c r="R239" s="11">
        <v>2</v>
      </c>
      <c r="S239" s="11">
        <v>3</v>
      </c>
      <c r="T239" s="11">
        <v>2</v>
      </c>
      <c r="U239" s="10">
        <v>3</v>
      </c>
      <c r="V239" s="6">
        <f t="shared" si="18"/>
        <v>13.218308452830772</v>
      </c>
      <c r="W239" s="6">
        <f t="shared" si="19"/>
        <v>14.281913420000592</v>
      </c>
      <c r="X239" s="6">
        <f t="shared" si="20"/>
        <v>15.950837396951364</v>
      </c>
      <c r="Y239" s="6">
        <f t="shared" si="21"/>
        <v>8.3451822302331014</v>
      </c>
      <c r="Z239" s="6">
        <f t="shared" si="22"/>
        <v>8.3451822302331014</v>
      </c>
      <c r="AA239" s="6">
        <f t="shared" si="23"/>
        <v>4</v>
      </c>
    </row>
    <row r="240" spans="1:27">
      <c r="A240" s="11">
        <v>239</v>
      </c>
      <c r="B240" s="12">
        <v>3</v>
      </c>
      <c r="C240" s="11">
        <v>3</v>
      </c>
      <c r="D240" s="11">
        <v>2</v>
      </c>
      <c r="E240" s="11">
        <v>4</v>
      </c>
      <c r="F240" s="11">
        <v>4</v>
      </c>
      <c r="G240" s="11">
        <v>3</v>
      </c>
      <c r="H240" s="11">
        <v>3</v>
      </c>
      <c r="I240" s="11">
        <v>2</v>
      </c>
      <c r="J240" s="11">
        <v>2</v>
      </c>
      <c r="K240" s="11">
        <v>2</v>
      </c>
      <c r="L240" s="11">
        <v>2</v>
      </c>
      <c r="M240" s="11">
        <v>2</v>
      </c>
      <c r="N240" s="11">
        <v>4</v>
      </c>
      <c r="O240" s="11">
        <v>4</v>
      </c>
      <c r="P240" s="11">
        <v>4</v>
      </c>
      <c r="Q240" s="11">
        <v>2</v>
      </c>
      <c r="R240" s="11">
        <v>2</v>
      </c>
      <c r="S240" s="11">
        <v>3</v>
      </c>
      <c r="T240" s="11">
        <v>4</v>
      </c>
      <c r="U240" s="10">
        <v>4</v>
      </c>
      <c r="V240" s="6">
        <f t="shared" si="18"/>
        <v>9.0239146387252038</v>
      </c>
      <c r="W240" s="6">
        <f t="shared" si="19"/>
        <v>10.497185801475149</v>
      </c>
      <c r="X240" s="6">
        <f t="shared" si="20"/>
        <v>15.2806009813981</v>
      </c>
      <c r="Y240" s="6">
        <f t="shared" si="21"/>
        <v>14.651349069536908</v>
      </c>
      <c r="Z240" s="6">
        <f t="shared" si="22"/>
        <v>9.0239146387252038</v>
      </c>
      <c r="AA240" s="6">
        <f t="shared" si="23"/>
        <v>1</v>
      </c>
    </row>
    <row r="241" spans="1:27">
      <c r="A241" s="11">
        <v>240</v>
      </c>
      <c r="B241" s="12">
        <v>3</v>
      </c>
      <c r="C241" s="11">
        <v>1</v>
      </c>
      <c r="D241" s="11">
        <v>1</v>
      </c>
      <c r="E241" s="11">
        <v>4</v>
      </c>
      <c r="F241" s="11">
        <v>3</v>
      </c>
      <c r="G241" s="11">
        <v>3</v>
      </c>
      <c r="H241" s="11">
        <v>1</v>
      </c>
      <c r="I241" s="11">
        <v>2</v>
      </c>
      <c r="J241" s="11">
        <v>2</v>
      </c>
      <c r="K241" s="11">
        <v>5</v>
      </c>
      <c r="L241" s="11">
        <v>2</v>
      </c>
      <c r="M241" s="11">
        <v>1</v>
      </c>
      <c r="N241" s="11">
        <v>4</v>
      </c>
      <c r="O241" s="11">
        <v>4</v>
      </c>
      <c r="P241" s="11">
        <v>5</v>
      </c>
      <c r="Q241" s="11">
        <v>5</v>
      </c>
      <c r="R241" s="11">
        <v>3</v>
      </c>
      <c r="S241" s="11">
        <v>1</v>
      </c>
      <c r="T241" s="11">
        <v>1</v>
      </c>
      <c r="U241" s="10">
        <v>3</v>
      </c>
      <c r="V241" s="6">
        <f t="shared" si="18"/>
        <v>26.718415991083397</v>
      </c>
      <c r="W241" s="6">
        <f t="shared" si="19"/>
        <v>45.269304873858914</v>
      </c>
      <c r="X241" s="6">
        <f t="shared" si="20"/>
        <v>29.247594008141647</v>
      </c>
      <c r="Y241" s="6">
        <f t="shared" si="21"/>
        <v>42.957396532471584</v>
      </c>
      <c r="Z241" s="6">
        <f t="shared" si="22"/>
        <v>26.718415991083397</v>
      </c>
      <c r="AA241" s="6">
        <f t="shared" si="23"/>
        <v>1</v>
      </c>
    </row>
    <row r="242" spans="1:27">
      <c r="A242" s="11">
        <v>241</v>
      </c>
      <c r="B242" s="12">
        <v>3</v>
      </c>
      <c r="C242" s="11">
        <v>2</v>
      </c>
      <c r="D242" s="11">
        <v>2</v>
      </c>
      <c r="E242" s="11">
        <v>2</v>
      </c>
      <c r="F242" s="11">
        <v>2</v>
      </c>
      <c r="G242" s="11">
        <v>4</v>
      </c>
      <c r="H242" s="11">
        <v>4</v>
      </c>
      <c r="I242" s="11">
        <v>3</v>
      </c>
      <c r="J242" s="11">
        <v>3</v>
      </c>
      <c r="K242" s="11">
        <v>2</v>
      </c>
      <c r="L242" s="11">
        <v>1</v>
      </c>
      <c r="M242" s="11">
        <v>3</v>
      </c>
      <c r="N242" s="11">
        <v>4</v>
      </c>
      <c r="O242" s="11">
        <v>1</v>
      </c>
      <c r="P242" s="11">
        <v>2</v>
      </c>
      <c r="Q242" s="11">
        <v>2</v>
      </c>
      <c r="R242" s="11">
        <v>2</v>
      </c>
      <c r="S242" s="11">
        <v>2</v>
      </c>
      <c r="T242" s="11">
        <v>4</v>
      </c>
      <c r="U242" s="10">
        <v>2</v>
      </c>
      <c r="V242" s="6">
        <f t="shared" si="18"/>
        <v>33.829379723640713</v>
      </c>
      <c r="W242" s="6">
        <f t="shared" si="19"/>
        <v>26.990769732088268</v>
      </c>
      <c r="X242" s="6">
        <f t="shared" si="20"/>
        <v>23.62115365110829</v>
      </c>
      <c r="Y242" s="6">
        <f t="shared" si="21"/>
        <v>20.161532899214983</v>
      </c>
      <c r="Z242" s="6">
        <f t="shared" si="22"/>
        <v>20.161532899214983</v>
      </c>
      <c r="AA242" s="6">
        <f t="shared" si="23"/>
        <v>4</v>
      </c>
    </row>
    <row r="243" spans="1:27">
      <c r="A243" s="11">
        <v>242</v>
      </c>
      <c r="B243" s="12">
        <v>2</v>
      </c>
      <c r="C243" s="11">
        <v>2</v>
      </c>
      <c r="D243" s="11">
        <v>3</v>
      </c>
      <c r="E243" s="11">
        <v>3</v>
      </c>
      <c r="F243" s="11">
        <v>3</v>
      </c>
      <c r="G243" s="11">
        <v>4</v>
      </c>
      <c r="H243" s="11">
        <v>3</v>
      </c>
      <c r="I243" s="11">
        <v>2</v>
      </c>
      <c r="J243" s="11">
        <v>3</v>
      </c>
      <c r="K243" s="11">
        <v>2</v>
      </c>
      <c r="L243" s="11">
        <v>3</v>
      </c>
      <c r="M243" s="11">
        <v>3</v>
      </c>
      <c r="N243" s="11">
        <v>3</v>
      </c>
      <c r="O243" s="11">
        <v>2</v>
      </c>
      <c r="P243" s="11">
        <v>2</v>
      </c>
      <c r="Q243" s="11">
        <v>3</v>
      </c>
      <c r="R243" s="11">
        <v>3</v>
      </c>
      <c r="S243" s="11">
        <v>3</v>
      </c>
      <c r="T243" s="11">
        <v>2</v>
      </c>
      <c r="U243" s="10">
        <v>3</v>
      </c>
      <c r="V243" s="6">
        <f t="shared" si="18"/>
        <v>19.218341228882117</v>
      </c>
      <c r="W243" s="6">
        <f t="shared" si="19"/>
        <v>10.864211423239867</v>
      </c>
      <c r="X243" s="6">
        <f t="shared" si="20"/>
        <v>21.467303739478091</v>
      </c>
      <c r="Y243" s="6">
        <f t="shared" si="21"/>
        <v>12.283990804288125</v>
      </c>
      <c r="Z243" s="6">
        <f t="shared" si="22"/>
        <v>10.864211423239867</v>
      </c>
      <c r="AA243" s="6">
        <f t="shared" si="23"/>
        <v>2</v>
      </c>
    </row>
    <row r="244" spans="1:27">
      <c r="A244" s="11">
        <v>243</v>
      </c>
      <c r="B244" s="12">
        <v>2</v>
      </c>
      <c r="C244" s="11">
        <v>3</v>
      </c>
      <c r="D244" s="11">
        <v>2</v>
      </c>
      <c r="E244" s="11">
        <v>3</v>
      </c>
      <c r="F244" s="11">
        <v>4</v>
      </c>
      <c r="G244" s="11">
        <v>3</v>
      </c>
      <c r="H244" s="11">
        <v>2</v>
      </c>
      <c r="I244" s="11">
        <v>3</v>
      </c>
      <c r="J244" s="11">
        <v>3</v>
      </c>
      <c r="K244" s="11">
        <v>4</v>
      </c>
      <c r="L244" s="11">
        <v>3</v>
      </c>
      <c r="M244" s="11">
        <v>2</v>
      </c>
      <c r="N244" s="11">
        <v>3</v>
      </c>
      <c r="O244" s="11">
        <v>4</v>
      </c>
      <c r="P244" s="11">
        <v>3</v>
      </c>
      <c r="Q244" s="11">
        <v>2</v>
      </c>
      <c r="R244" s="11">
        <v>3</v>
      </c>
      <c r="S244" s="11">
        <v>3</v>
      </c>
      <c r="T244" s="11">
        <v>2</v>
      </c>
      <c r="U244" s="10">
        <v>3</v>
      </c>
      <c r="V244" s="6">
        <f t="shared" si="18"/>
        <v>11.801715341953795</v>
      </c>
      <c r="W244" s="6">
        <f t="shared" si="19"/>
        <v>9.2566727285215062</v>
      </c>
      <c r="X244" s="6">
        <f t="shared" si="20"/>
        <v>14.753081146512582</v>
      </c>
      <c r="Y244" s="6">
        <f t="shared" si="21"/>
        <v>15.834994262008649</v>
      </c>
      <c r="Z244" s="6">
        <f t="shared" si="22"/>
        <v>9.2566727285215062</v>
      </c>
      <c r="AA244" s="6">
        <f t="shared" si="23"/>
        <v>2</v>
      </c>
    </row>
    <row r="245" spans="1:27">
      <c r="A245" s="11">
        <v>244</v>
      </c>
      <c r="B245" s="12">
        <v>4</v>
      </c>
      <c r="C245" s="11">
        <v>3</v>
      </c>
      <c r="D245" s="11">
        <v>2</v>
      </c>
      <c r="E245" s="11">
        <v>3</v>
      </c>
      <c r="F245" s="11">
        <v>3</v>
      </c>
      <c r="G245" s="11">
        <v>1</v>
      </c>
      <c r="H245" s="11">
        <v>1</v>
      </c>
      <c r="I245" s="11">
        <v>1</v>
      </c>
      <c r="J245" s="11">
        <v>2</v>
      </c>
      <c r="K245" s="11">
        <v>3</v>
      </c>
      <c r="L245" s="11">
        <v>2</v>
      </c>
      <c r="M245" s="11">
        <v>1</v>
      </c>
      <c r="N245" s="11">
        <v>1</v>
      </c>
      <c r="O245" s="11">
        <v>3</v>
      </c>
      <c r="P245" s="11">
        <v>3</v>
      </c>
      <c r="Q245" s="11">
        <v>2</v>
      </c>
      <c r="R245" s="11">
        <v>3</v>
      </c>
      <c r="S245" s="11">
        <v>2</v>
      </c>
      <c r="T245" s="11">
        <v>3</v>
      </c>
      <c r="U245" s="10">
        <v>2</v>
      </c>
      <c r="V245" s="6">
        <f t="shared" si="18"/>
        <v>24.746108613471637</v>
      </c>
      <c r="W245" s="6">
        <f t="shared" si="19"/>
        <v>29.914825658869646</v>
      </c>
      <c r="X245" s="6">
        <f t="shared" si="20"/>
        <v>17.170566065831302</v>
      </c>
      <c r="Y245" s="6">
        <f t="shared" si="21"/>
        <v>20.814545070073315</v>
      </c>
      <c r="Z245" s="6">
        <f t="shared" si="22"/>
        <v>17.170566065831302</v>
      </c>
      <c r="AA245" s="6">
        <f t="shared" si="23"/>
        <v>3</v>
      </c>
    </row>
    <row r="246" spans="1:27">
      <c r="A246" s="11">
        <v>245</v>
      </c>
      <c r="B246" s="12">
        <v>4</v>
      </c>
      <c r="C246" s="11">
        <v>1</v>
      </c>
      <c r="D246" s="11">
        <v>1</v>
      </c>
      <c r="E246" s="11">
        <v>3</v>
      </c>
      <c r="F246" s="11">
        <v>1</v>
      </c>
      <c r="G246" s="11">
        <v>4</v>
      </c>
      <c r="H246" s="11">
        <v>3</v>
      </c>
      <c r="I246" s="11">
        <v>2</v>
      </c>
      <c r="J246" s="11">
        <v>3</v>
      </c>
      <c r="K246" s="11">
        <v>3</v>
      </c>
      <c r="L246" s="11">
        <v>2</v>
      </c>
      <c r="M246" s="11">
        <v>3</v>
      </c>
      <c r="N246" s="11">
        <v>3</v>
      </c>
      <c r="O246" s="11">
        <v>4</v>
      </c>
      <c r="P246" s="11">
        <v>5</v>
      </c>
      <c r="Q246" s="11">
        <v>1</v>
      </c>
      <c r="R246" s="11">
        <v>3</v>
      </c>
      <c r="S246" s="11">
        <v>2</v>
      </c>
      <c r="T246" s="11">
        <v>3</v>
      </c>
      <c r="U246" s="10">
        <v>2</v>
      </c>
      <c r="V246" s="6">
        <f t="shared" si="18"/>
        <v>25.246126531546413</v>
      </c>
      <c r="W246" s="6">
        <f t="shared" si="19"/>
        <v>30.978172803743099</v>
      </c>
      <c r="X246" s="6">
        <f t="shared" si="20"/>
        <v>9.9618816989773968</v>
      </c>
      <c r="Y246" s="6">
        <f t="shared" si="21"/>
        <v>21.222736320538495</v>
      </c>
      <c r="Z246" s="6">
        <f t="shared" si="22"/>
        <v>9.9618816989773968</v>
      </c>
      <c r="AA246" s="6">
        <f t="shared" si="23"/>
        <v>3</v>
      </c>
    </row>
    <row r="247" spans="1:27">
      <c r="A247" s="11">
        <v>246</v>
      </c>
      <c r="B247" s="12">
        <v>4</v>
      </c>
      <c r="C247" s="11">
        <v>4</v>
      </c>
      <c r="D247" s="11">
        <v>4</v>
      </c>
      <c r="E247" s="11">
        <v>4</v>
      </c>
      <c r="F247" s="11">
        <v>3</v>
      </c>
      <c r="G247" s="11">
        <v>3</v>
      </c>
      <c r="H247" s="11">
        <v>3</v>
      </c>
      <c r="I247" s="11">
        <v>1</v>
      </c>
      <c r="J247" s="11">
        <v>3</v>
      </c>
      <c r="K247" s="11">
        <v>4</v>
      </c>
      <c r="L247" s="11">
        <v>2</v>
      </c>
      <c r="M247" s="11">
        <v>3</v>
      </c>
      <c r="N247" s="11">
        <v>3</v>
      </c>
      <c r="O247" s="11">
        <v>2</v>
      </c>
      <c r="P247" s="11">
        <v>4</v>
      </c>
      <c r="Q247" s="11">
        <v>3</v>
      </c>
      <c r="R247" s="11">
        <v>2</v>
      </c>
      <c r="S247" s="11">
        <v>3</v>
      </c>
      <c r="T247" s="11">
        <v>4</v>
      </c>
      <c r="U247" s="10">
        <v>3</v>
      </c>
      <c r="V247" s="6">
        <f t="shared" si="18"/>
        <v>23.718371795957683</v>
      </c>
      <c r="W247" s="6">
        <f t="shared" si="19"/>
        <v>13.066822455699695</v>
      </c>
      <c r="X247" s="6">
        <f t="shared" si="20"/>
        <v>25.665099036795397</v>
      </c>
      <c r="Y247" s="6">
        <f t="shared" si="21"/>
        <v>24.243171135500148</v>
      </c>
      <c r="Z247" s="6">
        <f t="shared" si="22"/>
        <v>13.066822455699695</v>
      </c>
      <c r="AA247" s="6">
        <f t="shared" si="23"/>
        <v>2</v>
      </c>
    </row>
    <row r="248" spans="1:27">
      <c r="A248" s="11">
        <v>247</v>
      </c>
      <c r="B248" s="12">
        <v>5</v>
      </c>
      <c r="C248" s="11">
        <v>2</v>
      </c>
      <c r="D248" s="11">
        <v>2</v>
      </c>
      <c r="E248" s="11">
        <v>2</v>
      </c>
      <c r="F248" s="11">
        <v>5</v>
      </c>
      <c r="G248" s="11">
        <v>4</v>
      </c>
      <c r="H248" s="11">
        <v>3</v>
      </c>
      <c r="I248" s="11">
        <v>2</v>
      </c>
      <c r="J248" s="11">
        <v>2</v>
      </c>
      <c r="K248" s="11">
        <v>2</v>
      </c>
      <c r="L248" s="11">
        <v>1</v>
      </c>
      <c r="M248" s="11">
        <v>1</v>
      </c>
      <c r="N248" s="11">
        <v>1</v>
      </c>
      <c r="O248" s="11">
        <v>4</v>
      </c>
      <c r="P248" s="11">
        <v>3</v>
      </c>
      <c r="Q248" s="11">
        <v>2</v>
      </c>
      <c r="R248" s="11">
        <v>1</v>
      </c>
      <c r="S248" s="11">
        <v>1</v>
      </c>
      <c r="T248" s="11">
        <v>3</v>
      </c>
      <c r="U248" s="10">
        <v>2</v>
      </c>
      <c r="V248" s="6">
        <f t="shared" si="18"/>
        <v>22.857228497057086</v>
      </c>
      <c r="W248" s="6">
        <f t="shared" si="19"/>
        <v>38.535080995404734</v>
      </c>
      <c r="X248" s="6">
        <f t="shared" si="20"/>
        <v>21.401370971237231</v>
      </c>
      <c r="Y248" s="6">
        <f t="shared" si="21"/>
        <v>29.875801158395433</v>
      </c>
      <c r="Z248" s="6">
        <f t="shared" si="22"/>
        <v>21.401370971237231</v>
      </c>
      <c r="AA248" s="6">
        <f t="shared" si="23"/>
        <v>3</v>
      </c>
    </row>
    <row r="249" spans="1:27">
      <c r="A249" s="11">
        <v>248</v>
      </c>
      <c r="B249" s="12">
        <v>1</v>
      </c>
      <c r="C249" s="11">
        <v>1</v>
      </c>
      <c r="D249" s="11">
        <v>1</v>
      </c>
      <c r="E249" s="11">
        <v>4</v>
      </c>
      <c r="F249" s="11">
        <v>1</v>
      </c>
      <c r="G249" s="11">
        <v>5</v>
      </c>
      <c r="H249" s="11">
        <v>5</v>
      </c>
      <c r="I249" s="11">
        <v>1</v>
      </c>
      <c r="J249" s="11">
        <v>1</v>
      </c>
      <c r="K249" s="11">
        <v>4</v>
      </c>
      <c r="L249" s="11">
        <v>1</v>
      </c>
      <c r="M249" s="11">
        <v>1</v>
      </c>
      <c r="N249" s="11">
        <v>2</v>
      </c>
      <c r="O249" s="11">
        <v>5</v>
      </c>
      <c r="P249" s="11">
        <v>5</v>
      </c>
      <c r="Q249" s="11">
        <v>5</v>
      </c>
      <c r="R249" s="11">
        <v>1</v>
      </c>
      <c r="S249" s="11">
        <v>1</v>
      </c>
      <c r="T249" s="11">
        <v>3</v>
      </c>
      <c r="U249" s="10">
        <v>1</v>
      </c>
      <c r="V249" s="6">
        <f t="shared" si="18"/>
        <v>36.746135725358897</v>
      </c>
      <c r="W249" s="6">
        <f t="shared" si="19"/>
        <v>69.965416496340765</v>
      </c>
      <c r="X249" s="6">
        <f t="shared" si="20"/>
        <v>41.346454257957419</v>
      </c>
      <c r="Y249" s="6">
        <f t="shared" si="21"/>
        <v>58.365551045302936</v>
      </c>
      <c r="Z249" s="6">
        <f t="shared" si="22"/>
        <v>36.746135725358897</v>
      </c>
      <c r="AA249" s="6">
        <f t="shared" si="23"/>
        <v>1</v>
      </c>
    </row>
    <row r="250" spans="1:27">
      <c r="A250" s="11">
        <v>249</v>
      </c>
      <c r="B250" s="12">
        <v>3</v>
      </c>
      <c r="C250" s="11">
        <v>1</v>
      </c>
      <c r="D250" s="11">
        <v>1</v>
      </c>
      <c r="E250" s="11">
        <v>3</v>
      </c>
      <c r="F250" s="11">
        <v>2</v>
      </c>
      <c r="G250" s="11">
        <v>5</v>
      </c>
      <c r="H250" s="11">
        <v>3</v>
      </c>
      <c r="I250" s="11">
        <v>1</v>
      </c>
      <c r="J250" s="11">
        <v>1</v>
      </c>
      <c r="K250" s="11">
        <v>3</v>
      </c>
      <c r="L250" s="11">
        <v>2</v>
      </c>
      <c r="M250" s="11">
        <v>1</v>
      </c>
      <c r="N250" s="11">
        <v>3</v>
      </c>
      <c r="O250" s="11">
        <v>4</v>
      </c>
      <c r="P250" s="11">
        <v>4</v>
      </c>
      <c r="Q250" s="11">
        <v>2</v>
      </c>
      <c r="R250" s="11">
        <v>1</v>
      </c>
      <c r="S250" s="11">
        <v>2</v>
      </c>
      <c r="T250" s="11">
        <v>5</v>
      </c>
      <c r="U250" s="10">
        <v>2</v>
      </c>
      <c r="V250" s="6">
        <f t="shared" si="18"/>
        <v>20.718314482533778</v>
      </c>
      <c r="W250" s="6">
        <f t="shared" si="19"/>
        <v>38.269274642785085</v>
      </c>
      <c r="X250" s="6">
        <f t="shared" si="20"/>
        <v>16.005820689360288</v>
      </c>
      <c r="Y250" s="6">
        <f t="shared" si="21"/>
        <v>27.610479894718566</v>
      </c>
      <c r="Z250" s="6">
        <f t="shared" si="22"/>
        <v>16.005820689360288</v>
      </c>
      <c r="AA250" s="6">
        <f t="shared" si="23"/>
        <v>3</v>
      </c>
    </row>
    <row r="251" spans="1:27">
      <c r="A251" s="11">
        <v>250</v>
      </c>
      <c r="B251" s="12">
        <v>3</v>
      </c>
      <c r="C251" s="11">
        <v>2</v>
      </c>
      <c r="D251" s="11">
        <v>2</v>
      </c>
      <c r="E251" s="11">
        <v>4</v>
      </c>
      <c r="F251" s="11">
        <v>5</v>
      </c>
      <c r="G251" s="11">
        <v>2</v>
      </c>
      <c r="H251" s="11">
        <v>3</v>
      </c>
      <c r="I251" s="11">
        <v>2</v>
      </c>
      <c r="J251" s="11">
        <v>2</v>
      </c>
      <c r="K251" s="11">
        <v>4</v>
      </c>
      <c r="L251" s="11">
        <v>1</v>
      </c>
      <c r="M251" s="11">
        <v>2</v>
      </c>
      <c r="N251" s="11">
        <v>4</v>
      </c>
      <c r="O251" s="11">
        <v>5</v>
      </c>
      <c r="P251" s="11">
        <v>3</v>
      </c>
      <c r="Q251" s="11">
        <v>4</v>
      </c>
      <c r="R251" s="11">
        <v>1</v>
      </c>
      <c r="S251" s="11">
        <v>2</v>
      </c>
      <c r="T251" s="11">
        <v>2</v>
      </c>
      <c r="U251" s="10">
        <v>5</v>
      </c>
      <c r="V251" s="6">
        <f t="shared" si="18"/>
        <v>15.468368100890142</v>
      </c>
      <c r="W251" s="6">
        <f t="shared" si="19"/>
        <v>28.914911802307891</v>
      </c>
      <c r="X251" s="6">
        <f t="shared" si="20"/>
        <v>32.346522264551488</v>
      </c>
      <c r="Y251" s="6">
        <f t="shared" si="21"/>
        <v>30.773769711783292</v>
      </c>
      <c r="Z251" s="6">
        <f t="shared" si="22"/>
        <v>15.468368100890142</v>
      </c>
      <c r="AA251" s="6">
        <f t="shared" si="23"/>
        <v>1</v>
      </c>
    </row>
    <row r="252" spans="1:27">
      <c r="A252" s="11">
        <v>251</v>
      </c>
      <c r="B252" s="12">
        <v>3</v>
      </c>
      <c r="C252" s="11">
        <v>2</v>
      </c>
      <c r="D252" s="11">
        <v>2</v>
      </c>
      <c r="E252" s="11">
        <v>1</v>
      </c>
      <c r="F252" s="11">
        <v>2</v>
      </c>
      <c r="G252" s="11">
        <v>2</v>
      </c>
      <c r="H252" s="11">
        <v>3</v>
      </c>
      <c r="I252" s="11">
        <v>1</v>
      </c>
      <c r="J252" s="11">
        <v>2</v>
      </c>
      <c r="K252" s="11">
        <v>2</v>
      </c>
      <c r="L252" s="11">
        <v>2</v>
      </c>
      <c r="M252" s="11">
        <v>3</v>
      </c>
      <c r="N252" s="11">
        <v>5</v>
      </c>
      <c r="O252" s="11">
        <v>2</v>
      </c>
      <c r="P252" s="11">
        <v>3</v>
      </c>
      <c r="Q252" s="11">
        <v>2</v>
      </c>
      <c r="R252" s="11">
        <v>2</v>
      </c>
      <c r="S252" s="11">
        <v>4</v>
      </c>
      <c r="T252" s="11">
        <v>4</v>
      </c>
      <c r="U252" s="10">
        <v>2</v>
      </c>
      <c r="V252" s="6">
        <f t="shared" si="18"/>
        <v>35.246030007340309</v>
      </c>
      <c r="W252" s="6">
        <f t="shared" si="19"/>
        <v>27.838871471689096</v>
      </c>
      <c r="X252" s="6">
        <f t="shared" si="20"/>
        <v>21.434316317540201</v>
      </c>
      <c r="Y252" s="6">
        <f t="shared" si="21"/>
        <v>17.875799861659591</v>
      </c>
      <c r="Z252" s="6">
        <f t="shared" si="22"/>
        <v>17.875799861659591</v>
      </c>
      <c r="AA252" s="6">
        <f t="shared" si="23"/>
        <v>4</v>
      </c>
    </row>
    <row r="253" spans="1:27">
      <c r="A253" s="11">
        <v>252</v>
      </c>
      <c r="B253" s="12">
        <v>1</v>
      </c>
      <c r="C253" s="11">
        <v>1</v>
      </c>
      <c r="D253" s="11">
        <v>1</v>
      </c>
      <c r="E253" s="11">
        <v>5</v>
      </c>
      <c r="F253" s="11">
        <v>5</v>
      </c>
      <c r="G253" s="11">
        <v>5</v>
      </c>
      <c r="H253" s="11">
        <v>3</v>
      </c>
      <c r="I253" s="11">
        <v>1</v>
      </c>
      <c r="J253" s="11">
        <v>1</v>
      </c>
      <c r="K253" s="11">
        <v>4</v>
      </c>
      <c r="L253" s="11">
        <v>2</v>
      </c>
      <c r="M253" s="11">
        <v>1</v>
      </c>
      <c r="N253" s="11">
        <v>1</v>
      </c>
      <c r="O253" s="11">
        <v>4</v>
      </c>
      <c r="P253" s="11">
        <v>3</v>
      </c>
      <c r="Q253" s="11">
        <v>3</v>
      </c>
      <c r="R253" s="11">
        <v>2</v>
      </c>
      <c r="S253" s="11">
        <v>4</v>
      </c>
      <c r="T253" s="11">
        <v>3</v>
      </c>
      <c r="U253" s="10">
        <v>2</v>
      </c>
      <c r="V253" s="6">
        <f t="shared" si="18"/>
        <v>20.246135209734568</v>
      </c>
      <c r="W253" s="6">
        <f t="shared" si="19"/>
        <v>41.623705132716225</v>
      </c>
      <c r="X253" s="6">
        <f t="shared" si="20"/>
        <v>36.038782179604617</v>
      </c>
      <c r="Y253" s="6">
        <f t="shared" si="21"/>
        <v>41.20233554537122</v>
      </c>
      <c r="Z253" s="6">
        <f t="shared" si="22"/>
        <v>20.246135209734568</v>
      </c>
      <c r="AA253" s="6">
        <f t="shared" si="23"/>
        <v>1</v>
      </c>
    </row>
    <row r="254" spans="1:27">
      <c r="A254" s="11">
        <v>253</v>
      </c>
      <c r="B254" s="12">
        <v>5</v>
      </c>
      <c r="C254" s="11">
        <v>1</v>
      </c>
      <c r="D254" s="11">
        <v>3</v>
      </c>
      <c r="E254" s="11">
        <v>5</v>
      </c>
      <c r="F254" s="11">
        <v>1</v>
      </c>
      <c r="G254" s="11">
        <v>3</v>
      </c>
      <c r="H254" s="11">
        <v>3</v>
      </c>
      <c r="I254" s="11">
        <v>3</v>
      </c>
      <c r="J254" s="11">
        <v>3</v>
      </c>
      <c r="K254" s="11">
        <v>2</v>
      </c>
      <c r="L254" s="11">
        <v>1</v>
      </c>
      <c r="M254" s="11">
        <v>5</v>
      </c>
      <c r="N254" s="11">
        <v>3</v>
      </c>
      <c r="O254" s="11">
        <v>1</v>
      </c>
      <c r="P254" s="11">
        <v>3</v>
      </c>
      <c r="Q254" s="11">
        <v>3</v>
      </c>
      <c r="R254" s="11">
        <v>1</v>
      </c>
      <c r="S254" s="11">
        <v>1</v>
      </c>
      <c r="T254" s="11">
        <v>3</v>
      </c>
      <c r="U254" s="10">
        <v>5</v>
      </c>
      <c r="V254" s="6">
        <f t="shared" si="18"/>
        <v>51.134979216643821</v>
      </c>
      <c r="W254" s="6">
        <f t="shared" si="19"/>
        <v>45.788307703853853</v>
      </c>
      <c r="X254" s="6">
        <f t="shared" si="20"/>
        <v>51.148673896805612</v>
      </c>
      <c r="Y254" s="6">
        <f t="shared" si="21"/>
        <v>38.283989114633513</v>
      </c>
      <c r="Z254" s="6">
        <f t="shared" si="22"/>
        <v>38.283989114633513</v>
      </c>
      <c r="AA254" s="6">
        <f t="shared" si="23"/>
        <v>4</v>
      </c>
    </row>
    <row r="255" spans="1:27">
      <c r="A255" s="11">
        <v>254</v>
      </c>
      <c r="B255" s="12">
        <v>2</v>
      </c>
      <c r="C255" s="11">
        <v>2</v>
      </c>
      <c r="D255" s="11">
        <v>1</v>
      </c>
      <c r="E255" s="11">
        <v>2</v>
      </c>
      <c r="F255" s="11">
        <v>3</v>
      </c>
      <c r="G255" s="11">
        <v>2</v>
      </c>
      <c r="H255" s="11">
        <v>3</v>
      </c>
      <c r="I255" s="11">
        <v>1</v>
      </c>
      <c r="J255" s="11">
        <v>2</v>
      </c>
      <c r="K255" s="11">
        <v>3</v>
      </c>
      <c r="L255" s="11">
        <v>2</v>
      </c>
      <c r="M255" s="11">
        <v>1</v>
      </c>
      <c r="N255" s="11">
        <v>1</v>
      </c>
      <c r="O255" s="11">
        <v>5</v>
      </c>
      <c r="P255" s="11">
        <v>5</v>
      </c>
      <c r="Q255" s="11">
        <v>2</v>
      </c>
      <c r="R255" s="11">
        <v>2</v>
      </c>
      <c r="S255" s="11">
        <v>2</v>
      </c>
      <c r="T255" s="11">
        <v>2</v>
      </c>
      <c r="U255" s="10">
        <v>3</v>
      </c>
      <c r="V255" s="6">
        <f t="shared" si="18"/>
        <v>14.996121150927401</v>
      </c>
      <c r="W255" s="6">
        <f t="shared" si="19"/>
        <v>33.800906969184624</v>
      </c>
      <c r="X255" s="6">
        <f t="shared" si="20"/>
        <v>13.51131778213705</v>
      </c>
      <c r="Y255" s="6">
        <f t="shared" si="21"/>
        <v>18.487990185608393</v>
      </c>
      <c r="Z255" s="6">
        <f t="shared" si="22"/>
        <v>13.51131778213705</v>
      </c>
      <c r="AA255" s="6">
        <f t="shared" si="23"/>
        <v>3</v>
      </c>
    </row>
    <row r="256" spans="1:27">
      <c r="A256" s="11">
        <v>255</v>
      </c>
      <c r="B256" s="12">
        <v>3</v>
      </c>
      <c r="C256" s="11">
        <v>2</v>
      </c>
      <c r="D256" s="11">
        <v>2</v>
      </c>
      <c r="E256" s="11">
        <v>5</v>
      </c>
      <c r="F256" s="11">
        <v>3</v>
      </c>
      <c r="G256" s="11">
        <v>3</v>
      </c>
      <c r="H256" s="11">
        <v>4</v>
      </c>
      <c r="I256" s="11">
        <v>2</v>
      </c>
      <c r="J256" s="11">
        <v>2</v>
      </c>
      <c r="K256" s="11">
        <v>2</v>
      </c>
      <c r="L256" s="11">
        <v>2</v>
      </c>
      <c r="M256" s="11">
        <v>2</v>
      </c>
      <c r="N256" s="11">
        <v>2</v>
      </c>
      <c r="O256" s="11">
        <v>5</v>
      </c>
      <c r="P256" s="11">
        <v>1</v>
      </c>
      <c r="Q256" s="11">
        <v>5</v>
      </c>
      <c r="R256" s="11">
        <v>2</v>
      </c>
      <c r="S256" s="11">
        <v>4</v>
      </c>
      <c r="T256" s="11">
        <v>3</v>
      </c>
      <c r="U256" s="10">
        <v>3</v>
      </c>
      <c r="V256" s="6">
        <f t="shared" si="18"/>
        <v>18.440573014922521</v>
      </c>
      <c r="W256" s="6">
        <f t="shared" si="19"/>
        <v>27.58573163269811</v>
      </c>
      <c r="X256" s="6">
        <f t="shared" si="20"/>
        <v>35.742081777913967</v>
      </c>
      <c r="Y256" s="6">
        <f t="shared" si="21"/>
        <v>31.426890171510426</v>
      </c>
      <c r="Z256" s="6">
        <f t="shared" si="22"/>
        <v>18.440573014922521</v>
      </c>
      <c r="AA256" s="6">
        <f t="shared" si="23"/>
        <v>1</v>
      </c>
    </row>
    <row r="257" spans="1:27">
      <c r="A257" s="11">
        <v>256</v>
      </c>
      <c r="B257" s="12">
        <v>4</v>
      </c>
      <c r="C257" s="11">
        <v>2</v>
      </c>
      <c r="D257" s="11">
        <v>3</v>
      </c>
      <c r="E257" s="11">
        <v>4</v>
      </c>
      <c r="F257" s="11">
        <v>2</v>
      </c>
      <c r="G257" s="11">
        <v>3</v>
      </c>
      <c r="H257" s="11">
        <v>3</v>
      </c>
      <c r="I257" s="11">
        <v>4</v>
      </c>
      <c r="J257" s="11">
        <v>3</v>
      </c>
      <c r="K257" s="11">
        <v>3</v>
      </c>
      <c r="L257" s="11">
        <v>2</v>
      </c>
      <c r="M257" s="11">
        <v>3</v>
      </c>
      <c r="N257" s="11">
        <v>3</v>
      </c>
      <c r="O257" s="11">
        <v>2</v>
      </c>
      <c r="P257" s="11">
        <v>2</v>
      </c>
      <c r="Q257" s="11">
        <v>1</v>
      </c>
      <c r="R257" s="11">
        <v>5</v>
      </c>
      <c r="S257" s="11">
        <v>3</v>
      </c>
      <c r="T257" s="11">
        <v>1</v>
      </c>
      <c r="U257" s="10">
        <v>5</v>
      </c>
      <c r="V257" s="6">
        <f t="shared" si="18"/>
        <v>40.551707453101166</v>
      </c>
      <c r="W257" s="6">
        <f t="shared" si="19"/>
        <v>26.07947948746693</v>
      </c>
      <c r="X257" s="6">
        <f t="shared" si="20"/>
        <v>40.895920773566239</v>
      </c>
      <c r="Y257" s="6">
        <f t="shared" si="21"/>
        <v>26.977862268518326</v>
      </c>
      <c r="Z257" s="6">
        <f t="shared" si="22"/>
        <v>26.07947948746693</v>
      </c>
      <c r="AA257" s="6">
        <f t="shared" si="23"/>
        <v>2</v>
      </c>
    </row>
    <row r="258" spans="1:27">
      <c r="A258" s="11">
        <v>257</v>
      </c>
      <c r="B258" s="12">
        <v>5</v>
      </c>
      <c r="C258" s="11">
        <v>1</v>
      </c>
      <c r="D258" s="11">
        <v>1</v>
      </c>
      <c r="E258" s="11">
        <v>3</v>
      </c>
      <c r="F258" s="11">
        <v>1</v>
      </c>
      <c r="G258" s="11">
        <v>1</v>
      </c>
      <c r="H258" s="11">
        <v>1</v>
      </c>
      <c r="I258" s="11">
        <v>1</v>
      </c>
      <c r="J258" s="11">
        <v>1</v>
      </c>
      <c r="K258" s="11">
        <v>5</v>
      </c>
      <c r="L258" s="11">
        <v>4</v>
      </c>
      <c r="M258" s="11">
        <v>1</v>
      </c>
      <c r="N258" s="11">
        <v>1</v>
      </c>
      <c r="O258" s="11">
        <v>5</v>
      </c>
      <c r="P258" s="11">
        <v>4</v>
      </c>
      <c r="Q258" s="11">
        <v>1</v>
      </c>
      <c r="R258" s="11">
        <v>1</v>
      </c>
      <c r="S258" s="11">
        <v>5</v>
      </c>
      <c r="T258" s="11">
        <v>1</v>
      </c>
      <c r="U258" s="10">
        <v>1</v>
      </c>
      <c r="V258" s="6">
        <f t="shared" ref="V258:V321" si="24">SUMXMY2($B258:$U258,AE$2:AE$21)</f>
        <v>58.051674975723749</v>
      </c>
      <c r="W258" s="6">
        <f t="shared" ref="W258:W321" si="25">SUMXMY2($B258:$U258,AF$2:AF$21)</f>
        <v>74.788263233054124</v>
      </c>
      <c r="X258" s="6">
        <f t="shared" ref="X258:X321" si="26">SUMXMY2($B258:$U258,AG$2:AG$21)</f>
        <v>47.467261567512544</v>
      </c>
      <c r="Y258" s="6">
        <f t="shared" ref="Y258:Y321" si="27">SUMXMY2($B258:$U258,AH$2:AH$21)</f>
        <v>58.549219130012681</v>
      </c>
      <c r="Z258" s="6">
        <f t="shared" ref="Z258:Z321" si="28">MIN(V258:Y258)</f>
        <v>47.467261567512544</v>
      </c>
      <c r="AA258" s="6">
        <f t="shared" si="23"/>
        <v>3</v>
      </c>
    </row>
    <row r="259" spans="1:27">
      <c r="A259" s="11">
        <v>258</v>
      </c>
      <c r="B259" s="12">
        <v>1</v>
      </c>
      <c r="C259" s="11">
        <v>1</v>
      </c>
      <c r="D259" s="11">
        <v>5</v>
      </c>
      <c r="E259" s="11">
        <v>1</v>
      </c>
      <c r="F259" s="11">
        <v>1</v>
      </c>
      <c r="G259" s="11">
        <v>1</v>
      </c>
      <c r="H259" s="11">
        <v>1</v>
      </c>
      <c r="I259" s="11">
        <v>1</v>
      </c>
      <c r="J259" s="11">
        <v>1</v>
      </c>
      <c r="K259" s="11">
        <v>5</v>
      </c>
      <c r="L259" s="11">
        <v>1</v>
      </c>
      <c r="M259" s="11">
        <v>5</v>
      </c>
      <c r="N259" s="11">
        <v>5</v>
      </c>
      <c r="O259" s="11">
        <v>1</v>
      </c>
      <c r="P259" s="11">
        <v>5</v>
      </c>
      <c r="Q259" s="11">
        <v>1</v>
      </c>
      <c r="R259" s="11">
        <v>5</v>
      </c>
      <c r="S259" s="11">
        <v>1</v>
      </c>
      <c r="T259" s="11">
        <v>1</v>
      </c>
      <c r="U259" s="10">
        <v>5</v>
      </c>
      <c r="V259" s="6">
        <f t="shared" si="24"/>
        <v>97.107195742252372</v>
      </c>
      <c r="W259" s="6">
        <f t="shared" si="25"/>
        <v>82.990818683996608</v>
      </c>
      <c r="X259" s="6">
        <f t="shared" si="26"/>
        <v>80.236415053272253</v>
      </c>
      <c r="Y259" s="6">
        <f t="shared" si="27"/>
        <v>65.773617596828103</v>
      </c>
      <c r="Z259" s="6">
        <f t="shared" si="28"/>
        <v>65.773617596828103</v>
      </c>
      <c r="AA259" s="6">
        <f t="shared" ref="AA259:AA322" si="29">IF(Z259=V259,1,IF(Z259=W259,2,IF(Z259=X259,3,4)))</f>
        <v>4</v>
      </c>
    </row>
    <row r="260" spans="1:27">
      <c r="A260" s="11">
        <v>259</v>
      </c>
      <c r="B260" s="12">
        <v>5</v>
      </c>
      <c r="C260" s="11">
        <v>2</v>
      </c>
      <c r="D260" s="11">
        <v>1</v>
      </c>
      <c r="E260" s="11">
        <v>3</v>
      </c>
      <c r="F260" s="11">
        <v>4</v>
      </c>
      <c r="G260" s="11">
        <v>3</v>
      </c>
      <c r="H260" s="11">
        <v>3</v>
      </c>
      <c r="I260" s="11">
        <v>2</v>
      </c>
      <c r="J260" s="11">
        <v>2</v>
      </c>
      <c r="K260" s="11">
        <v>2</v>
      </c>
      <c r="L260" s="11">
        <v>1</v>
      </c>
      <c r="M260" s="11">
        <v>2</v>
      </c>
      <c r="N260" s="11">
        <v>2</v>
      </c>
      <c r="O260" s="11">
        <v>4</v>
      </c>
      <c r="P260" s="11">
        <v>4</v>
      </c>
      <c r="Q260" s="11">
        <v>2</v>
      </c>
      <c r="R260" s="11">
        <v>4</v>
      </c>
      <c r="S260" s="11">
        <v>2</v>
      </c>
      <c r="T260" s="11">
        <v>4</v>
      </c>
      <c r="U260" s="10">
        <v>2</v>
      </c>
      <c r="V260" s="6">
        <f t="shared" si="24"/>
        <v>19.135024450674333</v>
      </c>
      <c r="W260" s="6">
        <f t="shared" si="25"/>
        <v>26.155365840326205</v>
      </c>
      <c r="X260" s="6">
        <f t="shared" si="26"/>
        <v>11.115722009163548</v>
      </c>
      <c r="Y260" s="6">
        <f t="shared" si="27"/>
        <v>22.263575409611605</v>
      </c>
      <c r="Z260" s="6">
        <f t="shared" si="28"/>
        <v>11.115722009163548</v>
      </c>
      <c r="AA260" s="6">
        <f t="shared" si="29"/>
        <v>3</v>
      </c>
    </row>
    <row r="261" spans="1:27">
      <c r="A261" s="11">
        <v>260</v>
      </c>
      <c r="B261" s="12">
        <v>2</v>
      </c>
      <c r="C261" s="11">
        <v>1</v>
      </c>
      <c r="D261" s="11">
        <v>1</v>
      </c>
      <c r="E261" s="11">
        <v>4</v>
      </c>
      <c r="F261" s="11">
        <v>2</v>
      </c>
      <c r="G261" s="11">
        <v>3</v>
      </c>
      <c r="H261" s="11">
        <v>3</v>
      </c>
      <c r="I261" s="11">
        <v>2</v>
      </c>
      <c r="J261" s="11">
        <v>3</v>
      </c>
      <c r="K261" s="11">
        <v>2</v>
      </c>
      <c r="L261" s="11">
        <v>2</v>
      </c>
      <c r="M261" s="11">
        <v>2</v>
      </c>
      <c r="N261" s="11">
        <v>3</v>
      </c>
      <c r="O261" s="11">
        <v>4</v>
      </c>
      <c r="P261" s="11">
        <v>4</v>
      </c>
      <c r="Q261" s="11">
        <v>2</v>
      </c>
      <c r="R261" s="11">
        <v>4</v>
      </c>
      <c r="S261" s="11">
        <v>1</v>
      </c>
      <c r="T261" s="11">
        <v>3</v>
      </c>
      <c r="U261" s="10">
        <v>2</v>
      </c>
      <c r="V261" s="6">
        <f t="shared" si="24"/>
        <v>19.496137028950194</v>
      </c>
      <c r="W261" s="6">
        <f t="shared" si="25"/>
        <v>27.598382377587697</v>
      </c>
      <c r="X261" s="6">
        <f t="shared" si="26"/>
        <v>11.357481668800261</v>
      </c>
      <c r="Y261" s="6">
        <f t="shared" si="27"/>
        <v>20.100291121722151</v>
      </c>
      <c r="Z261" s="6">
        <f t="shared" si="28"/>
        <v>11.357481668800261</v>
      </c>
      <c r="AA261" s="6">
        <f t="shared" si="29"/>
        <v>3</v>
      </c>
    </row>
    <row r="262" spans="1:27">
      <c r="A262" s="11">
        <v>261</v>
      </c>
      <c r="B262" s="12">
        <v>1</v>
      </c>
      <c r="C262" s="11">
        <v>2</v>
      </c>
      <c r="D262" s="11">
        <v>3</v>
      </c>
      <c r="E262" s="11">
        <v>2</v>
      </c>
      <c r="F262" s="11">
        <v>5</v>
      </c>
      <c r="G262" s="11">
        <v>3</v>
      </c>
      <c r="H262" s="11">
        <v>3</v>
      </c>
      <c r="I262" s="11">
        <v>2</v>
      </c>
      <c r="J262" s="11">
        <v>2</v>
      </c>
      <c r="K262" s="11">
        <v>1</v>
      </c>
      <c r="L262" s="11">
        <v>1</v>
      </c>
      <c r="M262" s="11">
        <v>3</v>
      </c>
      <c r="N262" s="11">
        <v>4</v>
      </c>
      <c r="O262" s="11">
        <v>4</v>
      </c>
      <c r="P262" s="11">
        <v>3</v>
      </c>
      <c r="Q262" s="11">
        <v>2</v>
      </c>
      <c r="R262" s="11">
        <v>3</v>
      </c>
      <c r="S262" s="11">
        <v>3</v>
      </c>
      <c r="T262" s="11">
        <v>4</v>
      </c>
      <c r="U262" s="10">
        <v>3</v>
      </c>
      <c r="V262" s="6">
        <f t="shared" si="24"/>
        <v>23.329418126687361</v>
      </c>
      <c r="W262" s="6">
        <f t="shared" si="25"/>
        <v>20.611046613987419</v>
      </c>
      <c r="X262" s="6">
        <f t="shared" si="26"/>
        <v>25.467317002841163</v>
      </c>
      <c r="Y262" s="6">
        <f t="shared" si="27"/>
        <v>19.54928919403411</v>
      </c>
      <c r="Z262" s="6">
        <f t="shared" si="28"/>
        <v>19.54928919403411</v>
      </c>
      <c r="AA262" s="6">
        <f t="shared" si="29"/>
        <v>4</v>
      </c>
    </row>
    <row r="263" spans="1:27">
      <c r="A263" s="11">
        <v>262</v>
      </c>
      <c r="B263" s="12">
        <v>3</v>
      </c>
      <c r="C263" s="11">
        <v>4</v>
      </c>
      <c r="D263" s="11">
        <v>5</v>
      </c>
      <c r="E263" s="11">
        <v>4</v>
      </c>
      <c r="F263" s="11">
        <v>5</v>
      </c>
      <c r="G263" s="11">
        <v>4</v>
      </c>
      <c r="H263" s="11">
        <v>5</v>
      </c>
      <c r="I263" s="11">
        <v>2</v>
      </c>
      <c r="J263" s="11">
        <v>4</v>
      </c>
      <c r="K263" s="11">
        <v>4</v>
      </c>
      <c r="L263" s="11">
        <v>4</v>
      </c>
      <c r="M263" s="11">
        <v>1</v>
      </c>
      <c r="N263" s="11">
        <v>3</v>
      </c>
      <c r="O263" s="11">
        <v>3</v>
      </c>
      <c r="P263" s="11">
        <v>4</v>
      </c>
      <c r="Q263" s="11">
        <v>2</v>
      </c>
      <c r="R263" s="11">
        <v>4</v>
      </c>
      <c r="S263" s="11">
        <v>5</v>
      </c>
      <c r="T263" s="11">
        <v>4</v>
      </c>
      <c r="U263" s="10">
        <v>5</v>
      </c>
      <c r="V263" s="6">
        <f t="shared" si="24"/>
        <v>48.051806596407964</v>
      </c>
      <c r="W263" s="6">
        <f t="shared" si="25"/>
        <v>24.699842524353901</v>
      </c>
      <c r="X263" s="6">
        <f t="shared" si="26"/>
        <v>64.643204611496344</v>
      </c>
      <c r="Y263" s="6">
        <f t="shared" si="27"/>
        <v>55.998322859408098</v>
      </c>
      <c r="Z263" s="6">
        <f t="shared" si="28"/>
        <v>24.699842524353901</v>
      </c>
      <c r="AA263" s="6">
        <f t="shared" si="29"/>
        <v>2</v>
      </c>
    </row>
    <row r="264" spans="1:27">
      <c r="A264" s="11">
        <v>263</v>
      </c>
      <c r="B264" s="12">
        <v>5</v>
      </c>
      <c r="C264" s="11">
        <v>5</v>
      </c>
      <c r="D264" s="11">
        <v>5</v>
      </c>
      <c r="E264" s="11">
        <v>4</v>
      </c>
      <c r="F264" s="11">
        <v>4</v>
      </c>
      <c r="G264" s="11">
        <v>5</v>
      </c>
      <c r="H264" s="11">
        <v>3</v>
      </c>
      <c r="I264" s="11">
        <v>3</v>
      </c>
      <c r="J264" s="11">
        <v>4</v>
      </c>
      <c r="K264" s="11">
        <v>2</v>
      </c>
      <c r="L264" s="11">
        <v>3</v>
      </c>
      <c r="M264" s="11">
        <v>2</v>
      </c>
      <c r="N264" s="11">
        <v>3</v>
      </c>
      <c r="O264" s="11">
        <v>4</v>
      </c>
      <c r="P264" s="11">
        <v>2</v>
      </c>
      <c r="Q264" s="11">
        <v>2</v>
      </c>
      <c r="R264" s="11">
        <v>2</v>
      </c>
      <c r="S264" s="11">
        <v>4</v>
      </c>
      <c r="T264" s="11">
        <v>4</v>
      </c>
      <c r="U264" s="10">
        <v>3</v>
      </c>
      <c r="V264" s="6">
        <f t="shared" si="24"/>
        <v>42.773971792749691</v>
      </c>
      <c r="W264" s="6">
        <f t="shared" si="25"/>
        <v>24.218762492969329</v>
      </c>
      <c r="X264" s="6">
        <f t="shared" si="26"/>
        <v>52.335451587935829</v>
      </c>
      <c r="Y264" s="6">
        <f t="shared" si="27"/>
        <v>48.977955776415946</v>
      </c>
      <c r="Z264" s="6">
        <f t="shared" si="28"/>
        <v>24.218762492969329</v>
      </c>
      <c r="AA264" s="6">
        <f t="shared" si="29"/>
        <v>2</v>
      </c>
    </row>
    <row r="265" spans="1:27">
      <c r="A265" s="11">
        <v>264</v>
      </c>
      <c r="B265" s="12">
        <v>2</v>
      </c>
      <c r="C265" s="11">
        <v>3</v>
      </c>
      <c r="D265" s="11">
        <v>2</v>
      </c>
      <c r="E265" s="11">
        <v>3</v>
      </c>
      <c r="F265" s="11">
        <v>4</v>
      </c>
      <c r="G265" s="11">
        <v>3</v>
      </c>
      <c r="H265" s="11">
        <v>3</v>
      </c>
      <c r="I265" s="11">
        <v>2</v>
      </c>
      <c r="J265" s="11">
        <v>1</v>
      </c>
      <c r="K265" s="11">
        <v>2</v>
      </c>
      <c r="L265" s="11">
        <v>3</v>
      </c>
      <c r="M265" s="11">
        <v>2</v>
      </c>
      <c r="N265" s="11">
        <v>3</v>
      </c>
      <c r="O265" s="11">
        <v>4</v>
      </c>
      <c r="P265" s="11">
        <v>5</v>
      </c>
      <c r="Q265" s="11">
        <v>4</v>
      </c>
      <c r="R265" s="11">
        <v>3</v>
      </c>
      <c r="S265" s="11">
        <v>2</v>
      </c>
      <c r="T265" s="11">
        <v>4</v>
      </c>
      <c r="U265" s="10">
        <v>2</v>
      </c>
      <c r="V265" s="6">
        <f t="shared" si="24"/>
        <v>13.468392883826041</v>
      </c>
      <c r="W265" s="6">
        <f t="shared" si="25"/>
        <v>18.066728846254328</v>
      </c>
      <c r="X265" s="6">
        <f t="shared" si="26"/>
        <v>14.115713125899291</v>
      </c>
      <c r="Y265" s="6">
        <f t="shared" si="27"/>
        <v>23.181925397829751</v>
      </c>
      <c r="Z265" s="6">
        <f t="shared" si="28"/>
        <v>13.468392883826041</v>
      </c>
      <c r="AA265" s="6">
        <f t="shared" si="29"/>
        <v>1</v>
      </c>
    </row>
    <row r="266" spans="1:27">
      <c r="A266" s="11">
        <v>265</v>
      </c>
      <c r="B266" s="12">
        <v>3</v>
      </c>
      <c r="C266" s="11">
        <v>2</v>
      </c>
      <c r="D266" s="11">
        <v>1</v>
      </c>
      <c r="E266" s="11">
        <v>2</v>
      </c>
      <c r="F266" s="11">
        <v>2</v>
      </c>
      <c r="G266" s="11">
        <v>4</v>
      </c>
      <c r="H266" s="11">
        <v>3</v>
      </c>
      <c r="I266" s="11">
        <v>2</v>
      </c>
      <c r="J266" s="11">
        <v>2</v>
      </c>
      <c r="K266" s="11">
        <v>3</v>
      </c>
      <c r="L266" s="11">
        <v>1</v>
      </c>
      <c r="M266" s="11">
        <v>4</v>
      </c>
      <c r="N266" s="11">
        <v>3</v>
      </c>
      <c r="O266" s="11">
        <v>5</v>
      </c>
      <c r="P266" s="11">
        <v>4</v>
      </c>
      <c r="Q266" s="11">
        <v>4</v>
      </c>
      <c r="R266" s="11">
        <v>2</v>
      </c>
      <c r="S266" s="11">
        <v>2</v>
      </c>
      <c r="T266" s="11">
        <v>3</v>
      </c>
      <c r="U266" s="10">
        <v>3</v>
      </c>
      <c r="V266" s="6">
        <f t="shared" si="24"/>
        <v>15.273875133575736</v>
      </c>
      <c r="W266" s="6">
        <f t="shared" si="25"/>
        <v>26.269280798894961</v>
      </c>
      <c r="X266" s="6">
        <f t="shared" si="26"/>
        <v>12.884979287865313</v>
      </c>
      <c r="Y266" s="6">
        <f t="shared" si="27"/>
        <v>17.855389499050744</v>
      </c>
      <c r="Z266" s="6">
        <f t="shared" si="28"/>
        <v>12.884979287865313</v>
      </c>
      <c r="AA266" s="6">
        <f t="shared" si="29"/>
        <v>3</v>
      </c>
    </row>
    <row r="267" spans="1:27">
      <c r="A267" s="11">
        <v>266</v>
      </c>
      <c r="B267" s="12">
        <v>2</v>
      </c>
      <c r="C267" s="11">
        <v>4</v>
      </c>
      <c r="D267" s="11">
        <v>2</v>
      </c>
      <c r="E267" s="11">
        <v>4</v>
      </c>
      <c r="F267" s="11">
        <v>5</v>
      </c>
      <c r="G267" s="11">
        <v>3</v>
      </c>
      <c r="H267" s="11">
        <v>3</v>
      </c>
      <c r="I267" s="11">
        <v>2</v>
      </c>
      <c r="J267" s="11">
        <v>2</v>
      </c>
      <c r="K267" s="11">
        <v>2</v>
      </c>
      <c r="L267" s="11">
        <v>1</v>
      </c>
      <c r="M267" s="11">
        <v>2</v>
      </c>
      <c r="N267" s="11">
        <v>3</v>
      </c>
      <c r="O267" s="11">
        <v>5</v>
      </c>
      <c r="P267" s="11">
        <v>5</v>
      </c>
      <c r="Q267" s="11">
        <v>4</v>
      </c>
      <c r="R267" s="11">
        <v>3</v>
      </c>
      <c r="S267" s="11">
        <v>2</v>
      </c>
      <c r="T267" s="11">
        <v>3</v>
      </c>
      <c r="U267" s="10">
        <v>5</v>
      </c>
      <c r="V267" s="6">
        <f t="shared" si="24"/>
        <v>15.635068536621567</v>
      </c>
      <c r="W267" s="6">
        <f t="shared" si="25"/>
        <v>24.054142776496775</v>
      </c>
      <c r="X267" s="6">
        <f t="shared" si="26"/>
        <v>31.797125826459187</v>
      </c>
      <c r="Y267" s="6">
        <f t="shared" si="27"/>
        <v>30.712558869263898</v>
      </c>
      <c r="Z267" s="6">
        <f t="shared" si="28"/>
        <v>15.635068536621567</v>
      </c>
      <c r="AA267" s="6">
        <f t="shared" si="29"/>
        <v>1</v>
      </c>
    </row>
    <row r="268" spans="1:27">
      <c r="A268" s="11">
        <v>267</v>
      </c>
      <c r="B268" s="12">
        <v>3</v>
      </c>
      <c r="C268" s="11">
        <v>4</v>
      </c>
      <c r="D268" s="11">
        <v>3</v>
      </c>
      <c r="E268" s="11">
        <v>3</v>
      </c>
      <c r="F268" s="11">
        <v>3</v>
      </c>
      <c r="G268" s="11">
        <v>3</v>
      </c>
      <c r="H268" s="11">
        <v>2</v>
      </c>
      <c r="I268" s="11">
        <v>3</v>
      </c>
      <c r="J268" s="11">
        <v>4</v>
      </c>
      <c r="K268" s="11">
        <v>4</v>
      </c>
      <c r="L268" s="11">
        <v>4</v>
      </c>
      <c r="M268" s="11">
        <v>2</v>
      </c>
      <c r="N268" s="11">
        <v>2</v>
      </c>
      <c r="O268" s="11">
        <v>4</v>
      </c>
      <c r="P268" s="11">
        <v>3</v>
      </c>
      <c r="Q268" s="11">
        <v>3</v>
      </c>
      <c r="R268" s="11">
        <v>3</v>
      </c>
      <c r="S268" s="11">
        <v>4</v>
      </c>
      <c r="T268" s="11">
        <v>3</v>
      </c>
      <c r="U268" s="10">
        <v>3</v>
      </c>
      <c r="V268" s="6">
        <f t="shared" si="24"/>
        <v>22.579518749063421</v>
      </c>
      <c r="W268" s="6">
        <f t="shared" si="25"/>
        <v>9.5858230859777258</v>
      </c>
      <c r="X268" s="6">
        <f t="shared" si="26"/>
        <v>26.797030208309661</v>
      </c>
      <c r="Y268" s="6">
        <f t="shared" si="27"/>
        <v>25.549312351029148</v>
      </c>
      <c r="Z268" s="6">
        <f t="shared" si="28"/>
        <v>9.5858230859777258</v>
      </c>
      <c r="AA268" s="6">
        <f t="shared" si="29"/>
        <v>2</v>
      </c>
    </row>
    <row r="269" spans="1:27">
      <c r="A269" s="11">
        <v>268</v>
      </c>
      <c r="B269" s="12">
        <v>3</v>
      </c>
      <c r="C269" s="11">
        <v>3</v>
      </c>
      <c r="D269" s="11">
        <v>2</v>
      </c>
      <c r="E269" s="11">
        <v>3</v>
      </c>
      <c r="F269" s="11">
        <v>2</v>
      </c>
      <c r="G269" s="11">
        <v>2</v>
      </c>
      <c r="H269" s="11">
        <v>3</v>
      </c>
      <c r="I269" s="11">
        <v>2</v>
      </c>
      <c r="J269" s="11">
        <v>2</v>
      </c>
      <c r="K269" s="11">
        <v>2</v>
      </c>
      <c r="L269" s="11">
        <v>2</v>
      </c>
      <c r="M269" s="11">
        <v>2</v>
      </c>
      <c r="N269" s="11">
        <v>2</v>
      </c>
      <c r="O269" s="11">
        <v>3</v>
      </c>
      <c r="P269" s="11">
        <v>2</v>
      </c>
      <c r="Q269" s="11">
        <v>2</v>
      </c>
      <c r="R269" s="11">
        <v>3</v>
      </c>
      <c r="S269" s="11">
        <v>2</v>
      </c>
      <c r="T269" s="11">
        <v>3</v>
      </c>
      <c r="U269" s="10">
        <v>3</v>
      </c>
      <c r="V269" s="6">
        <f t="shared" si="24"/>
        <v>15.134980105972026</v>
      </c>
      <c r="W269" s="6">
        <f t="shared" si="25"/>
        <v>15.193302371496682</v>
      </c>
      <c r="X269" s="6">
        <f t="shared" si="26"/>
        <v>11.46731789392598</v>
      </c>
      <c r="Y269" s="6">
        <f t="shared" si="27"/>
        <v>6.8553875767931505</v>
      </c>
      <c r="Z269" s="6">
        <f t="shared" si="28"/>
        <v>6.8553875767931505</v>
      </c>
      <c r="AA269" s="6">
        <f t="shared" si="29"/>
        <v>4</v>
      </c>
    </row>
    <row r="270" spans="1:27">
      <c r="A270" s="11">
        <v>269</v>
      </c>
      <c r="B270" s="12">
        <v>1</v>
      </c>
      <c r="C270" s="11">
        <v>2</v>
      </c>
      <c r="D270" s="11">
        <v>2</v>
      </c>
      <c r="E270" s="11">
        <v>3</v>
      </c>
      <c r="F270" s="11">
        <v>3</v>
      </c>
      <c r="G270" s="11">
        <v>3</v>
      </c>
      <c r="H270" s="11">
        <v>3</v>
      </c>
      <c r="I270" s="11">
        <v>3</v>
      </c>
      <c r="J270" s="11">
        <v>2</v>
      </c>
      <c r="K270" s="11">
        <v>3</v>
      </c>
      <c r="L270" s="11">
        <v>3</v>
      </c>
      <c r="M270" s="11">
        <v>2</v>
      </c>
      <c r="N270" s="11">
        <v>3</v>
      </c>
      <c r="O270" s="11">
        <v>4</v>
      </c>
      <c r="P270" s="11">
        <v>3</v>
      </c>
      <c r="Q270" s="11">
        <v>2</v>
      </c>
      <c r="R270" s="11">
        <v>2</v>
      </c>
      <c r="S270" s="11">
        <v>2</v>
      </c>
      <c r="T270" s="11">
        <v>2</v>
      </c>
      <c r="U270" s="10">
        <v>3</v>
      </c>
      <c r="V270" s="6">
        <f t="shared" si="24"/>
        <v>9.5516872077386772</v>
      </c>
      <c r="W270" s="6">
        <f t="shared" si="25"/>
        <v>14.471804993773629</v>
      </c>
      <c r="X270" s="6">
        <f t="shared" si="26"/>
        <v>12.071743404723508</v>
      </c>
      <c r="Y270" s="6">
        <f t="shared" si="27"/>
        <v>11.202315367634089</v>
      </c>
      <c r="Z270" s="6">
        <f t="shared" si="28"/>
        <v>9.5516872077386772</v>
      </c>
      <c r="AA270" s="6">
        <f t="shared" si="29"/>
        <v>1</v>
      </c>
    </row>
    <row r="271" spans="1:27">
      <c r="A271" s="11">
        <v>270</v>
      </c>
      <c r="B271" s="12">
        <v>2</v>
      </c>
      <c r="C271" s="11">
        <v>2</v>
      </c>
      <c r="D271" s="11">
        <v>3</v>
      </c>
      <c r="E271" s="11">
        <v>2</v>
      </c>
      <c r="F271" s="11">
        <v>2</v>
      </c>
      <c r="G271" s="11">
        <v>2</v>
      </c>
      <c r="H271" s="11">
        <v>2</v>
      </c>
      <c r="I271" s="11">
        <v>2</v>
      </c>
      <c r="J271" s="11">
        <v>2</v>
      </c>
      <c r="K271" s="11">
        <v>2</v>
      </c>
      <c r="L271" s="11">
        <v>2</v>
      </c>
      <c r="M271" s="11">
        <v>3</v>
      </c>
      <c r="N271" s="11">
        <v>2</v>
      </c>
      <c r="O271" s="11">
        <v>2</v>
      </c>
      <c r="P271" s="11">
        <v>2</v>
      </c>
      <c r="Q271" s="11">
        <v>2</v>
      </c>
      <c r="R271" s="11">
        <v>2</v>
      </c>
      <c r="S271" s="11">
        <v>2</v>
      </c>
      <c r="T271" s="11">
        <v>2</v>
      </c>
      <c r="U271" s="10">
        <v>2</v>
      </c>
      <c r="V271" s="6">
        <f t="shared" si="24"/>
        <v>25.85716527052924</v>
      </c>
      <c r="W271" s="6">
        <f t="shared" si="25"/>
        <v>24.484392663286798</v>
      </c>
      <c r="X271" s="6">
        <f t="shared" si="26"/>
        <v>17.643038386570595</v>
      </c>
      <c r="Y271" s="6">
        <f t="shared" si="27"/>
        <v>9.6104565421313843</v>
      </c>
      <c r="Z271" s="6">
        <f t="shared" si="28"/>
        <v>9.6104565421313843</v>
      </c>
      <c r="AA271" s="6">
        <f t="shared" si="29"/>
        <v>4</v>
      </c>
    </row>
    <row r="272" spans="1:27">
      <c r="A272" s="11">
        <v>271</v>
      </c>
      <c r="B272" s="12">
        <v>3</v>
      </c>
      <c r="C272" s="11">
        <v>2</v>
      </c>
      <c r="D272" s="11">
        <v>2</v>
      </c>
      <c r="E272" s="11">
        <v>3</v>
      </c>
      <c r="F272" s="11">
        <v>3</v>
      </c>
      <c r="G272" s="11">
        <v>4</v>
      </c>
      <c r="H272" s="11">
        <v>3</v>
      </c>
      <c r="I272" s="11">
        <v>2</v>
      </c>
      <c r="J272" s="11">
        <v>3</v>
      </c>
      <c r="K272" s="11">
        <v>4</v>
      </c>
      <c r="L272" s="11">
        <v>2</v>
      </c>
      <c r="M272" s="11">
        <v>3</v>
      </c>
      <c r="N272" s="11">
        <v>2</v>
      </c>
      <c r="O272" s="11">
        <v>4</v>
      </c>
      <c r="P272" s="11">
        <v>2</v>
      </c>
      <c r="Q272" s="11">
        <v>2</v>
      </c>
      <c r="R272" s="11">
        <v>3</v>
      </c>
      <c r="S272" s="11">
        <v>2</v>
      </c>
      <c r="T272" s="11">
        <v>5</v>
      </c>
      <c r="U272" s="10">
        <v>4</v>
      </c>
      <c r="V272" s="6">
        <f t="shared" si="24"/>
        <v>18.079446369509206</v>
      </c>
      <c r="W272" s="6">
        <f t="shared" si="25"/>
        <v>14.687081767104706</v>
      </c>
      <c r="X272" s="6">
        <f t="shared" si="26"/>
        <v>18.961903125502374</v>
      </c>
      <c r="Y272" s="6">
        <f t="shared" si="27"/>
        <v>17.488065111751546</v>
      </c>
      <c r="Z272" s="6">
        <f t="shared" si="28"/>
        <v>14.687081767104706</v>
      </c>
      <c r="AA272" s="6">
        <f t="shared" si="29"/>
        <v>2</v>
      </c>
    </row>
    <row r="273" spans="1:27">
      <c r="A273" s="11">
        <v>272</v>
      </c>
      <c r="B273" s="12">
        <v>2</v>
      </c>
      <c r="C273" s="11">
        <v>1</v>
      </c>
      <c r="D273" s="11">
        <v>2</v>
      </c>
      <c r="E273" s="11">
        <v>1</v>
      </c>
      <c r="F273" s="11">
        <v>3</v>
      </c>
      <c r="G273" s="11">
        <v>2</v>
      </c>
      <c r="H273" s="11">
        <v>3</v>
      </c>
      <c r="I273" s="11">
        <v>3</v>
      </c>
      <c r="J273" s="11">
        <v>2</v>
      </c>
      <c r="K273" s="11">
        <v>4</v>
      </c>
      <c r="L273" s="11">
        <v>2</v>
      </c>
      <c r="M273" s="11">
        <v>3</v>
      </c>
      <c r="N273" s="11">
        <v>2</v>
      </c>
      <c r="O273" s="11">
        <v>3</v>
      </c>
      <c r="P273" s="11">
        <v>3</v>
      </c>
      <c r="Q273" s="11">
        <v>4</v>
      </c>
      <c r="R273" s="11">
        <v>3</v>
      </c>
      <c r="S273" s="11">
        <v>3</v>
      </c>
      <c r="T273" s="11">
        <v>2</v>
      </c>
      <c r="U273" s="10">
        <v>2</v>
      </c>
      <c r="V273" s="6">
        <f t="shared" si="24"/>
        <v>21.607210713875766</v>
      </c>
      <c r="W273" s="6">
        <f t="shared" si="25"/>
        <v>22.990759582216</v>
      </c>
      <c r="X273" s="6">
        <f t="shared" si="26"/>
        <v>17.225518652407715</v>
      </c>
      <c r="Y273" s="6">
        <f t="shared" si="27"/>
        <v>15.977800764564469</v>
      </c>
      <c r="Z273" s="6">
        <f t="shared" si="28"/>
        <v>15.977800764564469</v>
      </c>
      <c r="AA273" s="6">
        <f t="shared" si="29"/>
        <v>4</v>
      </c>
    </row>
    <row r="274" spans="1:27">
      <c r="A274" s="11">
        <v>273</v>
      </c>
      <c r="B274" s="12">
        <v>5</v>
      </c>
      <c r="C274" s="11">
        <v>2</v>
      </c>
      <c r="D274" s="11">
        <v>1</v>
      </c>
      <c r="E274" s="11">
        <v>3</v>
      </c>
      <c r="F274" s="11">
        <v>3</v>
      </c>
      <c r="G274" s="11">
        <v>5</v>
      </c>
      <c r="H274" s="11">
        <v>3</v>
      </c>
      <c r="I274" s="11">
        <v>3</v>
      </c>
      <c r="J274" s="11">
        <v>1</v>
      </c>
      <c r="K274" s="11">
        <v>3</v>
      </c>
      <c r="L274" s="11">
        <v>2</v>
      </c>
      <c r="M274" s="11">
        <v>1</v>
      </c>
      <c r="N274" s="11">
        <v>1</v>
      </c>
      <c r="O274" s="11">
        <v>5</v>
      </c>
      <c r="P274" s="11">
        <v>5</v>
      </c>
      <c r="Q274" s="11">
        <v>2</v>
      </c>
      <c r="R274" s="11">
        <v>3</v>
      </c>
      <c r="S274" s="11">
        <v>4</v>
      </c>
      <c r="T274" s="11">
        <v>5</v>
      </c>
      <c r="U274" s="10">
        <v>1</v>
      </c>
      <c r="V274" s="6">
        <f t="shared" si="24"/>
        <v>30.218384499374196</v>
      </c>
      <c r="W274" s="6">
        <f t="shared" si="25"/>
        <v>41.851588453182103</v>
      </c>
      <c r="X274" s="6">
        <f t="shared" si="26"/>
        <v>25.445397932003566</v>
      </c>
      <c r="Y274" s="6">
        <f t="shared" si="27"/>
        <v>42.937047890930572</v>
      </c>
      <c r="Z274" s="6">
        <f t="shared" si="28"/>
        <v>25.445397932003566</v>
      </c>
      <c r="AA274" s="6">
        <f t="shared" si="29"/>
        <v>3</v>
      </c>
    </row>
    <row r="275" spans="1:27">
      <c r="A275" s="11">
        <v>274</v>
      </c>
      <c r="B275" s="12">
        <v>4</v>
      </c>
      <c r="C275" s="11">
        <v>2</v>
      </c>
      <c r="D275" s="11">
        <v>2</v>
      </c>
      <c r="E275" s="11">
        <v>4</v>
      </c>
      <c r="F275" s="11">
        <v>2</v>
      </c>
      <c r="G275" s="11">
        <v>2</v>
      </c>
      <c r="H275" s="11">
        <v>3</v>
      </c>
      <c r="I275" s="11">
        <v>2</v>
      </c>
      <c r="J275" s="11">
        <v>2</v>
      </c>
      <c r="K275" s="11">
        <v>2</v>
      </c>
      <c r="L275" s="11">
        <v>2</v>
      </c>
      <c r="M275" s="11">
        <v>2</v>
      </c>
      <c r="N275" s="11">
        <v>2</v>
      </c>
      <c r="O275" s="11">
        <v>4</v>
      </c>
      <c r="P275" s="11">
        <v>4</v>
      </c>
      <c r="Q275" s="11">
        <v>2</v>
      </c>
      <c r="R275" s="11">
        <v>2</v>
      </c>
      <c r="S275" s="11">
        <v>4</v>
      </c>
      <c r="T275" s="11">
        <v>3</v>
      </c>
      <c r="U275" s="10">
        <v>4</v>
      </c>
      <c r="V275" s="6">
        <f t="shared" si="24"/>
        <v>11.996118481597863</v>
      </c>
      <c r="W275" s="6">
        <f t="shared" si="25"/>
        <v>16.636404571939014</v>
      </c>
      <c r="X275" s="6">
        <f t="shared" si="26"/>
        <v>15.379459551516312</v>
      </c>
      <c r="Y275" s="6">
        <f t="shared" si="27"/>
        <v>10.059490817818389</v>
      </c>
      <c r="Z275" s="6">
        <f t="shared" si="28"/>
        <v>10.059490817818389</v>
      </c>
      <c r="AA275" s="6">
        <f t="shared" si="29"/>
        <v>4</v>
      </c>
    </row>
    <row r="276" spans="1:27">
      <c r="A276" s="11">
        <v>275</v>
      </c>
      <c r="B276" s="12">
        <v>5</v>
      </c>
      <c r="C276" s="11">
        <v>4</v>
      </c>
      <c r="D276" s="11">
        <v>3</v>
      </c>
      <c r="E276" s="11">
        <v>3</v>
      </c>
      <c r="F276" s="11">
        <v>4</v>
      </c>
      <c r="G276" s="11">
        <v>4</v>
      </c>
      <c r="H276" s="11">
        <v>3</v>
      </c>
      <c r="I276" s="11">
        <v>2</v>
      </c>
      <c r="J276" s="11">
        <v>4</v>
      </c>
      <c r="K276" s="11">
        <v>2</v>
      </c>
      <c r="L276" s="11">
        <v>4</v>
      </c>
      <c r="M276" s="11">
        <v>3</v>
      </c>
      <c r="N276" s="11">
        <v>4</v>
      </c>
      <c r="O276" s="11">
        <v>2</v>
      </c>
      <c r="P276" s="11">
        <v>4</v>
      </c>
      <c r="Q276" s="11">
        <v>3</v>
      </c>
      <c r="R276" s="11">
        <v>2</v>
      </c>
      <c r="S276" s="11">
        <v>4</v>
      </c>
      <c r="T276" s="11">
        <v>1</v>
      </c>
      <c r="U276" s="10">
        <v>3</v>
      </c>
      <c r="V276" s="6">
        <f t="shared" si="24"/>
        <v>36.357298695257711</v>
      </c>
      <c r="W276" s="6">
        <f t="shared" si="25"/>
        <v>21.876938037939691</v>
      </c>
      <c r="X276" s="6">
        <f t="shared" si="26"/>
        <v>37.775051032735263</v>
      </c>
      <c r="Y276" s="6">
        <f t="shared" si="27"/>
        <v>35.630977621210711</v>
      </c>
      <c r="Z276" s="6">
        <f t="shared" si="28"/>
        <v>21.876938037939691</v>
      </c>
      <c r="AA276" s="6">
        <f t="shared" si="29"/>
        <v>2</v>
      </c>
    </row>
    <row r="277" spans="1:27">
      <c r="A277" s="11">
        <v>276</v>
      </c>
      <c r="B277" s="12">
        <v>1</v>
      </c>
      <c r="C277" s="11">
        <v>1</v>
      </c>
      <c r="D277" s="11">
        <v>3</v>
      </c>
      <c r="E277" s="11">
        <v>3</v>
      </c>
      <c r="F277" s="11">
        <v>3</v>
      </c>
      <c r="G277" s="11">
        <v>3</v>
      </c>
      <c r="H277" s="11">
        <v>2</v>
      </c>
      <c r="I277" s="11">
        <v>5</v>
      </c>
      <c r="J277" s="11">
        <v>2</v>
      </c>
      <c r="K277" s="11">
        <v>3</v>
      </c>
      <c r="L277" s="11">
        <v>4</v>
      </c>
      <c r="M277" s="11">
        <v>1</v>
      </c>
      <c r="N277" s="11">
        <v>2</v>
      </c>
      <c r="O277" s="11">
        <v>3</v>
      </c>
      <c r="P277" s="11">
        <v>4</v>
      </c>
      <c r="Q277" s="11">
        <v>3</v>
      </c>
      <c r="R277" s="11">
        <v>3</v>
      </c>
      <c r="S277" s="11">
        <v>4</v>
      </c>
      <c r="T277" s="11">
        <v>5</v>
      </c>
      <c r="U277" s="10">
        <v>5</v>
      </c>
      <c r="V277" s="6">
        <f t="shared" si="24"/>
        <v>34.551719204087846</v>
      </c>
      <c r="W277" s="6">
        <f t="shared" si="25"/>
        <v>24.712395677689145</v>
      </c>
      <c r="X277" s="6">
        <f t="shared" si="26"/>
        <v>44.917951895459581</v>
      </c>
      <c r="Y277" s="6">
        <f t="shared" si="27"/>
        <v>33.447232357850957</v>
      </c>
      <c r="Z277" s="6">
        <f t="shared" si="28"/>
        <v>24.712395677689145</v>
      </c>
      <c r="AA277" s="6">
        <f t="shared" si="29"/>
        <v>2</v>
      </c>
    </row>
    <row r="278" spans="1:27">
      <c r="A278" s="11">
        <v>277</v>
      </c>
      <c r="B278" s="12">
        <v>3</v>
      </c>
      <c r="C278" s="11">
        <v>2</v>
      </c>
      <c r="D278" s="11">
        <v>2</v>
      </c>
      <c r="E278" s="11">
        <v>2</v>
      </c>
      <c r="F278" s="11">
        <v>2</v>
      </c>
      <c r="G278" s="11">
        <v>2</v>
      </c>
      <c r="H278" s="11">
        <v>2</v>
      </c>
      <c r="I278" s="11">
        <v>1</v>
      </c>
      <c r="J278" s="11">
        <v>1</v>
      </c>
      <c r="K278" s="11">
        <v>2</v>
      </c>
      <c r="L278" s="11">
        <v>1</v>
      </c>
      <c r="M278" s="11">
        <v>5</v>
      </c>
      <c r="N278" s="11">
        <v>2</v>
      </c>
      <c r="O278" s="11">
        <v>2</v>
      </c>
      <c r="P278" s="11">
        <v>1</v>
      </c>
      <c r="Q278" s="11">
        <v>1</v>
      </c>
      <c r="R278" s="11">
        <v>1</v>
      </c>
      <c r="S278" s="11">
        <v>5</v>
      </c>
      <c r="T278" s="11">
        <v>2</v>
      </c>
      <c r="U278" s="10">
        <v>5</v>
      </c>
      <c r="V278" s="6">
        <f t="shared" si="24"/>
        <v>49.857080098817896</v>
      </c>
      <c r="W278" s="6">
        <f t="shared" si="25"/>
        <v>47.294571597793485</v>
      </c>
      <c r="X278" s="6">
        <f t="shared" si="26"/>
        <v>50.478291815107831</v>
      </c>
      <c r="Y278" s="6">
        <f t="shared" si="27"/>
        <v>24.54925266309289</v>
      </c>
      <c r="Z278" s="6">
        <f t="shared" si="28"/>
        <v>24.54925266309289</v>
      </c>
      <c r="AA278" s="6">
        <f t="shared" si="29"/>
        <v>4</v>
      </c>
    </row>
    <row r="279" spans="1:27">
      <c r="A279" s="11">
        <v>278</v>
      </c>
      <c r="B279" s="12">
        <v>2</v>
      </c>
      <c r="C279" s="11">
        <v>2</v>
      </c>
      <c r="D279" s="11">
        <v>1</v>
      </c>
      <c r="E279" s="11">
        <v>4</v>
      </c>
      <c r="F279" s="11">
        <v>2</v>
      </c>
      <c r="G279" s="11">
        <v>4</v>
      </c>
      <c r="H279" s="11">
        <v>3</v>
      </c>
      <c r="I279" s="11">
        <v>2</v>
      </c>
      <c r="J279" s="11">
        <v>2</v>
      </c>
      <c r="K279" s="11">
        <v>3</v>
      </c>
      <c r="L279" s="11">
        <v>2</v>
      </c>
      <c r="M279" s="11">
        <v>1</v>
      </c>
      <c r="N279" s="11">
        <v>1</v>
      </c>
      <c r="O279" s="11">
        <v>4</v>
      </c>
      <c r="P279" s="11">
        <v>3</v>
      </c>
      <c r="Q279" s="11">
        <v>3</v>
      </c>
      <c r="R279" s="11">
        <v>2</v>
      </c>
      <c r="S279" s="11">
        <v>3</v>
      </c>
      <c r="T279" s="11">
        <v>2</v>
      </c>
      <c r="U279" s="10">
        <v>3</v>
      </c>
      <c r="V279" s="6">
        <f t="shared" si="24"/>
        <v>7.718341800587841</v>
      </c>
      <c r="W279" s="6">
        <f t="shared" si="25"/>
        <v>24.243946377624347</v>
      </c>
      <c r="X279" s="6">
        <f t="shared" si="26"/>
        <v>15.786051580702471</v>
      </c>
      <c r="Y279" s="6">
        <f t="shared" si="27"/>
        <v>15.283957587374868</v>
      </c>
      <c r="Z279" s="6">
        <f t="shared" si="28"/>
        <v>7.718341800587841</v>
      </c>
      <c r="AA279" s="6">
        <f t="shared" si="29"/>
        <v>1</v>
      </c>
    </row>
    <row r="280" spans="1:27">
      <c r="A280" s="11">
        <v>279</v>
      </c>
      <c r="B280" s="12">
        <v>2</v>
      </c>
      <c r="C280" s="11">
        <v>1</v>
      </c>
      <c r="D280" s="11">
        <v>2</v>
      </c>
      <c r="E280" s="11">
        <v>5</v>
      </c>
      <c r="F280" s="11">
        <v>1</v>
      </c>
      <c r="G280" s="11">
        <v>2</v>
      </c>
      <c r="H280" s="11">
        <v>1</v>
      </c>
      <c r="I280" s="11">
        <v>5</v>
      </c>
      <c r="J280" s="11">
        <v>1</v>
      </c>
      <c r="K280" s="11">
        <v>5</v>
      </c>
      <c r="L280" s="11">
        <v>1</v>
      </c>
      <c r="M280" s="11">
        <v>1</v>
      </c>
      <c r="N280" s="11">
        <v>1</v>
      </c>
      <c r="O280" s="11">
        <v>5</v>
      </c>
      <c r="P280" s="11">
        <v>5</v>
      </c>
      <c r="Q280" s="11">
        <v>1</v>
      </c>
      <c r="R280" s="11">
        <v>1</v>
      </c>
      <c r="S280" s="11">
        <v>1</v>
      </c>
      <c r="T280" s="11">
        <v>1</v>
      </c>
      <c r="U280" s="10">
        <v>5</v>
      </c>
      <c r="V280" s="6">
        <f t="shared" si="24"/>
        <v>48.357263681321868</v>
      </c>
      <c r="W280" s="6">
        <f t="shared" si="25"/>
        <v>71.332614232430714</v>
      </c>
      <c r="X280" s="6">
        <f t="shared" si="26"/>
        <v>56.159674899315988</v>
      </c>
      <c r="Y280" s="6">
        <f t="shared" si="27"/>
        <v>54.794078192257658</v>
      </c>
      <c r="Z280" s="6">
        <f t="shared" si="28"/>
        <v>48.357263681321868</v>
      </c>
      <c r="AA280" s="6">
        <f t="shared" si="29"/>
        <v>1</v>
      </c>
    </row>
    <row r="281" spans="1:27">
      <c r="A281" s="11">
        <v>280</v>
      </c>
      <c r="B281" s="12">
        <v>3</v>
      </c>
      <c r="C281" s="11">
        <v>2</v>
      </c>
      <c r="D281" s="11">
        <v>2</v>
      </c>
      <c r="E281" s="11">
        <v>4</v>
      </c>
      <c r="F281" s="11">
        <v>2</v>
      </c>
      <c r="G281" s="11">
        <v>2</v>
      </c>
      <c r="H281" s="11">
        <v>3</v>
      </c>
      <c r="I281" s="11">
        <v>4</v>
      </c>
      <c r="J281" s="11">
        <v>2</v>
      </c>
      <c r="K281" s="11">
        <v>3</v>
      </c>
      <c r="L281" s="11">
        <v>4</v>
      </c>
      <c r="M281" s="11">
        <v>2</v>
      </c>
      <c r="N281" s="11">
        <v>3</v>
      </c>
      <c r="O281" s="11">
        <v>2</v>
      </c>
      <c r="P281" s="11">
        <v>5</v>
      </c>
      <c r="Q281" s="11">
        <v>4</v>
      </c>
      <c r="R281" s="11">
        <v>4</v>
      </c>
      <c r="S281" s="11">
        <v>2</v>
      </c>
      <c r="T281" s="11">
        <v>5</v>
      </c>
      <c r="U281" s="10">
        <v>2</v>
      </c>
      <c r="V281" s="6">
        <f t="shared" si="24"/>
        <v>33.912859284678206</v>
      </c>
      <c r="W281" s="6">
        <f t="shared" si="25"/>
        <v>24.560439352698467</v>
      </c>
      <c r="X281" s="6">
        <f t="shared" si="26"/>
        <v>27.049790222428648</v>
      </c>
      <c r="Y281" s="6">
        <f t="shared" si="27"/>
        <v>35.039075871203671</v>
      </c>
      <c r="Z281" s="6">
        <f t="shared" si="28"/>
        <v>24.560439352698467</v>
      </c>
      <c r="AA281" s="6">
        <f t="shared" si="29"/>
        <v>2</v>
      </c>
    </row>
    <row r="282" spans="1:27">
      <c r="A282" s="11">
        <v>281</v>
      </c>
      <c r="B282" s="12">
        <v>2</v>
      </c>
      <c r="C282" s="11">
        <v>2</v>
      </c>
      <c r="D282" s="11">
        <v>2</v>
      </c>
      <c r="E282" s="11">
        <v>2</v>
      </c>
      <c r="F282" s="11">
        <v>5</v>
      </c>
      <c r="G282" s="11">
        <v>4</v>
      </c>
      <c r="H282" s="11">
        <v>3</v>
      </c>
      <c r="I282" s="11">
        <v>2</v>
      </c>
      <c r="J282" s="11">
        <v>1</v>
      </c>
      <c r="K282" s="11">
        <v>2</v>
      </c>
      <c r="L282" s="11">
        <v>1</v>
      </c>
      <c r="M282" s="11">
        <v>1</v>
      </c>
      <c r="N282" s="11">
        <v>2</v>
      </c>
      <c r="O282" s="11">
        <v>5</v>
      </c>
      <c r="P282" s="11">
        <v>5</v>
      </c>
      <c r="Q282" s="11">
        <v>2</v>
      </c>
      <c r="R282" s="11">
        <v>2</v>
      </c>
      <c r="S282" s="11">
        <v>2</v>
      </c>
      <c r="T282" s="11">
        <v>3</v>
      </c>
      <c r="U282" s="10">
        <v>4</v>
      </c>
      <c r="V282" s="6">
        <f t="shared" si="24"/>
        <v>12.940578601214742</v>
      </c>
      <c r="W282" s="6">
        <f t="shared" si="25"/>
        <v>30.003465446908077</v>
      </c>
      <c r="X282" s="6">
        <f t="shared" si="26"/>
        <v>20.368478739324782</v>
      </c>
      <c r="Y282" s="6">
        <f t="shared" si="27"/>
        <v>21.977813488248376</v>
      </c>
      <c r="Z282" s="6">
        <f t="shared" si="28"/>
        <v>12.940578601214742</v>
      </c>
      <c r="AA282" s="6">
        <f t="shared" si="29"/>
        <v>1</v>
      </c>
    </row>
    <row r="283" spans="1:27">
      <c r="A283" s="11">
        <v>282</v>
      </c>
      <c r="B283" s="12">
        <v>5</v>
      </c>
      <c r="C283" s="11">
        <v>2</v>
      </c>
      <c r="D283" s="11">
        <v>1</v>
      </c>
      <c r="E283" s="11">
        <v>1</v>
      </c>
      <c r="F283" s="11">
        <v>2</v>
      </c>
      <c r="G283" s="11">
        <v>3</v>
      </c>
      <c r="H283" s="11">
        <v>3</v>
      </c>
      <c r="I283" s="11">
        <v>3</v>
      </c>
      <c r="J283" s="11">
        <v>1</v>
      </c>
      <c r="K283" s="11">
        <v>3</v>
      </c>
      <c r="L283" s="11">
        <v>3</v>
      </c>
      <c r="M283" s="11">
        <v>3</v>
      </c>
      <c r="N283" s="11">
        <v>3</v>
      </c>
      <c r="O283" s="11">
        <v>2</v>
      </c>
      <c r="P283" s="11">
        <v>4</v>
      </c>
      <c r="Q283" s="11">
        <v>3</v>
      </c>
      <c r="R283" s="11">
        <v>4</v>
      </c>
      <c r="S283" s="11">
        <v>2</v>
      </c>
      <c r="T283" s="11">
        <v>3</v>
      </c>
      <c r="U283" s="10">
        <v>3</v>
      </c>
      <c r="V283" s="6">
        <f t="shared" si="24"/>
        <v>31.41279364804268</v>
      </c>
      <c r="W283" s="6">
        <f t="shared" si="25"/>
        <v>26.686994900499066</v>
      </c>
      <c r="X283" s="6">
        <f t="shared" si="26"/>
        <v>16.368469887498616</v>
      </c>
      <c r="Y283" s="6">
        <f t="shared" si="27"/>
        <v>20.345164498686849</v>
      </c>
      <c r="Z283" s="6">
        <f t="shared" si="28"/>
        <v>16.368469887498616</v>
      </c>
      <c r="AA283" s="6">
        <f t="shared" si="29"/>
        <v>3</v>
      </c>
    </row>
    <row r="284" spans="1:27">
      <c r="A284" s="11">
        <v>283</v>
      </c>
      <c r="B284" s="12">
        <v>3</v>
      </c>
      <c r="C284" s="11">
        <v>3</v>
      </c>
      <c r="D284" s="11">
        <v>2</v>
      </c>
      <c r="E284" s="11">
        <v>2</v>
      </c>
      <c r="F284" s="11">
        <v>3</v>
      </c>
      <c r="G284" s="11">
        <v>3</v>
      </c>
      <c r="H284" s="11">
        <v>3</v>
      </c>
      <c r="I284" s="11">
        <v>2</v>
      </c>
      <c r="J284" s="11">
        <v>2</v>
      </c>
      <c r="K284" s="11">
        <v>4</v>
      </c>
      <c r="L284" s="11">
        <v>3</v>
      </c>
      <c r="M284" s="11">
        <v>2</v>
      </c>
      <c r="N284" s="11">
        <v>3</v>
      </c>
      <c r="O284" s="11">
        <v>4</v>
      </c>
      <c r="P284" s="11">
        <v>3</v>
      </c>
      <c r="Q284" s="11">
        <v>3</v>
      </c>
      <c r="R284" s="11">
        <v>3</v>
      </c>
      <c r="S284" s="11">
        <v>3</v>
      </c>
      <c r="T284" s="11">
        <v>3</v>
      </c>
      <c r="U284" s="10">
        <v>2</v>
      </c>
      <c r="V284" s="6">
        <f t="shared" si="24"/>
        <v>10.801697646336493</v>
      </c>
      <c r="W284" s="6">
        <f t="shared" si="25"/>
        <v>9.9781548215259424</v>
      </c>
      <c r="X284" s="6">
        <f t="shared" si="26"/>
        <v>7.3354576952342958</v>
      </c>
      <c r="Y284" s="6">
        <f t="shared" si="27"/>
        <v>13.488044426267134</v>
      </c>
      <c r="Z284" s="6">
        <f t="shared" si="28"/>
        <v>7.3354576952342958</v>
      </c>
      <c r="AA284" s="6">
        <f t="shared" si="29"/>
        <v>3</v>
      </c>
    </row>
    <row r="285" spans="1:27">
      <c r="A285" s="11">
        <v>284</v>
      </c>
      <c r="B285" s="12">
        <v>2</v>
      </c>
      <c r="C285" s="11">
        <v>5</v>
      </c>
      <c r="D285" s="11">
        <v>5</v>
      </c>
      <c r="E285" s="11">
        <v>2</v>
      </c>
      <c r="F285" s="11">
        <v>5</v>
      </c>
      <c r="G285" s="11">
        <v>2</v>
      </c>
      <c r="H285" s="11">
        <v>2</v>
      </c>
      <c r="I285" s="11">
        <v>3</v>
      </c>
      <c r="J285" s="11">
        <v>2</v>
      </c>
      <c r="K285" s="11">
        <v>2</v>
      </c>
      <c r="L285" s="11">
        <v>1</v>
      </c>
      <c r="M285" s="11">
        <v>1</v>
      </c>
      <c r="N285" s="11">
        <v>2</v>
      </c>
      <c r="O285" s="11">
        <v>3</v>
      </c>
      <c r="P285" s="11">
        <v>5</v>
      </c>
      <c r="Q285" s="11">
        <v>3</v>
      </c>
      <c r="R285" s="11">
        <v>3</v>
      </c>
      <c r="S285" s="11">
        <v>2</v>
      </c>
      <c r="T285" s="11">
        <v>5</v>
      </c>
      <c r="U285" s="10">
        <v>3</v>
      </c>
      <c r="V285" s="6">
        <f t="shared" si="24"/>
        <v>39.746158852607799</v>
      </c>
      <c r="W285" s="6">
        <f t="shared" si="25"/>
        <v>30.889553203757497</v>
      </c>
      <c r="X285" s="6">
        <f t="shared" si="26"/>
        <v>44.08264769622506</v>
      </c>
      <c r="Y285" s="6">
        <f t="shared" si="27"/>
        <v>41.059460490312411</v>
      </c>
      <c r="Z285" s="6">
        <f t="shared" si="28"/>
        <v>30.889553203757497</v>
      </c>
      <c r="AA285" s="6">
        <f t="shared" si="29"/>
        <v>2</v>
      </c>
    </row>
    <row r="286" spans="1:27">
      <c r="A286" s="11">
        <v>285</v>
      </c>
      <c r="B286" s="12">
        <v>3</v>
      </c>
      <c r="C286" s="11">
        <v>2</v>
      </c>
      <c r="D286" s="11">
        <v>1</v>
      </c>
      <c r="E286" s="11">
        <v>2</v>
      </c>
      <c r="F286" s="11">
        <v>4</v>
      </c>
      <c r="G286" s="11">
        <v>1</v>
      </c>
      <c r="H286" s="11">
        <v>1</v>
      </c>
      <c r="I286" s="11">
        <v>1</v>
      </c>
      <c r="J286" s="11">
        <v>1</v>
      </c>
      <c r="K286" s="11">
        <v>3</v>
      </c>
      <c r="L286" s="11">
        <v>1</v>
      </c>
      <c r="M286" s="11">
        <v>3</v>
      </c>
      <c r="N286" s="11">
        <v>3</v>
      </c>
      <c r="O286" s="11">
        <v>1</v>
      </c>
      <c r="P286" s="11">
        <v>3</v>
      </c>
      <c r="Q286" s="11">
        <v>3</v>
      </c>
      <c r="R286" s="11">
        <v>2</v>
      </c>
      <c r="S286" s="11">
        <v>2</v>
      </c>
      <c r="T286" s="11">
        <v>1</v>
      </c>
      <c r="U286" s="10">
        <v>1</v>
      </c>
      <c r="V286" s="6">
        <f t="shared" si="24"/>
        <v>38.718265560330209</v>
      </c>
      <c r="W286" s="6">
        <f t="shared" si="25"/>
        <v>48.319801158091778</v>
      </c>
      <c r="X286" s="6">
        <f t="shared" si="26"/>
        <v>27.192504064000744</v>
      </c>
      <c r="Y286" s="6">
        <f t="shared" si="27"/>
        <v>29.508394244172958</v>
      </c>
      <c r="Z286" s="6">
        <f t="shared" si="28"/>
        <v>27.192504064000744</v>
      </c>
      <c r="AA286" s="6">
        <f t="shared" si="29"/>
        <v>3</v>
      </c>
    </row>
    <row r="287" spans="1:27">
      <c r="A287" s="11">
        <v>286</v>
      </c>
      <c r="B287" s="12">
        <v>1</v>
      </c>
      <c r="C287" s="11">
        <v>1</v>
      </c>
      <c r="D287" s="11">
        <v>1</v>
      </c>
      <c r="E287" s="11">
        <v>1</v>
      </c>
      <c r="F287" s="11">
        <v>1</v>
      </c>
      <c r="G287" s="11">
        <v>5</v>
      </c>
      <c r="H287" s="11">
        <v>1</v>
      </c>
      <c r="I287" s="11">
        <v>1</v>
      </c>
      <c r="J287" s="11">
        <v>1</v>
      </c>
      <c r="K287" s="11">
        <v>1</v>
      </c>
      <c r="L287" s="11">
        <v>1</v>
      </c>
      <c r="M287" s="11">
        <v>1</v>
      </c>
      <c r="N287" s="11">
        <v>2</v>
      </c>
      <c r="O287" s="11">
        <v>4</v>
      </c>
      <c r="P287" s="11">
        <v>5</v>
      </c>
      <c r="Q287" s="11">
        <v>1</v>
      </c>
      <c r="R287" s="11">
        <v>1</v>
      </c>
      <c r="S287" s="11">
        <v>4</v>
      </c>
      <c r="T287" s="11">
        <v>4</v>
      </c>
      <c r="U287" s="10">
        <v>4</v>
      </c>
      <c r="V287" s="6">
        <f t="shared" si="24"/>
        <v>43.496011059867008</v>
      </c>
      <c r="W287" s="6">
        <f t="shared" si="25"/>
        <v>61.686969385593635</v>
      </c>
      <c r="X287" s="6">
        <f t="shared" si="26"/>
        <v>40.687149428488169</v>
      </c>
      <c r="Y287" s="6">
        <f t="shared" si="27"/>
        <v>33.243095244877466</v>
      </c>
      <c r="Z287" s="6">
        <f t="shared" si="28"/>
        <v>33.243095244877466</v>
      </c>
      <c r="AA287" s="6">
        <f t="shared" si="29"/>
        <v>4</v>
      </c>
    </row>
    <row r="288" spans="1:27">
      <c r="A288" s="11">
        <v>287</v>
      </c>
      <c r="B288" s="12">
        <v>5</v>
      </c>
      <c r="C288" s="11">
        <v>1</v>
      </c>
      <c r="D288" s="11">
        <v>1</v>
      </c>
      <c r="E288" s="11">
        <v>1</v>
      </c>
      <c r="F288" s="11">
        <v>1</v>
      </c>
      <c r="G288" s="11">
        <v>1</v>
      </c>
      <c r="H288" s="11">
        <v>1</v>
      </c>
      <c r="I288" s="11">
        <v>1</v>
      </c>
      <c r="J288" s="11">
        <v>1</v>
      </c>
      <c r="K288" s="11">
        <v>1</v>
      </c>
      <c r="L288" s="11">
        <v>1</v>
      </c>
      <c r="M288" s="11">
        <v>1</v>
      </c>
      <c r="N288" s="11">
        <v>5</v>
      </c>
      <c r="O288" s="11">
        <v>5</v>
      </c>
      <c r="P288" s="11">
        <v>5</v>
      </c>
      <c r="Q288" s="11">
        <v>1</v>
      </c>
      <c r="R288" s="11">
        <v>1</v>
      </c>
      <c r="S288" s="11">
        <v>1</v>
      </c>
      <c r="T288" s="11">
        <v>1</v>
      </c>
      <c r="U288" s="10">
        <v>1</v>
      </c>
      <c r="V288" s="6">
        <f t="shared" si="24"/>
        <v>64.884948696336579</v>
      </c>
      <c r="W288" s="6">
        <f t="shared" si="25"/>
        <v>88.053998003082313</v>
      </c>
      <c r="X288" s="6">
        <f t="shared" si="26"/>
        <v>40.500217545212223</v>
      </c>
      <c r="Y288" s="6">
        <f t="shared" si="27"/>
        <v>55.732880072210421</v>
      </c>
      <c r="Z288" s="6">
        <f t="shared" si="28"/>
        <v>40.500217545212223</v>
      </c>
      <c r="AA288" s="6">
        <f t="shared" si="29"/>
        <v>3</v>
      </c>
    </row>
    <row r="289" spans="1:27">
      <c r="A289" s="11">
        <v>288</v>
      </c>
      <c r="B289" s="12">
        <v>3</v>
      </c>
      <c r="C289" s="11">
        <v>1</v>
      </c>
      <c r="D289" s="11">
        <v>4</v>
      </c>
      <c r="E289" s="11">
        <v>2</v>
      </c>
      <c r="F289" s="11">
        <v>4</v>
      </c>
      <c r="G289" s="11">
        <v>5</v>
      </c>
      <c r="H289" s="11">
        <v>2</v>
      </c>
      <c r="I289" s="11">
        <v>1</v>
      </c>
      <c r="J289" s="11">
        <v>1</v>
      </c>
      <c r="K289" s="11">
        <v>4</v>
      </c>
      <c r="L289" s="11">
        <v>2</v>
      </c>
      <c r="M289" s="11">
        <v>4</v>
      </c>
      <c r="N289" s="11">
        <v>1</v>
      </c>
      <c r="O289" s="11">
        <v>4</v>
      </c>
      <c r="P289" s="11">
        <v>3</v>
      </c>
      <c r="Q289" s="11">
        <v>1</v>
      </c>
      <c r="R289" s="11">
        <v>3</v>
      </c>
      <c r="S289" s="11">
        <v>2</v>
      </c>
      <c r="T289" s="11">
        <v>1</v>
      </c>
      <c r="U289" s="10">
        <v>1</v>
      </c>
      <c r="V289" s="6">
        <f t="shared" si="24"/>
        <v>38.051688947517015</v>
      </c>
      <c r="W289" s="6">
        <f t="shared" si="25"/>
        <v>44.14267369324768</v>
      </c>
      <c r="X289" s="6">
        <f t="shared" si="26"/>
        <v>30.533103279379212</v>
      </c>
      <c r="Y289" s="6">
        <f t="shared" si="27"/>
        <v>36.141056739424499</v>
      </c>
      <c r="Z289" s="6">
        <f t="shared" si="28"/>
        <v>30.533103279379212</v>
      </c>
      <c r="AA289" s="6">
        <f t="shared" si="29"/>
        <v>3</v>
      </c>
    </row>
    <row r="290" spans="1:27">
      <c r="A290" s="11">
        <v>289</v>
      </c>
      <c r="B290" s="12">
        <v>3</v>
      </c>
      <c r="C290" s="11">
        <v>1</v>
      </c>
      <c r="D290" s="11">
        <v>1</v>
      </c>
      <c r="E290" s="11">
        <v>3</v>
      </c>
      <c r="F290" s="11">
        <v>1</v>
      </c>
      <c r="G290" s="11">
        <v>1</v>
      </c>
      <c r="H290" s="11">
        <v>3</v>
      </c>
      <c r="I290" s="11">
        <v>3</v>
      </c>
      <c r="J290" s="11">
        <v>3</v>
      </c>
      <c r="K290" s="11">
        <v>3</v>
      </c>
      <c r="L290" s="11">
        <v>2</v>
      </c>
      <c r="M290" s="11">
        <v>3</v>
      </c>
      <c r="N290" s="11">
        <v>5</v>
      </c>
      <c r="O290" s="11">
        <v>3</v>
      </c>
      <c r="P290" s="11">
        <v>5</v>
      </c>
      <c r="Q290" s="11">
        <v>1</v>
      </c>
      <c r="R290" s="11">
        <v>1</v>
      </c>
      <c r="S290" s="11">
        <v>1</v>
      </c>
      <c r="T290" s="11">
        <v>3</v>
      </c>
      <c r="U290" s="10">
        <v>1</v>
      </c>
      <c r="V290" s="6">
        <f t="shared" si="24"/>
        <v>43.996088071387241</v>
      </c>
      <c r="W290" s="6">
        <f t="shared" si="25"/>
        <v>48.573058467766792</v>
      </c>
      <c r="X290" s="6">
        <f t="shared" si="26"/>
        <v>23.456338878432444</v>
      </c>
      <c r="Y290" s="6">
        <f t="shared" si="27"/>
        <v>35.651284467244679</v>
      </c>
      <c r="Z290" s="6">
        <f t="shared" si="28"/>
        <v>23.456338878432444</v>
      </c>
      <c r="AA290" s="6">
        <f t="shared" si="29"/>
        <v>3</v>
      </c>
    </row>
    <row r="291" spans="1:27">
      <c r="A291" s="11">
        <v>290</v>
      </c>
      <c r="B291" s="12">
        <v>3</v>
      </c>
      <c r="C291" s="11">
        <v>3</v>
      </c>
      <c r="D291" s="11">
        <v>1</v>
      </c>
      <c r="E291" s="11">
        <v>2</v>
      </c>
      <c r="F291" s="11">
        <v>2</v>
      </c>
      <c r="G291" s="11">
        <v>4</v>
      </c>
      <c r="H291" s="11">
        <v>3</v>
      </c>
      <c r="I291" s="11">
        <v>2</v>
      </c>
      <c r="J291" s="11">
        <v>2</v>
      </c>
      <c r="K291" s="11">
        <v>3</v>
      </c>
      <c r="L291" s="11">
        <v>2</v>
      </c>
      <c r="M291" s="11">
        <v>3</v>
      </c>
      <c r="N291" s="11">
        <v>3</v>
      </c>
      <c r="O291" s="11">
        <v>3</v>
      </c>
      <c r="P291" s="11">
        <v>4</v>
      </c>
      <c r="Q291" s="11">
        <v>4</v>
      </c>
      <c r="R291" s="11">
        <v>3</v>
      </c>
      <c r="S291" s="11">
        <v>1</v>
      </c>
      <c r="T291" s="11">
        <v>3</v>
      </c>
      <c r="U291" s="10">
        <v>3</v>
      </c>
      <c r="V291" s="6">
        <f t="shared" si="24"/>
        <v>16.135010822659986</v>
      </c>
      <c r="W291" s="6">
        <f t="shared" si="25"/>
        <v>20.231292279883615</v>
      </c>
      <c r="X291" s="6">
        <f t="shared" si="26"/>
        <v>10.258603488435115</v>
      </c>
      <c r="Y291" s="6">
        <f t="shared" si="27"/>
        <v>15.324765247538521</v>
      </c>
      <c r="Z291" s="6">
        <f t="shared" si="28"/>
        <v>10.258603488435115</v>
      </c>
      <c r="AA291" s="6">
        <f t="shared" si="29"/>
        <v>3</v>
      </c>
    </row>
    <row r="292" spans="1:27">
      <c r="A292" s="11">
        <v>291</v>
      </c>
      <c r="B292" s="12">
        <v>4</v>
      </c>
      <c r="C292" s="11">
        <v>1</v>
      </c>
      <c r="D292" s="11">
        <v>2</v>
      </c>
      <c r="E292" s="11">
        <v>4</v>
      </c>
      <c r="F292" s="11">
        <v>4</v>
      </c>
      <c r="G292" s="11">
        <v>2</v>
      </c>
      <c r="H292" s="11">
        <v>3</v>
      </c>
      <c r="I292" s="11">
        <v>2</v>
      </c>
      <c r="J292" s="11">
        <v>1</v>
      </c>
      <c r="K292" s="11">
        <v>1</v>
      </c>
      <c r="L292" s="11">
        <v>1</v>
      </c>
      <c r="M292" s="11">
        <v>1</v>
      </c>
      <c r="N292" s="11">
        <v>4</v>
      </c>
      <c r="O292" s="11">
        <v>4</v>
      </c>
      <c r="P292" s="11">
        <v>4</v>
      </c>
      <c r="Q292" s="11">
        <v>2</v>
      </c>
      <c r="R292" s="11">
        <v>1</v>
      </c>
      <c r="S292" s="11">
        <v>5</v>
      </c>
      <c r="T292" s="11">
        <v>1</v>
      </c>
      <c r="U292" s="10">
        <v>5</v>
      </c>
      <c r="V292" s="6">
        <f t="shared" si="24"/>
        <v>27.023885234183133</v>
      </c>
      <c r="W292" s="6">
        <f t="shared" si="25"/>
        <v>41.041453270436229</v>
      </c>
      <c r="X292" s="6">
        <f t="shared" si="26"/>
        <v>40.456376998033001</v>
      </c>
      <c r="Y292" s="6">
        <f t="shared" si="27"/>
        <v>29.773781452427563</v>
      </c>
      <c r="Z292" s="6">
        <f t="shared" si="28"/>
        <v>27.023885234183133</v>
      </c>
      <c r="AA292" s="6">
        <f t="shared" si="29"/>
        <v>1</v>
      </c>
    </row>
    <row r="293" spans="1:27">
      <c r="A293" s="11">
        <v>292</v>
      </c>
      <c r="B293" s="12">
        <v>3</v>
      </c>
      <c r="C293" s="11">
        <v>2</v>
      </c>
      <c r="D293" s="11">
        <v>2</v>
      </c>
      <c r="E293" s="11">
        <v>3</v>
      </c>
      <c r="F293" s="11">
        <v>2</v>
      </c>
      <c r="G293" s="11">
        <v>2</v>
      </c>
      <c r="H293" s="11">
        <v>3</v>
      </c>
      <c r="I293" s="11">
        <v>3</v>
      </c>
      <c r="J293" s="11">
        <v>5</v>
      </c>
      <c r="K293" s="11">
        <v>5</v>
      </c>
      <c r="L293" s="11">
        <v>1</v>
      </c>
      <c r="M293" s="11">
        <v>1</v>
      </c>
      <c r="N293" s="11">
        <v>2</v>
      </c>
      <c r="O293" s="11">
        <v>5</v>
      </c>
      <c r="P293" s="11">
        <v>5</v>
      </c>
      <c r="Q293" s="11">
        <v>3</v>
      </c>
      <c r="R293" s="11">
        <v>1</v>
      </c>
      <c r="S293" s="11">
        <v>4</v>
      </c>
      <c r="T293" s="11">
        <v>5</v>
      </c>
      <c r="U293" s="10">
        <v>4</v>
      </c>
      <c r="V293" s="6">
        <f t="shared" si="24"/>
        <v>32.662796734398441</v>
      </c>
      <c r="W293" s="6">
        <f t="shared" si="25"/>
        <v>35.737767367579671</v>
      </c>
      <c r="X293" s="6">
        <f t="shared" si="26"/>
        <v>38.753136130013175</v>
      </c>
      <c r="Y293" s="6">
        <f t="shared" si="27"/>
        <v>39.67173592742256</v>
      </c>
      <c r="Z293" s="6">
        <f t="shared" si="28"/>
        <v>32.662796734398441</v>
      </c>
      <c r="AA293" s="6">
        <f t="shared" si="29"/>
        <v>1</v>
      </c>
    </row>
    <row r="294" spans="1:27">
      <c r="A294" s="11">
        <v>293</v>
      </c>
      <c r="B294" s="12">
        <v>2</v>
      </c>
      <c r="C294" s="11">
        <v>2</v>
      </c>
      <c r="D294" s="11">
        <v>1</v>
      </c>
      <c r="E294" s="11">
        <v>2</v>
      </c>
      <c r="F294" s="11">
        <v>4</v>
      </c>
      <c r="G294" s="11">
        <v>2</v>
      </c>
      <c r="H294" s="11">
        <v>2</v>
      </c>
      <c r="I294" s="11">
        <v>2</v>
      </c>
      <c r="J294" s="11">
        <v>4</v>
      </c>
      <c r="K294" s="11">
        <v>4</v>
      </c>
      <c r="L294" s="11">
        <v>4</v>
      </c>
      <c r="M294" s="11">
        <v>2</v>
      </c>
      <c r="N294" s="11">
        <v>2</v>
      </c>
      <c r="O294" s="11">
        <v>4</v>
      </c>
      <c r="P294" s="11">
        <v>4</v>
      </c>
      <c r="Q294" s="11">
        <v>2</v>
      </c>
      <c r="R294" s="11">
        <v>2</v>
      </c>
      <c r="S294" s="11">
        <v>2</v>
      </c>
      <c r="T294" s="11">
        <v>2</v>
      </c>
      <c r="U294" s="10">
        <v>1</v>
      </c>
      <c r="V294" s="6">
        <f t="shared" si="24"/>
        <v>27.107259054113459</v>
      </c>
      <c r="W294" s="6">
        <f t="shared" si="25"/>
        <v>30.585739367293733</v>
      </c>
      <c r="X294" s="6">
        <f t="shared" si="26"/>
        <v>18.104705819209133</v>
      </c>
      <c r="Y294" s="6">
        <f t="shared" si="27"/>
        <v>29.916602656119288</v>
      </c>
      <c r="Z294" s="6">
        <f t="shared" si="28"/>
        <v>18.104705819209133</v>
      </c>
      <c r="AA294" s="6">
        <f t="shared" si="29"/>
        <v>3</v>
      </c>
    </row>
    <row r="295" spans="1:27">
      <c r="A295" s="11">
        <v>294</v>
      </c>
      <c r="B295" s="12">
        <v>2</v>
      </c>
      <c r="C295" s="11">
        <v>2</v>
      </c>
      <c r="D295" s="11">
        <v>2</v>
      </c>
      <c r="E295" s="11">
        <v>3</v>
      </c>
      <c r="F295" s="11">
        <v>2</v>
      </c>
      <c r="G295" s="11">
        <v>3</v>
      </c>
      <c r="H295" s="11">
        <v>4</v>
      </c>
      <c r="I295" s="11">
        <v>3</v>
      </c>
      <c r="J295" s="11">
        <v>3</v>
      </c>
      <c r="K295" s="11">
        <v>4</v>
      </c>
      <c r="L295" s="11">
        <v>1</v>
      </c>
      <c r="M295" s="11">
        <v>2</v>
      </c>
      <c r="N295" s="11">
        <v>4</v>
      </c>
      <c r="O295" s="11">
        <v>5</v>
      </c>
      <c r="P295" s="11">
        <v>3</v>
      </c>
      <c r="Q295" s="11">
        <v>2</v>
      </c>
      <c r="R295" s="11">
        <v>3</v>
      </c>
      <c r="S295" s="11">
        <v>3</v>
      </c>
      <c r="T295" s="11">
        <v>5</v>
      </c>
      <c r="U295" s="10">
        <v>4</v>
      </c>
      <c r="V295" s="6">
        <f t="shared" si="24"/>
        <v>20.385000761401141</v>
      </c>
      <c r="W295" s="6">
        <f t="shared" si="25"/>
        <v>19.269368171279584</v>
      </c>
      <c r="X295" s="6">
        <f t="shared" si="26"/>
        <v>22.786090235866677</v>
      </c>
      <c r="Y295" s="6">
        <f t="shared" si="27"/>
        <v>22.018676208531669</v>
      </c>
      <c r="Z295" s="6">
        <f t="shared" si="28"/>
        <v>19.269368171279584</v>
      </c>
      <c r="AA295" s="6">
        <f t="shared" si="29"/>
        <v>2</v>
      </c>
    </row>
    <row r="296" spans="1:27">
      <c r="A296" s="11">
        <v>295</v>
      </c>
      <c r="B296" s="12">
        <v>2</v>
      </c>
      <c r="C296" s="11">
        <v>3</v>
      </c>
      <c r="D296" s="11">
        <v>3</v>
      </c>
      <c r="E296" s="11">
        <v>2</v>
      </c>
      <c r="F296" s="11">
        <v>3</v>
      </c>
      <c r="G296" s="11">
        <v>4</v>
      </c>
      <c r="H296" s="11">
        <v>1</v>
      </c>
      <c r="I296" s="11">
        <v>5</v>
      </c>
      <c r="J296" s="11">
        <v>3</v>
      </c>
      <c r="K296" s="11">
        <v>4</v>
      </c>
      <c r="L296" s="11">
        <v>1</v>
      </c>
      <c r="M296" s="11">
        <v>1</v>
      </c>
      <c r="N296" s="11">
        <v>1</v>
      </c>
      <c r="O296" s="11">
        <v>1</v>
      </c>
      <c r="P296" s="11">
        <v>5</v>
      </c>
      <c r="Q296" s="11">
        <v>1</v>
      </c>
      <c r="R296" s="11">
        <v>3</v>
      </c>
      <c r="S296" s="11">
        <v>2</v>
      </c>
      <c r="T296" s="11">
        <v>4</v>
      </c>
      <c r="U296" s="10">
        <v>4</v>
      </c>
      <c r="V296" s="6">
        <f t="shared" si="24"/>
        <v>44.051682345165041</v>
      </c>
      <c r="W296" s="6">
        <f t="shared" si="25"/>
        <v>36.902249259366933</v>
      </c>
      <c r="X296" s="6">
        <f t="shared" si="26"/>
        <v>41.873933870234367</v>
      </c>
      <c r="Y296" s="6">
        <f t="shared" si="27"/>
        <v>35.487996496752785</v>
      </c>
      <c r="Z296" s="6">
        <f t="shared" si="28"/>
        <v>35.487996496752785</v>
      </c>
      <c r="AA296" s="6">
        <f t="shared" si="29"/>
        <v>4</v>
      </c>
    </row>
    <row r="297" spans="1:27">
      <c r="A297" s="11">
        <v>296</v>
      </c>
      <c r="B297" s="12">
        <v>3</v>
      </c>
      <c r="C297" s="11">
        <v>1</v>
      </c>
      <c r="D297" s="11">
        <v>1</v>
      </c>
      <c r="E297" s="11">
        <v>3</v>
      </c>
      <c r="F297" s="11">
        <v>3</v>
      </c>
      <c r="G297" s="11">
        <v>3</v>
      </c>
      <c r="H297" s="11">
        <v>3</v>
      </c>
      <c r="I297" s="11">
        <v>1</v>
      </c>
      <c r="J297" s="11">
        <v>1</v>
      </c>
      <c r="K297" s="11">
        <v>1</v>
      </c>
      <c r="L297" s="11">
        <v>1</v>
      </c>
      <c r="M297" s="11">
        <v>1</v>
      </c>
      <c r="N297" s="11">
        <v>3</v>
      </c>
      <c r="O297" s="11">
        <v>5</v>
      </c>
      <c r="P297" s="11">
        <v>1</v>
      </c>
      <c r="Q297" s="11">
        <v>1</v>
      </c>
      <c r="R297" s="11">
        <v>5</v>
      </c>
      <c r="S297" s="11">
        <v>3</v>
      </c>
      <c r="T297" s="11">
        <v>2</v>
      </c>
      <c r="U297" s="10">
        <v>1</v>
      </c>
      <c r="V297" s="6">
        <f t="shared" si="24"/>
        <v>38.273859078933405</v>
      </c>
      <c r="W297" s="6">
        <f t="shared" si="25"/>
        <v>52.041354063352983</v>
      </c>
      <c r="X297" s="6">
        <f t="shared" si="26"/>
        <v>30.489249281311473</v>
      </c>
      <c r="Y297" s="6">
        <f t="shared" si="27"/>
        <v>36.283972880260151</v>
      </c>
      <c r="Z297" s="6">
        <f t="shared" si="28"/>
        <v>30.489249281311473</v>
      </c>
      <c r="AA297" s="6">
        <f t="shared" si="29"/>
        <v>3</v>
      </c>
    </row>
    <row r="298" spans="1:27">
      <c r="A298" s="11">
        <v>297</v>
      </c>
      <c r="B298" s="12">
        <v>1</v>
      </c>
      <c r="C298" s="11">
        <v>1</v>
      </c>
      <c r="D298" s="11">
        <v>4</v>
      </c>
      <c r="E298" s="11">
        <v>4</v>
      </c>
      <c r="F298" s="11">
        <v>4</v>
      </c>
      <c r="G298" s="11">
        <v>4</v>
      </c>
      <c r="H298" s="11">
        <v>4</v>
      </c>
      <c r="I298" s="11">
        <v>4</v>
      </c>
      <c r="J298" s="11">
        <v>1</v>
      </c>
      <c r="K298" s="11">
        <v>1</v>
      </c>
      <c r="L298" s="11">
        <v>1</v>
      </c>
      <c r="M298" s="11">
        <v>1</v>
      </c>
      <c r="N298" s="11">
        <v>1</v>
      </c>
      <c r="O298" s="11">
        <v>1</v>
      </c>
      <c r="P298" s="11">
        <v>1</v>
      </c>
      <c r="Q298" s="11">
        <v>1</v>
      </c>
      <c r="R298" s="11">
        <v>1</v>
      </c>
      <c r="S298" s="11">
        <v>1</v>
      </c>
      <c r="T298" s="11">
        <v>1</v>
      </c>
      <c r="U298" s="10">
        <v>1</v>
      </c>
      <c r="V298" s="6">
        <f t="shared" si="24"/>
        <v>55.690529832843453</v>
      </c>
      <c r="W298" s="6">
        <f t="shared" si="25"/>
        <v>66.129904877611324</v>
      </c>
      <c r="X298" s="6">
        <f t="shared" si="26"/>
        <v>60.675935932390871</v>
      </c>
      <c r="Y298" s="6">
        <f t="shared" si="27"/>
        <v>52.48801515526241</v>
      </c>
      <c r="Z298" s="6">
        <f t="shared" si="28"/>
        <v>52.48801515526241</v>
      </c>
      <c r="AA298" s="6">
        <f t="shared" si="29"/>
        <v>4</v>
      </c>
    </row>
    <row r="299" spans="1:27">
      <c r="A299" s="11">
        <v>298</v>
      </c>
      <c r="B299" s="12">
        <v>3</v>
      </c>
      <c r="C299" s="11">
        <v>2</v>
      </c>
      <c r="D299" s="11">
        <v>2</v>
      </c>
      <c r="E299" s="11">
        <v>2</v>
      </c>
      <c r="F299" s="11">
        <v>2</v>
      </c>
      <c r="G299" s="11">
        <v>4</v>
      </c>
      <c r="H299" s="11">
        <v>4</v>
      </c>
      <c r="I299" s="11">
        <v>2</v>
      </c>
      <c r="J299" s="11">
        <v>1</v>
      </c>
      <c r="K299" s="11">
        <v>2</v>
      </c>
      <c r="L299" s="11">
        <v>2</v>
      </c>
      <c r="M299" s="11">
        <v>2</v>
      </c>
      <c r="N299" s="11">
        <v>2</v>
      </c>
      <c r="O299" s="11">
        <v>2</v>
      </c>
      <c r="P299" s="11">
        <v>5</v>
      </c>
      <c r="Q299" s="11">
        <v>4</v>
      </c>
      <c r="R299" s="11">
        <v>2</v>
      </c>
      <c r="S299" s="11">
        <v>2</v>
      </c>
      <c r="T299" s="11">
        <v>1</v>
      </c>
      <c r="U299" s="10">
        <v>3</v>
      </c>
      <c r="V299" s="6">
        <f t="shared" si="24"/>
        <v>19.357239147244528</v>
      </c>
      <c r="W299" s="6">
        <f t="shared" si="25"/>
        <v>30.471746793364783</v>
      </c>
      <c r="X299" s="6">
        <f t="shared" si="26"/>
        <v>18.709074533039477</v>
      </c>
      <c r="Y299" s="6">
        <f t="shared" si="27"/>
        <v>17.2635131315538</v>
      </c>
      <c r="Z299" s="6">
        <f t="shared" si="28"/>
        <v>17.2635131315538</v>
      </c>
      <c r="AA299" s="6">
        <f t="shared" si="29"/>
        <v>4</v>
      </c>
    </row>
    <row r="300" spans="1:27">
      <c r="A300" s="11">
        <v>299</v>
      </c>
      <c r="B300" s="12">
        <v>3</v>
      </c>
      <c r="C300" s="11">
        <v>2</v>
      </c>
      <c r="D300" s="11">
        <v>1</v>
      </c>
      <c r="E300" s="11">
        <v>2</v>
      </c>
      <c r="F300" s="11">
        <v>3</v>
      </c>
      <c r="G300" s="11">
        <v>2</v>
      </c>
      <c r="H300" s="11">
        <v>3</v>
      </c>
      <c r="I300" s="11">
        <v>2</v>
      </c>
      <c r="J300" s="11">
        <v>2</v>
      </c>
      <c r="K300" s="11">
        <v>2</v>
      </c>
      <c r="L300" s="11">
        <v>1</v>
      </c>
      <c r="M300" s="11">
        <v>1</v>
      </c>
      <c r="N300" s="11">
        <v>3</v>
      </c>
      <c r="O300" s="11">
        <v>4</v>
      </c>
      <c r="P300" s="11">
        <v>4</v>
      </c>
      <c r="Q300" s="11">
        <v>2</v>
      </c>
      <c r="R300" s="11">
        <v>1</v>
      </c>
      <c r="S300" s="11">
        <v>5</v>
      </c>
      <c r="T300" s="11">
        <v>2</v>
      </c>
      <c r="U300" s="10">
        <v>5</v>
      </c>
      <c r="V300" s="6">
        <f t="shared" si="24"/>
        <v>19.190510839527665</v>
      </c>
      <c r="W300" s="6">
        <f t="shared" si="25"/>
        <v>30.307276737093627</v>
      </c>
      <c r="X300" s="6">
        <f t="shared" si="26"/>
        <v>26.873999261294998</v>
      </c>
      <c r="Y300" s="6">
        <f t="shared" si="27"/>
        <v>15.732940405494059</v>
      </c>
      <c r="Z300" s="6">
        <f t="shared" si="28"/>
        <v>15.732940405494059</v>
      </c>
      <c r="AA300" s="6">
        <f t="shared" si="29"/>
        <v>4</v>
      </c>
    </row>
    <row r="301" spans="1:27">
      <c r="A301" s="11">
        <v>300</v>
      </c>
      <c r="B301" s="12">
        <v>4</v>
      </c>
      <c r="C301" s="11">
        <v>3</v>
      </c>
      <c r="D301" s="11">
        <v>3</v>
      </c>
      <c r="E301" s="11">
        <v>4</v>
      </c>
      <c r="F301" s="11">
        <v>3</v>
      </c>
      <c r="G301" s="11">
        <v>4</v>
      </c>
      <c r="H301" s="11">
        <v>3</v>
      </c>
      <c r="I301" s="11">
        <v>2</v>
      </c>
      <c r="J301" s="11">
        <v>2</v>
      </c>
      <c r="K301" s="11">
        <v>4</v>
      </c>
      <c r="L301" s="11">
        <v>2</v>
      </c>
      <c r="M301" s="11">
        <v>1</v>
      </c>
      <c r="N301" s="11">
        <v>2</v>
      </c>
      <c r="O301" s="11">
        <v>5</v>
      </c>
      <c r="P301" s="11">
        <v>4</v>
      </c>
      <c r="Q301" s="11">
        <v>2</v>
      </c>
      <c r="R301" s="11">
        <v>1</v>
      </c>
      <c r="S301" s="11">
        <v>3</v>
      </c>
      <c r="T301" s="11">
        <v>3</v>
      </c>
      <c r="U301" s="10">
        <v>4</v>
      </c>
      <c r="V301" s="6">
        <f t="shared" si="24"/>
        <v>9.6628371075204473</v>
      </c>
      <c r="W301" s="6">
        <f t="shared" si="25"/>
        <v>18.978226622183261</v>
      </c>
      <c r="X301" s="6">
        <f t="shared" si="26"/>
        <v>20.159668488135608</v>
      </c>
      <c r="Y301" s="6">
        <f t="shared" si="27"/>
        <v>22.202340379802614</v>
      </c>
      <c r="Z301" s="6">
        <f t="shared" si="28"/>
        <v>9.6628371075204473</v>
      </c>
      <c r="AA301" s="6">
        <f t="shared" si="29"/>
        <v>1</v>
      </c>
    </row>
    <row r="302" spans="1:27">
      <c r="A302" s="11">
        <v>301</v>
      </c>
      <c r="B302" s="12">
        <v>3</v>
      </c>
      <c r="C302" s="11">
        <v>1</v>
      </c>
      <c r="D302" s="11">
        <v>1</v>
      </c>
      <c r="E302" s="11">
        <v>3</v>
      </c>
      <c r="F302" s="11">
        <v>2</v>
      </c>
      <c r="G302" s="11">
        <v>3</v>
      </c>
      <c r="H302" s="11">
        <v>3</v>
      </c>
      <c r="I302" s="11">
        <v>2</v>
      </c>
      <c r="J302" s="11">
        <v>3</v>
      </c>
      <c r="K302" s="11">
        <v>2</v>
      </c>
      <c r="L302" s="11">
        <v>1</v>
      </c>
      <c r="M302" s="11">
        <v>2</v>
      </c>
      <c r="N302" s="11">
        <v>3</v>
      </c>
      <c r="O302" s="11">
        <v>4</v>
      </c>
      <c r="P302" s="11">
        <v>4</v>
      </c>
      <c r="Q302" s="11">
        <v>2</v>
      </c>
      <c r="R302" s="11">
        <v>2</v>
      </c>
      <c r="S302" s="11">
        <v>3</v>
      </c>
      <c r="T302" s="11">
        <v>3</v>
      </c>
      <c r="U302" s="10">
        <v>3</v>
      </c>
      <c r="V302" s="6">
        <f t="shared" si="24"/>
        <v>11.134973066167545</v>
      </c>
      <c r="W302" s="6">
        <f t="shared" si="25"/>
        <v>21.218656040986787</v>
      </c>
      <c r="X302" s="6">
        <f t="shared" si="26"/>
        <v>7.9728739262961525</v>
      </c>
      <c r="Y302" s="6">
        <f t="shared" si="27"/>
        <v>8.6717278385369401</v>
      </c>
      <c r="Z302" s="6">
        <f t="shared" si="28"/>
        <v>7.9728739262961525</v>
      </c>
      <c r="AA302" s="6">
        <f t="shared" si="29"/>
        <v>3</v>
      </c>
    </row>
    <row r="303" spans="1:27">
      <c r="A303" s="11">
        <v>302</v>
      </c>
      <c r="B303" s="12">
        <v>4</v>
      </c>
      <c r="C303" s="11">
        <v>4</v>
      </c>
      <c r="D303" s="11">
        <v>4</v>
      </c>
      <c r="E303" s="11">
        <v>2</v>
      </c>
      <c r="F303" s="11">
        <v>3</v>
      </c>
      <c r="G303" s="11">
        <v>3</v>
      </c>
      <c r="H303" s="11">
        <v>2</v>
      </c>
      <c r="I303" s="11">
        <v>2</v>
      </c>
      <c r="J303" s="11">
        <v>2</v>
      </c>
      <c r="K303" s="11">
        <v>4</v>
      </c>
      <c r="L303" s="11">
        <v>2</v>
      </c>
      <c r="M303" s="11">
        <v>2</v>
      </c>
      <c r="N303" s="11">
        <v>2</v>
      </c>
      <c r="O303" s="11">
        <v>4</v>
      </c>
      <c r="P303" s="11">
        <v>4</v>
      </c>
      <c r="Q303" s="11">
        <v>2</v>
      </c>
      <c r="R303" s="11">
        <v>1</v>
      </c>
      <c r="S303" s="11">
        <v>3</v>
      </c>
      <c r="T303" s="11">
        <v>4</v>
      </c>
      <c r="U303" s="10">
        <v>5</v>
      </c>
      <c r="V303" s="6">
        <f t="shared" si="24"/>
        <v>22.662798364819995</v>
      </c>
      <c r="W303" s="6">
        <f t="shared" si="25"/>
        <v>18.547856551028531</v>
      </c>
      <c r="X303" s="6">
        <f t="shared" si="26"/>
        <v>28.225576153300217</v>
      </c>
      <c r="Y303" s="6">
        <f t="shared" si="27"/>
        <v>21.263541388846456</v>
      </c>
      <c r="Z303" s="6">
        <f t="shared" si="28"/>
        <v>18.547856551028531</v>
      </c>
      <c r="AA303" s="6">
        <f t="shared" si="29"/>
        <v>2</v>
      </c>
    </row>
    <row r="304" spans="1:27">
      <c r="A304" s="11">
        <v>303</v>
      </c>
      <c r="B304" s="12">
        <v>1</v>
      </c>
      <c r="C304" s="11">
        <v>3</v>
      </c>
      <c r="D304" s="11">
        <v>3</v>
      </c>
      <c r="E304" s="11">
        <v>4</v>
      </c>
      <c r="F304" s="11">
        <v>5</v>
      </c>
      <c r="G304" s="11">
        <v>3</v>
      </c>
      <c r="H304" s="11">
        <v>3</v>
      </c>
      <c r="I304" s="11">
        <v>1</v>
      </c>
      <c r="J304" s="11">
        <v>1</v>
      </c>
      <c r="K304" s="11">
        <v>3</v>
      </c>
      <c r="L304" s="11">
        <v>2</v>
      </c>
      <c r="M304" s="11">
        <v>1</v>
      </c>
      <c r="N304" s="11">
        <v>1</v>
      </c>
      <c r="O304" s="11">
        <v>4</v>
      </c>
      <c r="P304" s="11">
        <v>4</v>
      </c>
      <c r="Q304" s="11">
        <v>1</v>
      </c>
      <c r="R304" s="11">
        <v>2</v>
      </c>
      <c r="S304" s="11">
        <v>3</v>
      </c>
      <c r="T304" s="11">
        <v>3</v>
      </c>
      <c r="U304" s="10">
        <v>3</v>
      </c>
      <c r="V304" s="6">
        <f t="shared" si="24"/>
        <v>16.135030172688513</v>
      </c>
      <c r="W304" s="6">
        <f t="shared" si="25"/>
        <v>26.649032686535506</v>
      </c>
      <c r="X304" s="6">
        <f t="shared" si="26"/>
        <v>26.818951076031599</v>
      </c>
      <c r="Y304" s="6">
        <f t="shared" si="27"/>
        <v>25.243121041289367</v>
      </c>
      <c r="Z304" s="6">
        <f t="shared" si="28"/>
        <v>16.135030172688513</v>
      </c>
      <c r="AA304" s="6">
        <f t="shared" si="29"/>
        <v>1</v>
      </c>
    </row>
    <row r="305" spans="1:27">
      <c r="A305" s="11">
        <v>304</v>
      </c>
      <c r="B305" s="12">
        <v>3</v>
      </c>
      <c r="C305" s="11">
        <v>4</v>
      </c>
      <c r="D305" s="11">
        <v>4</v>
      </c>
      <c r="E305" s="11">
        <v>3</v>
      </c>
      <c r="F305" s="11">
        <v>4</v>
      </c>
      <c r="G305" s="11">
        <v>2</v>
      </c>
      <c r="H305" s="11">
        <v>3</v>
      </c>
      <c r="I305" s="11">
        <v>2</v>
      </c>
      <c r="J305" s="11">
        <v>2</v>
      </c>
      <c r="K305" s="11">
        <v>3</v>
      </c>
      <c r="L305" s="11">
        <v>2</v>
      </c>
      <c r="M305" s="11">
        <v>4</v>
      </c>
      <c r="N305" s="11">
        <v>4</v>
      </c>
      <c r="O305" s="11">
        <v>4</v>
      </c>
      <c r="P305" s="11">
        <v>4</v>
      </c>
      <c r="Q305" s="11">
        <v>3</v>
      </c>
      <c r="R305" s="11">
        <v>3</v>
      </c>
      <c r="S305" s="11">
        <v>2</v>
      </c>
      <c r="T305" s="11">
        <v>2</v>
      </c>
      <c r="U305" s="10">
        <v>4</v>
      </c>
      <c r="V305" s="6">
        <f t="shared" si="24"/>
        <v>21.662837284891417</v>
      </c>
      <c r="W305" s="6">
        <f t="shared" si="25"/>
        <v>13.4465450336573</v>
      </c>
      <c r="X305" s="6">
        <f t="shared" si="26"/>
        <v>25.269518532460499</v>
      </c>
      <c r="Y305" s="6">
        <f t="shared" si="27"/>
        <v>21.651316429712324</v>
      </c>
      <c r="Z305" s="6">
        <f t="shared" si="28"/>
        <v>13.4465450336573</v>
      </c>
      <c r="AA305" s="6">
        <f t="shared" si="29"/>
        <v>2</v>
      </c>
    </row>
    <row r="306" spans="1:27">
      <c r="A306" s="11">
        <v>305</v>
      </c>
      <c r="B306" s="12">
        <v>2</v>
      </c>
      <c r="C306" s="11">
        <v>2</v>
      </c>
      <c r="D306" s="11">
        <v>2</v>
      </c>
      <c r="E306" s="11">
        <v>5</v>
      </c>
      <c r="F306" s="11">
        <v>3</v>
      </c>
      <c r="G306" s="11">
        <v>5</v>
      </c>
      <c r="H306" s="11">
        <v>3</v>
      </c>
      <c r="I306" s="11">
        <v>3</v>
      </c>
      <c r="J306" s="11">
        <v>3</v>
      </c>
      <c r="K306" s="11">
        <v>2</v>
      </c>
      <c r="L306" s="11">
        <v>2</v>
      </c>
      <c r="M306" s="11">
        <v>2</v>
      </c>
      <c r="N306" s="11">
        <v>3</v>
      </c>
      <c r="O306" s="11">
        <v>5</v>
      </c>
      <c r="P306" s="11">
        <v>4</v>
      </c>
      <c r="Q306" s="11">
        <v>1</v>
      </c>
      <c r="R306" s="11">
        <v>2</v>
      </c>
      <c r="S306" s="11">
        <v>3</v>
      </c>
      <c r="T306" s="11">
        <v>3</v>
      </c>
      <c r="U306" s="10">
        <v>3</v>
      </c>
      <c r="V306" s="6">
        <f t="shared" si="24"/>
        <v>14.301712366048047</v>
      </c>
      <c r="W306" s="6">
        <f t="shared" si="25"/>
        <v>21.547819077406722</v>
      </c>
      <c r="X306" s="6">
        <f t="shared" si="26"/>
        <v>21.379495405445159</v>
      </c>
      <c r="Y306" s="6">
        <f t="shared" si="27"/>
        <v>24.243196159904606</v>
      </c>
      <c r="Z306" s="6">
        <f t="shared" si="28"/>
        <v>14.301712366048047</v>
      </c>
      <c r="AA306" s="6">
        <f t="shared" si="29"/>
        <v>1</v>
      </c>
    </row>
    <row r="307" spans="1:27">
      <c r="A307" s="11">
        <v>306</v>
      </c>
      <c r="B307" s="12">
        <v>2</v>
      </c>
      <c r="C307" s="11">
        <v>1</v>
      </c>
      <c r="D307" s="11">
        <v>2</v>
      </c>
      <c r="E307" s="11">
        <v>2</v>
      </c>
      <c r="F307" s="11">
        <v>2</v>
      </c>
      <c r="G307" s="11">
        <v>2</v>
      </c>
      <c r="H307" s="11">
        <v>4</v>
      </c>
      <c r="I307" s="11">
        <v>1</v>
      </c>
      <c r="J307" s="11">
        <v>1</v>
      </c>
      <c r="K307" s="11">
        <v>2</v>
      </c>
      <c r="L307" s="11">
        <v>1</v>
      </c>
      <c r="M307" s="11">
        <v>4</v>
      </c>
      <c r="N307" s="11">
        <v>2</v>
      </c>
      <c r="O307" s="11">
        <v>5</v>
      </c>
      <c r="P307" s="11">
        <v>2</v>
      </c>
      <c r="Q307" s="11">
        <v>1</v>
      </c>
      <c r="R307" s="11">
        <v>1</v>
      </c>
      <c r="S307" s="11">
        <v>1</v>
      </c>
      <c r="T307" s="11">
        <v>5</v>
      </c>
      <c r="U307" s="10">
        <v>5</v>
      </c>
      <c r="V307" s="6">
        <f t="shared" si="24"/>
        <v>40.190462410774018</v>
      </c>
      <c r="W307" s="6">
        <f t="shared" si="25"/>
        <v>48.636364348676828</v>
      </c>
      <c r="X307" s="6">
        <f t="shared" si="26"/>
        <v>38.41242003559605</v>
      </c>
      <c r="Y307" s="6">
        <f t="shared" si="27"/>
        <v>28.120662941750552</v>
      </c>
      <c r="Z307" s="6">
        <f t="shared" si="28"/>
        <v>28.120662941750552</v>
      </c>
      <c r="AA307" s="6">
        <f t="shared" si="29"/>
        <v>4</v>
      </c>
    </row>
    <row r="308" spans="1:27">
      <c r="A308" s="11">
        <v>307</v>
      </c>
      <c r="B308" s="12">
        <v>2</v>
      </c>
      <c r="C308" s="11">
        <v>3</v>
      </c>
      <c r="D308" s="11">
        <v>2</v>
      </c>
      <c r="E308" s="11">
        <v>4</v>
      </c>
      <c r="F308" s="11">
        <v>3</v>
      </c>
      <c r="G308" s="11">
        <v>3</v>
      </c>
      <c r="H308" s="11">
        <v>2</v>
      </c>
      <c r="I308" s="11">
        <v>4</v>
      </c>
      <c r="J308" s="11">
        <v>3</v>
      </c>
      <c r="K308" s="11">
        <v>2</v>
      </c>
      <c r="L308" s="11">
        <v>4</v>
      </c>
      <c r="M308" s="11">
        <v>3</v>
      </c>
      <c r="N308" s="11">
        <v>2</v>
      </c>
      <c r="O308" s="11">
        <v>4</v>
      </c>
      <c r="P308" s="11">
        <v>3</v>
      </c>
      <c r="Q308" s="11">
        <v>2</v>
      </c>
      <c r="R308" s="11">
        <v>3</v>
      </c>
      <c r="S308" s="11">
        <v>3</v>
      </c>
      <c r="T308" s="11">
        <v>2</v>
      </c>
      <c r="U308" s="10">
        <v>3</v>
      </c>
      <c r="V308" s="6">
        <f t="shared" si="24"/>
        <v>19.690611840608256</v>
      </c>
      <c r="W308" s="6">
        <f t="shared" si="25"/>
        <v>13.408546089026737</v>
      </c>
      <c r="X308" s="6">
        <f t="shared" si="26"/>
        <v>22.665193086735016</v>
      </c>
      <c r="Y308" s="6">
        <f t="shared" si="27"/>
        <v>19.549308207578168</v>
      </c>
      <c r="Z308" s="6">
        <f t="shared" si="28"/>
        <v>13.408546089026737</v>
      </c>
      <c r="AA308" s="6">
        <f t="shared" si="29"/>
        <v>2</v>
      </c>
    </row>
    <row r="309" spans="1:27">
      <c r="A309" s="11">
        <v>308</v>
      </c>
      <c r="B309" s="12">
        <v>2</v>
      </c>
      <c r="C309" s="11">
        <v>2</v>
      </c>
      <c r="D309" s="11">
        <v>2</v>
      </c>
      <c r="E309" s="11">
        <v>2</v>
      </c>
      <c r="F309" s="11">
        <v>1</v>
      </c>
      <c r="G309" s="11">
        <v>2</v>
      </c>
      <c r="H309" s="11">
        <v>2</v>
      </c>
      <c r="I309" s="11">
        <v>2</v>
      </c>
      <c r="J309" s="11">
        <v>2</v>
      </c>
      <c r="K309" s="11">
        <v>2</v>
      </c>
      <c r="L309" s="11">
        <v>2</v>
      </c>
      <c r="M309" s="11">
        <v>2</v>
      </c>
      <c r="N309" s="11">
        <v>4</v>
      </c>
      <c r="O309" s="11">
        <v>4</v>
      </c>
      <c r="P309" s="11">
        <v>5</v>
      </c>
      <c r="Q309" s="11">
        <v>1</v>
      </c>
      <c r="R309" s="11">
        <v>2</v>
      </c>
      <c r="S309" s="11">
        <v>4</v>
      </c>
      <c r="T309" s="11">
        <v>3</v>
      </c>
      <c r="U309" s="10">
        <v>4</v>
      </c>
      <c r="V309" s="6">
        <f t="shared" si="24"/>
        <v>25.55163196577918</v>
      </c>
      <c r="W309" s="6">
        <f t="shared" si="25"/>
        <v>27.066770610839516</v>
      </c>
      <c r="X309" s="6">
        <f t="shared" si="26"/>
        <v>19.81900741811603</v>
      </c>
      <c r="Y309" s="6">
        <f t="shared" si="27"/>
        <v>13.406386948915184</v>
      </c>
      <c r="Z309" s="6">
        <f t="shared" si="28"/>
        <v>13.406386948915184</v>
      </c>
      <c r="AA309" s="6">
        <f t="shared" si="29"/>
        <v>4</v>
      </c>
    </row>
    <row r="310" spans="1:27">
      <c r="A310" s="11">
        <v>309</v>
      </c>
      <c r="B310" s="12">
        <v>2</v>
      </c>
      <c r="C310" s="11">
        <v>2</v>
      </c>
      <c r="D310" s="11">
        <v>3</v>
      </c>
      <c r="E310" s="11">
        <v>3</v>
      </c>
      <c r="F310" s="11">
        <v>3</v>
      </c>
      <c r="G310" s="11">
        <v>2</v>
      </c>
      <c r="H310" s="11">
        <v>3</v>
      </c>
      <c r="I310" s="11">
        <v>2</v>
      </c>
      <c r="J310" s="11">
        <v>1</v>
      </c>
      <c r="K310" s="11">
        <v>3</v>
      </c>
      <c r="L310" s="11">
        <v>3</v>
      </c>
      <c r="M310" s="11">
        <v>3</v>
      </c>
      <c r="N310" s="11">
        <v>2</v>
      </c>
      <c r="O310" s="11">
        <v>3</v>
      </c>
      <c r="P310" s="11">
        <v>3</v>
      </c>
      <c r="Q310" s="11">
        <v>2</v>
      </c>
      <c r="R310" s="11">
        <v>3</v>
      </c>
      <c r="S310" s="11">
        <v>3</v>
      </c>
      <c r="T310" s="11">
        <v>2</v>
      </c>
      <c r="U310" s="10">
        <v>3</v>
      </c>
      <c r="V310" s="6">
        <f t="shared" si="24"/>
        <v>13.968346743775314</v>
      </c>
      <c r="W310" s="6">
        <f t="shared" si="25"/>
        <v>12.092047800585544</v>
      </c>
      <c r="X310" s="6">
        <f t="shared" si="26"/>
        <v>13.93980405755854</v>
      </c>
      <c r="Y310" s="6">
        <f t="shared" si="27"/>
        <v>7.6716894893503342</v>
      </c>
      <c r="Z310" s="6">
        <f t="shared" si="28"/>
        <v>7.6716894893503342</v>
      </c>
      <c r="AA310" s="6">
        <f t="shared" si="29"/>
        <v>4</v>
      </c>
    </row>
    <row r="311" spans="1:27">
      <c r="A311" s="11">
        <v>310</v>
      </c>
      <c r="B311" s="12">
        <v>1</v>
      </c>
      <c r="C311" s="11">
        <v>2</v>
      </c>
      <c r="D311" s="11">
        <v>1</v>
      </c>
      <c r="E311" s="11">
        <v>1</v>
      </c>
      <c r="F311" s="11">
        <v>2</v>
      </c>
      <c r="G311" s="11">
        <v>1</v>
      </c>
      <c r="H311" s="11">
        <v>2</v>
      </c>
      <c r="I311" s="11">
        <v>3</v>
      </c>
      <c r="J311" s="11">
        <v>2</v>
      </c>
      <c r="K311" s="11">
        <v>1</v>
      </c>
      <c r="L311" s="11">
        <v>1</v>
      </c>
      <c r="M311" s="11">
        <v>2</v>
      </c>
      <c r="N311" s="11">
        <v>3</v>
      </c>
      <c r="O311" s="11">
        <v>2</v>
      </c>
      <c r="P311" s="11">
        <v>1</v>
      </c>
      <c r="Q311" s="11">
        <v>3</v>
      </c>
      <c r="R311" s="11">
        <v>2</v>
      </c>
      <c r="S311" s="11">
        <v>3</v>
      </c>
      <c r="T311" s="11">
        <v>4</v>
      </c>
      <c r="U311" s="10">
        <v>4</v>
      </c>
      <c r="V311" s="6">
        <f t="shared" si="24"/>
        <v>41.273758231957487</v>
      </c>
      <c r="W311" s="6">
        <f t="shared" si="25"/>
        <v>40.142622831991261</v>
      </c>
      <c r="X311" s="6">
        <f t="shared" si="26"/>
        <v>39.192617417179534</v>
      </c>
      <c r="Y311" s="6">
        <f t="shared" si="27"/>
        <v>21.181904692598188</v>
      </c>
      <c r="Z311" s="6">
        <f t="shared" si="28"/>
        <v>21.181904692598188</v>
      </c>
      <c r="AA311" s="6">
        <f t="shared" si="29"/>
        <v>4</v>
      </c>
    </row>
    <row r="312" spans="1:27">
      <c r="A312" s="11">
        <v>311</v>
      </c>
      <c r="B312" s="12">
        <v>3</v>
      </c>
      <c r="C312" s="11">
        <v>4</v>
      </c>
      <c r="D312" s="11">
        <v>5</v>
      </c>
      <c r="E312" s="11">
        <v>4</v>
      </c>
      <c r="F312" s="11">
        <v>3</v>
      </c>
      <c r="G312" s="11">
        <v>3</v>
      </c>
      <c r="H312" s="11">
        <v>5</v>
      </c>
      <c r="I312" s="11">
        <v>4</v>
      </c>
      <c r="J312" s="11">
        <v>4</v>
      </c>
      <c r="K312" s="11">
        <v>4</v>
      </c>
      <c r="L312" s="11">
        <v>5</v>
      </c>
      <c r="M312" s="11">
        <v>4</v>
      </c>
      <c r="N312" s="11">
        <v>3</v>
      </c>
      <c r="O312" s="11">
        <v>3</v>
      </c>
      <c r="P312" s="11">
        <v>4</v>
      </c>
      <c r="Q312" s="11">
        <v>5</v>
      </c>
      <c r="R312" s="11">
        <v>4</v>
      </c>
      <c r="S312" s="11">
        <v>4</v>
      </c>
      <c r="T312" s="11">
        <v>4</v>
      </c>
      <c r="U312" s="10">
        <v>2</v>
      </c>
      <c r="V312" s="6">
        <f t="shared" si="24"/>
        <v>58.274041700283561</v>
      </c>
      <c r="W312" s="6">
        <f t="shared" si="25"/>
        <v>28.244066944158547</v>
      </c>
      <c r="X312" s="6">
        <f t="shared" si="26"/>
        <v>63.632159971444821</v>
      </c>
      <c r="Y312" s="6">
        <f t="shared" si="27"/>
        <v>64.508535921750536</v>
      </c>
      <c r="Z312" s="6">
        <f t="shared" si="28"/>
        <v>28.244066944158547</v>
      </c>
      <c r="AA312" s="6">
        <f t="shared" si="29"/>
        <v>2</v>
      </c>
    </row>
    <row r="313" spans="1:27">
      <c r="A313" s="11">
        <v>312</v>
      </c>
      <c r="B313" s="12">
        <v>2</v>
      </c>
      <c r="C313" s="11">
        <v>3</v>
      </c>
      <c r="D313" s="11">
        <v>3</v>
      </c>
      <c r="E313" s="11">
        <v>2</v>
      </c>
      <c r="F313" s="11">
        <v>3</v>
      </c>
      <c r="G313" s="11">
        <v>2</v>
      </c>
      <c r="H313" s="11">
        <v>2</v>
      </c>
      <c r="I313" s="11">
        <v>2</v>
      </c>
      <c r="J313" s="11">
        <v>2</v>
      </c>
      <c r="K313" s="11">
        <v>2</v>
      </c>
      <c r="L313" s="11">
        <v>2</v>
      </c>
      <c r="M313" s="11">
        <v>2</v>
      </c>
      <c r="N313" s="11">
        <v>3</v>
      </c>
      <c r="O313" s="11">
        <v>4</v>
      </c>
      <c r="P313" s="11">
        <v>4</v>
      </c>
      <c r="Q313" s="11">
        <v>2</v>
      </c>
      <c r="R313" s="11">
        <v>2</v>
      </c>
      <c r="S313" s="11">
        <v>3</v>
      </c>
      <c r="T313" s="11">
        <v>3</v>
      </c>
      <c r="U313" s="10">
        <v>4</v>
      </c>
      <c r="V313" s="6">
        <f t="shared" si="24"/>
        <v>12.690548389666994</v>
      </c>
      <c r="W313" s="6">
        <f t="shared" si="25"/>
        <v>12.206004047923713</v>
      </c>
      <c r="X313" s="6">
        <f t="shared" si="26"/>
        <v>14.126668376691821</v>
      </c>
      <c r="Y313" s="6">
        <f t="shared" si="27"/>
        <v>6.732926995038202</v>
      </c>
      <c r="Z313" s="6">
        <f t="shared" si="28"/>
        <v>6.732926995038202</v>
      </c>
      <c r="AA313" s="6">
        <f t="shared" si="29"/>
        <v>4</v>
      </c>
    </row>
    <row r="314" spans="1:27">
      <c r="A314" s="11">
        <v>313</v>
      </c>
      <c r="B314" s="12">
        <v>3</v>
      </c>
      <c r="C314" s="11">
        <v>2</v>
      </c>
      <c r="D314" s="11">
        <v>3</v>
      </c>
      <c r="E314" s="11">
        <v>4</v>
      </c>
      <c r="F314" s="11">
        <v>5</v>
      </c>
      <c r="G314" s="11">
        <v>3</v>
      </c>
      <c r="H314" s="11">
        <v>4</v>
      </c>
      <c r="I314" s="11">
        <v>2</v>
      </c>
      <c r="J314" s="11">
        <v>1</v>
      </c>
      <c r="K314" s="11">
        <v>3</v>
      </c>
      <c r="L314" s="11">
        <v>1</v>
      </c>
      <c r="M314" s="11">
        <v>1</v>
      </c>
      <c r="N314" s="11">
        <v>1</v>
      </c>
      <c r="O314" s="11">
        <v>1</v>
      </c>
      <c r="P314" s="11">
        <v>3</v>
      </c>
      <c r="Q314" s="11">
        <v>4</v>
      </c>
      <c r="R314" s="11">
        <v>3</v>
      </c>
      <c r="S314" s="11">
        <v>4</v>
      </c>
      <c r="T314" s="11">
        <v>1</v>
      </c>
      <c r="U314" s="10">
        <v>4</v>
      </c>
      <c r="V314" s="6">
        <f t="shared" si="24"/>
        <v>25.662810064297375</v>
      </c>
      <c r="W314" s="6">
        <f t="shared" si="25"/>
        <v>31.940148748864654</v>
      </c>
      <c r="X314" s="6">
        <f t="shared" si="26"/>
        <v>43.038711069940291</v>
      </c>
      <c r="Y314" s="6">
        <f t="shared" si="27"/>
        <v>30.447218645834806</v>
      </c>
      <c r="Z314" s="6">
        <f t="shared" si="28"/>
        <v>25.662810064297375</v>
      </c>
      <c r="AA314" s="6">
        <f t="shared" si="29"/>
        <v>1</v>
      </c>
    </row>
    <row r="315" spans="1:27">
      <c r="A315" s="11">
        <v>314</v>
      </c>
      <c r="B315" s="12">
        <v>4</v>
      </c>
      <c r="C315" s="11">
        <v>2</v>
      </c>
      <c r="D315" s="11">
        <v>3</v>
      </c>
      <c r="E315" s="11">
        <v>3</v>
      </c>
      <c r="F315" s="11">
        <v>2</v>
      </c>
      <c r="G315" s="11">
        <v>2</v>
      </c>
      <c r="H315" s="11">
        <v>3</v>
      </c>
      <c r="I315" s="11">
        <v>2</v>
      </c>
      <c r="J315" s="11">
        <v>4</v>
      </c>
      <c r="K315" s="11">
        <v>3</v>
      </c>
      <c r="L315" s="11">
        <v>2</v>
      </c>
      <c r="M315" s="11">
        <v>2</v>
      </c>
      <c r="N315" s="11">
        <v>2</v>
      </c>
      <c r="O315" s="11">
        <v>3</v>
      </c>
      <c r="P315" s="11">
        <v>4</v>
      </c>
      <c r="Q315" s="11">
        <v>3</v>
      </c>
      <c r="R315" s="11">
        <v>2</v>
      </c>
      <c r="S315" s="11">
        <v>4</v>
      </c>
      <c r="T315" s="11">
        <v>3</v>
      </c>
      <c r="U315" s="10">
        <v>4</v>
      </c>
      <c r="V315" s="6">
        <f t="shared" si="24"/>
        <v>18.051681899845981</v>
      </c>
      <c r="W315" s="6">
        <f t="shared" si="25"/>
        <v>13.104791224070658</v>
      </c>
      <c r="X315" s="6">
        <f t="shared" si="26"/>
        <v>20.511294691189477</v>
      </c>
      <c r="Y315" s="6">
        <f t="shared" si="27"/>
        <v>12.569697964287599</v>
      </c>
      <c r="Z315" s="6">
        <f t="shared" si="28"/>
        <v>12.569697964287599</v>
      </c>
      <c r="AA315" s="6">
        <f t="shared" si="29"/>
        <v>4</v>
      </c>
    </row>
    <row r="316" spans="1:27">
      <c r="A316" s="11">
        <v>315</v>
      </c>
      <c r="B316" s="12">
        <v>1</v>
      </c>
      <c r="C316" s="11">
        <v>4</v>
      </c>
      <c r="D316" s="11">
        <v>4</v>
      </c>
      <c r="E316" s="11">
        <v>4</v>
      </c>
      <c r="F316" s="11">
        <v>3</v>
      </c>
      <c r="G316" s="11">
        <v>4</v>
      </c>
      <c r="H316" s="11">
        <v>4</v>
      </c>
      <c r="I316" s="11">
        <v>4</v>
      </c>
      <c r="J316" s="11">
        <v>2</v>
      </c>
      <c r="K316" s="11">
        <v>4</v>
      </c>
      <c r="L316" s="11">
        <v>1</v>
      </c>
      <c r="M316" s="11">
        <v>1</v>
      </c>
      <c r="N316" s="11">
        <v>1</v>
      </c>
      <c r="O316" s="11">
        <v>3</v>
      </c>
      <c r="P316" s="11">
        <v>3</v>
      </c>
      <c r="Q316" s="11">
        <v>1</v>
      </c>
      <c r="R316" s="11">
        <v>1</v>
      </c>
      <c r="S316" s="11">
        <v>5</v>
      </c>
      <c r="T316" s="11">
        <v>3</v>
      </c>
      <c r="U316" s="10">
        <v>5</v>
      </c>
      <c r="V316" s="6">
        <f t="shared" si="24"/>
        <v>34.218342578331807</v>
      </c>
      <c r="W316" s="6">
        <f t="shared" si="25"/>
        <v>32.636440887083054</v>
      </c>
      <c r="X316" s="6">
        <f t="shared" si="26"/>
        <v>55.643157497084339</v>
      </c>
      <c r="Y316" s="6">
        <f t="shared" si="27"/>
        <v>36.998248517406175</v>
      </c>
      <c r="Z316" s="6">
        <f t="shared" si="28"/>
        <v>32.636440887083054</v>
      </c>
      <c r="AA316" s="6">
        <f t="shared" si="29"/>
        <v>2</v>
      </c>
    </row>
    <row r="317" spans="1:27">
      <c r="A317" s="11">
        <v>316</v>
      </c>
      <c r="B317" s="12">
        <v>4</v>
      </c>
      <c r="C317" s="11">
        <v>1</v>
      </c>
      <c r="D317" s="11">
        <v>1</v>
      </c>
      <c r="E317" s="11">
        <v>3</v>
      </c>
      <c r="F317" s="11">
        <v>1</v>
      </c>
      <c r="G317" s="11">
        <v>4</v>
      </c>
      <c r="H317" s="11">
        <v>3</v>
      </c>
      <c r="I317" s="11">
        <v>2</v>
      </c>
      <c r="J317" s="11">
        <v>3</v>
      </c>
      <c r="K317" s="11">
        <v>3</v>
      </c>
      <c r="L317" s="11">
        <v>2</v>
      </c>
      <c r="M317" s="11">
        <v>3</v>
      </c>
      <c r="N317" s="11">
        <v>3</v>
      </c>
      <c r="O317" s="11">
        <v>4</v>
      </c>
      <c r="P317" s="11">
        <v>5</v>
      </c>
      <c r="Q317" s="11">
        <v>1</v>
      </c>
      <c r="R317" s="11">
        <v>3</v>
      </c>
      <c r="S317" s="11">
        <v>2</v>
      </c>
      <c r="T317" s="11">
        <v>3</v>
      </c>
      <c r="U317" s="10">
        <v>2</v>
      </c>
      <c r="V317" s="6">
        <f t="shared" si="24"/>
        <v>25.246126531546413</v>
      </c>
      <c r="W317" s="6">
        <f t="shared" si="25"/>
        <v>30.978172803743099</v>
      </c>
      <c r="X317" s="6">
        <f t="shared" si="26"/>
        <v>9.9618816989773968</v>
      </c>
      <c r="Y317" s="6">
        <f t="shared" si="27"/>
        <v>21.222736320538495</v>
      </c>
      <c r="Z317" s="6">
        <f t="shared" si="28"/>
        <v>9.9618816989773968</v>
      </c>
      <c r="AA317" s="6">
        <f t="shared" si="29"/>
        <v>3</v>
      </c>
    </row>
    <row r="318" spans="1:27">
      <c r="A318" s="11">
        <v>317</v>
      </c>
      <c r="B318" s="12">
        <v>5</v>
      </c>
      <c r="C318" s="11">
        <v>1</v>
      </c>
      <c r="D318" s="11">
        <v>1</v>
      </c>
      <c r="E318" s="11">
        <v>5</v>
      </c>
      <c r="F318" s="11">
        <v>5</v>
      </c>
      <c r="G318" s="11">
        <v>5</v>
      </c>
      <c r="H318" s="11">
        <v>3</v>
      </c>
      <c r="I318" s="11">
        <v>1</v>
      </c>
      <c r="J318" s="11">
        <v>1</v>
      </c>
      <c r="K318" s="11">
        <v>5</v>
      </c>
      <c r="L318" s="11">
        <v>1</v>
      </c>
      <c r="M318" s="11">
        <v>1</v>
      </c>
      <c r="N318" s="11">
        <v>1</v>
      </c>
      <c r="O318" s="11">
        <v>5</v>
      </c>
      <c r="P318" s="11">
        <v>3</v>
      </c>
      <c r="Q318" s="11">
        <v>1</v>
      </c>
      <c r="R318" s="11">
        <v>1</v>
      </c>
      <c r="S318" s="11">
        <v>5</v>
      </c>
      <c r="T318" s="11">
        <v>2</v>
      </c>
      <c r="U318" s="10">
        <v>1</v>
      </c>
      <c r="V318" s="6">
        <f t="shared" si="24"/>
        <v>39.773916110029369</v>
      </c>
      <c r="W318" s="6">
        <f t="shared" si="25"/>
        <v>65.712354825673387</v>
      </c>
      <c r="X318" s="6">
        <f t="shared" si="26"/>
        <v>48.115662249360916</v>
      </c>
      <c r="Y318" s="6">
        <f t="shared" si="27"/>
        <v>62.365616448483522</v>
      </c>
      <c r="Z318" s="6">
        <f t="shared" si="28"/>
        <v>39.773916110029369</v>
      </c>
      <c r="AA318" s="6">
        <f t="shared" si="29"/>
        <v>1</v>
      </c>
    </row>
    <row r="319" spans="1:27">
      <c r="A319" s="11">
        <v>318</v>
      </c>
      <c r="B319" s="12">
        <v>5</v>
      </c>
      <c r="C319" s="11">
        <v>3</v>
      </c>
      <c r="D319" s="11">
        <v>2</v>
      </c>
      <c r="E319" s="11">
        <v>2</v>
      </c>
      <c r="F319" s="11">
        <v>2</v>
      </c>
      <c r="G319" s="11">
        <v>5</v>
      </c>
      <c r="H319" s="11">
        <v>1</v>
      </c>
      <c r="I319" s="11">
        <v>1</v>
      </c>
      <c r="J319" s="11">
        <v>3</v>
      </c>
      <c r="K319" s="11">
        <v>3</v>
      </c>
      <c r="L319" s="11">
        <v>2</v>
      </c>
      <c r="M319" s="11">
        <v>3</v>
      </c>
      <c r="N319" s="11">
        <v>3</v>
      </c>
      <c r="O319" s="11">
        <v>4</v>
      </c>
      <c r="P319" s="11">
        <v>4</v>
      </c>
      <c r="Q319" s="11">
        <v>4</v>
      </c>
      <c r="R319" s="11">
        <v>2</v>
      </c>
      <c r="S319" s="11">
        <v>2</v>
      </c>
      <c r="T319" s="11">
        <v>4</v>
      </c>
      <c r="U319" s="10">
        <v>2</v>
      </c>
      <c r="V319" s="6">
        <f t="shared" si="24"/>
        <v>28.801678659901061</v>
      </c>
      <c r="W319" s="6">
        <f t="shared" si="25"/>
        <v>31.130072323305278</v>
      </c>
      <c r="X319" s="6">
        <f t="shared" si="26"/>
        <v>20.225588164568581</v>
      </c>
      <c r="Y319" s="6">
        <f t="shared" si="27"/>
        <v>31.039089971904041</v>
      </c>
      <c r="Z319" s="6">
        <f t="shared" si="28"/>
        <v>20.225588164568581</v>
      </c>
      <c r="AA319" s="6">
        <f t="shared" si="29"/>
        <v>3</v>
      </c>
    </row>
    <row r="320" spans="1:27">
      <c r="A320" s="11">
        <v>319</v>
      </c>
      <c r="B320" s="12">
        <v>4</v>
      </c>
      <c r="C320" s="11">
        <v>3</v>
      </c>
      <c r="D320" s="11">
        <v>2</v>
      </c>
      <c r="E320" s="11">
        <v>4</v>
      </c>
      <c r="F320" s="11">
        <v>3</v>
      </c>
      <c r="G320" s="11">
        <v>2</v>
      </c>
      <c r="H320" s="11">
        <v>3</v>
      </c>
      <c r="I320" s="11">
        <v>4</v>
      </c>
      <c r="J320" s="11">
        <v>2</v>
      </c>
      <c r="K320" s="11">
        <v>3</v>
      </c>
      <c r="L320" s="11">
        <v>3</v>
      </c>
      <c r="M320" s="11">
        <v>3</v>
      </c>
      <c r="N320" s="11">
        <v>4</v>
      </c>
      <c r="O320" s="11">
        <v>4</v>
      </c>
      <c r="P320" s="11">
        <v>4</v>
      </c>
      <c r="Q320" s="11">
        <v>2</v>
      </c>
      <c r="R320" s="11">
        <v>2</v>
      </c>
      <c r="S320" s="11">
        <v>2</v>
      </c>
      <c r="T320" s="11">
        <v>3</v>
      </c>
      <c r="U320" s="10">
        <v>2</v>
      </c>
      <c r="V320" s="6">
        <f t="shared" si="24"/>
        <v>18.468393059234067</v>
      </c>
      <c r="W320" s="6">
        <f t="shared" si="25"/>
        <v>15.965514560009858</v>
      </c>
      <c r="X320" s="6">
        <f t="shared" si="26"/>
        <v>13.478354451379678</v>
      </c>
      <c r="Y320" s="6">
        <f t="shared" si="27"/>
        <v>22.773786476186778</v>
      </c>
      <c r="Z320" s="6">
        <f t="shared" si="28"/>
        <v>13.478354451379678</v>
      </c>
      <c r="AA320" s="6">
        <f t="shared" si="29"/>
        <v>3</v>
      </c>
    </row>
    <row r="321" spans="1:27">
      <c r="A321" s="11">
        <v>320</v>
      </c>
      <c r="B321" s="12">
        <v>2</v>
      </c>
      <c r="C321" s="11">
        <v>2</v>
      </c>
      <c r="D321" s="11">
        <v>1</v>
      </c>
      <c r="E321" s="11">
        <v>1</v>
      </c>
      <c r="F321" s="11">
        <v>2</v>
      </c>
      <c r="G321" s="11">
        <v>3</v>
      </c>
      <c r="H321" s="11">
        <v>3</v>
      </c>
      <c r="I321" s="11">
        <v>3</v>
      </c>
      <c r="J321" s="11">
        <v>4</v>
      </c>
      <c r="K321" s="11">
        <v>3</v>
      </c>
      <c r="L321" s="11">
        <v>3</v>
      </c>
      <c r="M321" s="11">
        <v>4</v>
      </c>
      <c r="N321" s="11">
        <v>3</v>
      </c>
      <c r="O321" s="11">
        <v>5</v>
      </c>
      <c r="P321" s="11">
        <v>5</v>
      </c>
      <c r="Q321" s="11">
        <v>2</v>
      </c>
      <c r="R321" s="11">
        <v>3</v>
      </c>
      <c r="S321" s="11">
        <v>4</v>
      </c>
      <c r="T321" s="11">
        <v>3</v>
      </c>
      <c r="U321" s="10">
        <v>2</v>
      </c>
      <c r="V321" s="6">
        <f t="shared" si="24"/>
        <v>32.4405641622498</v>
      </c>
      <c r="W321" s="6">
        <f t="shared" si="25"/>
        <v>27.168054444262111</v>
      </c>
      <c r="X321" s="6">
        <f t="shared" si="26"/>
        <v>20.983891180873716</v>
      </c>
      <c r="Y321" s="6">
        <f t="shared" si="27"/>
        <v>26.059488747605059</v>
      </c>
      <c r="Z321" s="6">
        <f t="shared" si="28"/>
        <v>20.983891180873716</v>
      </c>
      <c r="AA321" s="6">
        <f t="shared" si="29"/>
        <v>3</v>
      </c>
    </row>
    <row r="322" spans="1:27">
      <c r="A322" s="11">
        <v>321</v>
      </c>
      <c r="B322" s="12">
        <v>3</v>
      </c>
      <c r="C322" s="11">
        <v>2</v>
      </c>
      <c r="D322" s="11">
        <v>4</v>
      </c>
      <c r="E322" s="11">
        <v>3</v>
      </c>
      <c r="F322" s="11">
        <v>1</v>
      </c>
      <c r="G322" s="11">
        <v>2</v>
      </c>
      <c r="H322" s="11">
        <v>3</v>
      </c>
      <c r="I322" s="11">
        <v>2</v>
      </c>
      <c r="J322" s="11">
        <v>1</v>
      </c>
      <c r="K322" s="11">
        <v>3</v>
      </c>
      <c r="L322" s="11">
        <v>2</v>
      </c>
      <c r="M322" s="11">
        <v>1</v>
      </c>
      <c r="N322" s="11">
        <v>2</v>
      </c>
      <c r="O322" s="11">
        <v>4</v>
      </c>
      <c r="P322" s="11">
        <v>5</v>
      </c>
      <c r="Q322" s="11">
        <v>1</v>
      </c>
      <c r="R322" s="11">
        <v>1</v>
      </c>
      <c r="S322" s="11">
        <v>5</v>
      </c>
      <c r="T322" s="11">
        <v>2</v>
      </c>
      <c r="U322" s="10">
        <v>5</v>
      </c>
      <c r="V322" s="6">
        <f t="shared" ref="V322:V341" si="30">SUMXMY2($B322:$U322,AE$2:AE$21)</f>
        <v>30.662783722417849</v>
      </c>
      <c r="W322" s="6">
        <f t="shared" ref="W322:W341" si="31">SUMXMY2($B322:$U322,AF$2:AF$21)</f>
        <v>35.573126040668932</v>
      </c>
      <c r="X322" s="6">
        <f t="shared" ref="X322:X341" si="32">SUMXMY2($B322:$U322,AG$2:AG$21)</f>
        <v>37.687067321278995</v>
      </c>
      <c r="Y322" s="6">
        <f t="shared" ref="Y322:Y341" si="33">SUMXMY2($B322:$U322,AH$2:AH$21)</f>
        <v>24.059430998646725</v>
      </c>
      <c r="Z322" s="6">
        <f t="shared" ref="Z322:Z341" si="34">MIN(V322:Y322)</f>
        <v>24.059430998646725</v>
      </c>
      <c r="AA322" s="6">
        <f t="shared" si="29"/>
        <v>4</v>
      </c>
    </row>
    <row r="323" spans="1:27">
      <c r="A323" s="11">
        <v>322</v>
      </c>
      <c r="B323" s="12">
        <v>4</v>
      </c>
      <c r="C323" s="11">
        <v>2</v>
      </c>
      <c r="D323" s="11">
        <v>3</v>
      </c>
      <c r="E323" s="11">
        <v>2</v>
      </c>
      <c r="F323" s="11">
        <v>2</v>
      </c>
      <c r="G323" s="11">
        <v>3</v>
      </c>
      <c r="H323" s="11">
        <v>2</v>
      </c>
      <c r="I323" s="11">
        <v>2</v>
      </c>
      <c r="J323" s="11">
        <v>2</v>
      </c>
      <c r="K323" s="11">
        <v>3</v>
      </c>
      <c r="L323" s="11">
        <v>3</v>
      </c>
      <c r="M323" s="11">
        <v>4</v>
      </c>
      <c r="N323" s="11">
        <v>3</v>
      </c>
      <c r="O323" s="11">
        <v>1</v>
      </c>
      <c r="P323" s="11">
        <v>5</v>
      </c>
      <c r="Q323" s="11">
        <v>1</v>
      </c>
      <c r="R323" s="11">
        <v>2</v>
      </c>
      <c r="S323" s="11">
        <v>2</v>
      </c>
      <c r="T323" s="11">
        <v>3</v>
      </c>
      <c r="U323" s="10">
        <v>5</v>
      </c>
      <c r="V323" s="6">
        <f t="shared" si="30"/>
        <v>37.968330469287771</v>
      </c>
      <c r="W323" s="6">
        <f t="shared" si="31"/>
        <v>26.383261616071117</v>
      </c>
      <c r="X323" s="6">
        <f t="shared" si="32"/>
        <v>28.280536259102604</v>
      </c>
      <c r="Y323" s="6">
        <f t="shared" si="33"/>
        <v>18.732906419035405</v>
      </c>
      <c r="Z323" s="6">
        <f t="shared" si="34"/>
        <v>18.732906419035405</v>
      </c>
      <c r="AA323" s="6">
        <f t="shared" ref="AA323:AA341" si="35">IF(Z323=V323,1,IF(Z323=W323,2,IF(Z323=X323,3,4)))</f>
        <v>4</v>
      </c>
    </row>
    <row r="324" spans="1:27">
      <c r="A324" s="11">
        <v>323</v>
      </c>
      <c r="B324" s="12">
        <v>1</v>
      </c>
      <c r="C324" s="11">
        <v>1</v>
      </c>
      <c r="D324" s="11">
        <v>3</v>
      </c>
      <c r="E324" s="11">
        <v>2</v>
      </c>
      <c r="F324" s="11">
        <v>2</v>
      </c>
      <c r="G324" s="11">
        <v>2</v>
      </c>
      <c r="H324" s="11">
        <v>2</v>
      </c>
      <c r="I324" s="11">
        <v>2</v>
      </c>
      <c r="J324" s="11">
        <v>2</v>
      </c>
      <c r="K324" s="11">
        <v>2</v>
      </c>
      <c r="L324" s="11">
        <v>2</v>
      </c>
      <c r="M324" s="11">
        <v>4</v>
      </c>
      <c r="N324" s="11">
        <v>2</v>
      </c>
      <c r="O324" s="11">
        <v>4</v>
      </c>
      <c r="P324" s="11">
        <v>3</v>
      </c>
      <c r="Q324" s="11">
        <v>2</v>
      </c>
      <c r="R324" s="11">
        <v>2</v>
      </c>
      <c r="S324" s="11">
        <v>4</v>
      </c>
      <c r="T324" s="11">
        <v>2</v>
      </c>
      <c r="U324" s="10">
        <v>5</v>
      </c>
      <c r="V324" s="6">
        <f t="shared" si="30"/>
        <v>27.968279856697087</v>
      </c>
      <c r="W324" s="6">
        <f t="shared" si="31"/>
        <v>26.851563402697877</v>
      </c>
      <c r="X324" s="6">
        <f t="shared" si="32"/>
        <v>32.049736662301179</v>
      </c>
      <c r="Y324" s="6">
        <f t="shared" si="33"/>
        <v>12.24311973342358</v>
      </c>
      <c r="Z324" s="6">
        <f t="shared" si="34"/>
        <v>12.24311973342358</v>
      </c>
      <c r="AA324" s="6">
        <f t="shared" si="35"/>
        <v>4</v>
      </c>
    </row>
    <row r="325" spans="1:27">
      <c r="A325" s="11">
        <v>324</v>
      </c>
      <c r="B325" s="12">
        <v>5</v>
      </c>
      <c r="C325" s="11">
        <v>2</v>
      </c>
      <c r="D325" s="11">
        <v>2</v>
      </c>
      <c r="E325" s="11">
        <v>4</v>
      </c>
      <c r="F325" s="11">
        <v>4</v>
      </c>
      <c r="G325" s="11">
        <v>5</v>
      </c>
      <c r="H325" s="11">
        <v>3</v>
      </c>
      <c r="I325" s="11">
        <v>3</v>
      </c>
      <c r="J325" s="11">
        <v>2</v>
      </c>
      <c r="K325" s="11">
        <v>2</v>
      </c>
      <c r="L325" s="11">
        <v>1</v>
      </c>
      <c r="M325" s="11">
        <v>1</v>
      </c>
      <c r="N325" s="11">
        <v>2</v>
      </c>
      <c r="O325" s="11">
        <v>2</v>
      </c>
      <c r="P325" s="11">
        <v>4</v>
      </c>
      <c r="Q325" s="11">
        <v>3</v>
      </c>
      <c r="R325" s="11">
        <v>3</v>
      </c>
      <c r="S325" s="11">
        <v>1</v>
      </c>
      <c r="T325" s="11">
        <v>2</v>
      </c>
      <c r="U325" s="10">
        <v>3</v>
      </c>
      <c r="V325" s="6">
        <f t="shared" si="30"/>
        <v>21.135062496146546</v>
      </c>
      <c r="W325" s="6">
        <f t="shared" si="31"/>
        <v>30.965484870583595</v>
      </c>
      <c r="X325" s="6">
        <f t="shared" si="32"/>
        <v>23.687131080152618</v>
      </c>
      <c r="Y325" s="6">
        <f t="shared" si="33"/>
        <v>28.814590153643028</v>
      </c>
      <c r="Z325" s="6">
        <f t="shared" si="34"/>
        <v>21.135062496146546</v>
      </c>
      <c r="AA325" s="6">
        <f t="shared" si="35"/>
        <v>1</v>
      </c>
    </row>
    <row r="326" spans="1:27">
      <c r="A326" s="11">
        <v>325</v>
      </c>
      <c r="B326" s="12">
        <v>1</v>
      </c>
      <c r="C326" s="11">
        <v>1</v>
      </c>
      <c r="D326" s="11">
        <v>1</v>
      </c>
      <c r="E326" s="11">
        <v>4</v>
      </c>
      <c r="F326" s="11">
        <v>1</v>
      </c>
      <c r="G326" s="11">
        <v>5</v>
      </c>
      <c r="H326" s="11">
        <v>5</v>
      </c>
      <c r="I326" s="11">
        <v>5</v>
      </c>
      <c r="J326" s="11">
        <v>1</v>
      </c>
      <c r="K326" s="11">
        <v>1</v>
      </c>
      <c r="L326" s="11">
        <v>1</v>
      </c>
      <c r="M326" s="11">
        <v>1</v>
      </c>
      <c r="N326" s="11">
        <v>4</v>
      </c>
      <c r="O326" s="11">
        <v>3</v>
      </c>
      <c r="P326" s="11">
        <v>2</v>
      </c>
      <c r="Q326" s="11">
        <v>1</v>
      </c>
      <c r="R326" s="11">
        <v>3</v>
      </c>
      <c r="S326" s="11">
        <v>1</v>
      </c>
      <c r="T326" s="11">
        <v>2</v>
      </c>
      <c r="U326" s="10">
        <v>5</v>
      </c>
      <c r="V326" s="6">
        <f t="shared" si="30"/>
        <v>49.884985394928286</v>
      </c>
      <c r="W326" s="6">
        <f t="shared" si="31"/>
        <v>60.762920970503465</v>
      </c>
      <c r="X326" s="6">
        <f t="shared" si="32"/>
        <v>55.863033066606377</v>
      </c>
      <c r="Y326" s="6">
        <f t="shared" si="33"/>
        <v>45.753346116398639</v>
      </c>
      <c r="Z326" s="6">
        <f t="shared" si="34"/>
        <v>45.753346116398639</v>
      </c>
      <c r="AA326" s="6">
        <f t="shared" si="35"/>
        <v>4</v>
      </c>
    </row>
    <row r="327" spans="1:27">
      <c r="A327" s="11">
        <v>326</v>
      </c>
      <c r="B327" s="12">
        <v>3</v>
      </c>
      <c r="C327" s="11">
        <v>4</v>
      </c>
      <c r="D327" s="11">
        <v>1</v>
      </c>
      <c r="E327" s="11">
        <v>2</v>
      </c>
      <c r="F327" s="11">
        <v>2</v>
      </c>
      <c r="G327" s="11">
        <v>4</v>
      </c>
      <c r="H327" s="11">
        <v>4</v>
      </c>
      <c r="I327" s="11">
        <v>2</v>
      </c>
      <c r="J327" s="11">
        <v>2</v>
      </c>
      <c r="K327" s="11">
        <v>2</v>
      </c>
      <c r="L327" s="11">
        <v>3</v>
      </c>
      <c r="M327" s="11">
        <v>2</v>
      </c>
      <c r="N327" s="11">
        <v>2</v>
      </c>
      <c r="O327" s="11">
        <v>4</v>
      </c>
      <c r="P327" s="11">
        <v>4</v>
      </c>
      <c r="Q327" s="11">
        <v>1</v>
      </c>
      <c r="R327" s="11">
        <v>2</v>
      </c>
      <c r="S327" s="11">
        <v>3</v>
      </c>
      <c r="T327" s="11">
        <v>2</v>
      </c>
      <c r="U327" s="10">
        <v>5</v>
      </c>
      <c r="V327" s="6">
        <f t="shared" si="30"/>
        <v>21.079453920455126</v>
      </c>
      <c r="W327" s="6">
        <f t="shared" si="31"/>
        <v>24.408551964340106</v>
      </c>
      <c r="X327" s="6">
        <f t="shared" si="32"/>
        <v>22.961961858641004</v>
      </c>
      <c r="Y327" s="6">
        <f t="shared" si="33"/>
        <v>16.426820153107666</v>
      </c>
      <c r="Z327" s="6">
        <f t="shared" si="34"/>
        <v>16.426820153107666</v>
      </c>
      <c r="AA327" s="6">
        <f t="shared" si="35"/>
        <v>4</v>
      </c>
    </row>
    <row r="328" spans="1:27">
      <c r="A328" s="11">
        <v>327</v>
      </c>
      <c r="B328" s="12">
        <v>2</v>
      </c>
      <c r="C328" s="11">
        <v>1</v>
      </c>
      <c r="D328" s="11">
        <v>2</v>
      </c>
      <c r="E328" s="11">
        <v>4</v>
      </c>
      <c r="F328" s="11">
        <v>2</v>
      </c>
      <c r="G328" s="11">
        <v>4</v>
      </c>
      <c r="H328" s="11">
        <v>2</v>
      </c>
      <c r="I328" s="11">
        <v>1</v>
      </c>
      <c r="J328" s="11">
        <v>1</v>
      </c>
      <c r="K328" s="11">
        <v>4</v>
      </c>
      <c r="L328" s="11">
        <v>1</v>
      </c>
      <c r="M328" s="11">
        <v>2</v>
      </c>
      <c r="N328" s="11">
        <v>2</v>
      </c>
      <c r="O328" s="11">
        <v>5</v>
      </c>
      <c r="P328" s="11">
        <v>5</v>
      </c>
      <c r="Q328" s="11">
        <v>1</v>
      </c>
      <c r="R328" s="11">
        <v>1</v>
      </c>
      <c r="S328" s="11">
        <v>2</v>
      </c>
      <c r="T328" s="11">
        <v>4</v>
      </c>
      <c r="U328" s="10">
        <v>1</v>
      </c>
      <c r="V328" s="6">
        <f t="shared" si="30"/>
        <v>25.134990470517476</v>
      </c>
      <c r="W328" s="6">
        <f t="shared" si="31"/>
        <v>46.902183278519502</v>
      </c>
      <c r="X328" s="6">
        <f t="shared" si="32"/>
        <v>19.65409435175695</v>
      </c>
      <c r="Y328" s="6">
        <f t="shared" si="33"/>
        <v>33.834935584719084</v>
      </c>
      <c r="Z328" s="6">
        <f t="shared" si="34"/>
        <v>19.65409435175695</v>
      </c>
      <c r="AA328" s="6">
        <f t="shared" si="35"/>
        <v>3</v>
      </c>
    </row>
    <row r="329" spans="1:27">
      <c r="A329" s="11">
        <v>328</v>
      </c>
      <c r="B329" s="12">
        <v>3</v>
      </c>
      <c r="C329" s="11">
        <v>3</v>
      </c>
      <c r="D329" s="11">
        <v>3</v>
      </c>
      <c r="E329" s="11">
        <v>3</v>
      </c>
      <c r="F329" s="11">
        <v>3</v>
      </c>
      <c r="G329" s="11">
        <v>3</v>
      </c>
      <c r="H329" s="11">
        <v>3</v>
      </c>
      <c r="I329" s="11">
        <v>3</v>
      </c>
      <c r="J329" s="11">
        <v>3</v>
      </c>
      <c r="K329" s="11">
        <v>3</v>
      </c>
      <c r="L329" s="11">
        <v>3</v>
      </c>
      <c r="M329" s="11">
        <v>3</v>
      </c>
      <c r="N329" s="11">
        <v>3</v>
      </c>
      <c r="O329" s="11">
        <v>3</v>
      </c>
      <c r="P329" s="11">
        <v>3</v>
      </c>
      <c r="Q329" s="11">
        <v>3</v>
      </c>
      <c r="R329" s="11">
        <v>3</v>
      </c>
      <c r="S329" s="11">
        <v>3</v>
      </c>
      <c r="T329" s="11">
        <v>3</v>
      </c>
      <c r="U329" s="10">
        <v>3</v>
      </c>
      <c r="V329" s="6">
        <f t="shared" si="30"/>
        <v>12.773931148575475</v>
      </c>
      <c r="W329" s="6">
        <f t="shared" si="31"/>
        <v>1.6743854749428495</v>
      </c>
      <c r="X329" s="6">
        <f t="shared" si="32"/>
        <v>13.467338438065553</v>
      </c>
      <c r="Y329" s="6">
        <f t="shared" si="33"/>
        <v>10.467667808701499</v>
      </c>
      <c r="Z329" s="6">
        <f t="shared" si="34"/>
        <v>1.6743854749428495</v>
      </c>
      <c r="AA329" s="6">
        <f t="shared" si="35"/>
        <v>2</v>
      </c>
    </row>
    <row r="330" spans="1:27">
      <c r="A330" s="11">
        <v>329</v>
      </c>
      <c r="B330" s="12">
        <v>3</v>
      </c>
      <c r="C330" s="11">
        <v>1</v>
      </c>
      <c r="D330" s="11">
        <v>1</v>
      </c>
      <c r="E330" s="11">
        <v>4</v>
      </c>
      <c r="F330" s="11">
        <v>3</v>
      </c>
      <c r="G330" s="11">
        <v>4</v>
      </c>
      <c r="H330" s="11">
        <v>4</v>
      </c>
      <c r="I330" s="11">
        <v>2</v>
      </c>
      <c r="J330" s="11">
        <v>1</v>
      </c>
      <c r="K330" s="11">
        <v>2</v>
      </c>
      <c r="L330" s="11">
        <v>2</v>
      </c>
      <c r="M330" s="11">
        <v>2</v>
      </c>
      <c r="N330" s="11">
        <v>2</v>
      </c>
      <c r="O330" s="11">
        <v>4</v>
      </c>
      <c r="P330" s="11">
        <v>3</v>
      </c>
      <c r="Q330" s="11">
        <v>2</v>
      </c>
      <c r="R330" s="11">
        <v>2</v>
      </c>
      <c r="S330" s="11">
        <v>2</v>
      </c>
      <c r="T330" s="11">
        <v>1</v>
      </c>
      <c r="U330" s="10">
        <v>4</v>
      </c>
      <c r="V330" s="6">
        <f t="shared" si="30"/>
        <v>11.468348563572823</v>
      </c>
      <c r="W330" s="6">
        <f t="shared" si="31"/>
        <v>29.383184790788999</v>
      </c>
      <c r="X330" s="6">
        <f t="shared" si="32"/>
        <v>18.291564734082893</v>
      </c>
      <c r="Y330" s="6">
        <f t="shared" si="33"/>
        <v>16.161508561600428</v>
      </c>
      <c r="Z330" s="6">
        <f t="shared" si="34"/>
        <v>11.468348563572823</v>
      </c>
      <c r="AA330" s="6">
        <f t="shared" si="35"/>
        <v>1</v>
      </c>
    </row>
    <row r="331" spans="1:27">
      <c r="A331" s="11">
        <v>330</v>
      </c>
      <c r="B331" s="12">
        <v>2</v>
      </c>
      <c r="C331" s="11">
        <v>2</v>
      </c>
      <c r="D331" s="11">
        <v>2</v>
      </c>
      <c r="E331" s="11">
        <v>4</v>
      </c>
      <c r="F331" s="11">
        <v>2</v>
      </c>
      <c r="G331" s="11">
        <v>4</v>
      </c>
      <c r="H331" s="11">
        <v>2</v>
      </c>
      <c r="I331" s="11">
        <v>1</v>
      </c>
      <c r="J331" s="11">
        <v>1</v>
      </c>
      <c r="K331" s="11">
        <v>4</v>
      </c>
      <c r="L331" s="11">
        <v>1</v>
      </c>
      <c r="M331" s="11">
        <v>1</v>
      </c>
      <c r="N331" s="11">
        <v>1</v>
      </c>
      <c r="O331" s="11">
        <v>1</v>
      </c>
      <c r="P331" s="11">
        <v>4</v>
      </c>
      <c r="Q331" s="11">
        <v>1</v>
      </c>
      <c r="R331" s="11">
        <v>1</v>
      </c>
      <c r="S331" s="11">
        <v>4</v>
      </c>
      <c r="T331" s="11">
        <v>2</v>
      </c>
      <c r="U331" s="10">
        <v>2</v>
      </c>
      <c r="V331" s="6">
        <f t="shared" si="30"/>
        <v>29.690508769145595</v>
      </c>
      <c r="W331" s="6">
        <f t="shared" si="31"/>
        <v>44.155314905861964</v>
      </c>
      <c r="X331" s="6">
        <f t="shared" si="32"/>
        <v>30.566146244148186</v>
      </c>
      <c r="Y331" s="6">
        <f t="shared" si="33"/>
        <v>27.059414155423653</v>
      </c>
      <c r="Z331" s="6">
        <f t="shared" si="34"/>
        <v>27.059414155423653</v>
      </c>
      <c r="AA331" s="6">
        <f t="shared" si="35"/>
        <v>4</v>
      </c>
    </row>
    <row r="332" spans="1:27">
      <c r="A332" s="11">
        <v>331</v>
      </c>
      <c r="B332" s="12">
        <v>2</v>
      </c>
      <c r="C332" s="11">
        <v>2</v>
      </c>
      <c r="D332" s="11">
        <v>2</v>
      </c>
      <c r="E332" s="11">
        <v>4</v>
      </c>
      <c r="F332" s="11">
        <v>2</v>
      </c>
      <c r="G332" s="11">
        <v>2</v>
      </c>
      <c r="H332" s="11">
        <v>2</v>
      </c>
      <c r="I332" s="11">
        <v>2</v>
      </c>
      <c r="J332" s="11">
        <v>2</v>
      </c>
      <c r="K332" s="11">
        <v>3</v>
      </c>
      <c r="L332" s="11">
        <v>1</v>
      </c>
      <c r="M332" s="11">
        <v>1</v>
      </c>
      <c r="N332" s="11">
        <v>1</v>
      </c>
      <c r="O332" s="11">
        <v>4</v>
      </c>
      <c r="P332" s="11">
        <v>4</v>
      </c>
      <c r="Q332" s="11">
        <v>2</v>
      </c>
      <c r="R332" s="11">
        <v>2</v>
      </c>
      <c r="S332" s="11">
        <v>2</v>
      </c>
      <c r="T332" s="11">
        <v>2</v>
      </c>
      <c r="U332" s="10">
        <v>2</v>
      </c>
      <c r="V332" s="6">
        <f t="shared" si="30"/>
        <v>13.635000128715433</v>
      </c>
      <c r="W332" s="6">
        <f t="shared" si="31"/>
        <v>30.636329853343739</v>
      </c>
      <c r="X332" s="6">
        <f t="shared" si="32"/>
        <v>13.379368343453034</v>
      </c>
      <c r="Y332" s="6">
        <f t="shared" si="33"/>
        <v>16.488000903094591</v>
      </c>
      <c r="Z332" s="6">
        <f t="shared" si="34"/>
        <v>13.379368343453034</v>
      </c>
      <c r="AA332" s="6">
        <f t="shared" si="35"/>
        <v>3</v>
      </c>
    </row>
    <row r="333" spans="1:27">
      <c r="A333" s="11">
        <v>332</v>
      </c>
      <c r="B333" s="12">
        <v>2</v>
      </c>
      <c r="C333" s="11">
        <v>2</v>
      </c>
      <c r="D333" s="11">
        <v>1</v>
      </c>
      <c r="E333" s="11">
        <v>2</v>
      </c>
      <c r="F333" s="11">
        <v>3</v>
      </c>
      <c r="G333" s="11">
        <v>2</v>
      </c>
      <c r="H333" s="11">
        <v>2</v>
      </c>
      <c r="I333" s="11">
        <v>2</v>
      </c>
      <c r="J333" s="11">
        <v>5</v>
      </c>
      <c r="K333" s="11">
        <v>5</v>
      </c>
      <c r="L333" s="11">
        <v>1</v>
      </c>
      <c r="M333" s="11">
        <v>1</v>
      </c>
      <c r="N333" s="11">
        <v>1</v>
      </c>
      <c r="O333" s="11">
        <v>1</v>
      </c>
      <c r="P333" s="11">
        <v>5</v>
      </c>
      <c r="Q333" s="11">
        <v>1</v>
      </c>
      <c r="R333" s="11">
        <v>5</v>
      </c>
      <c r="S333" s="11">
        <v>4</v>
      </c>
      <c r="T333" s="11">
        <v>5</v>
      </c>
      <c r="U333" s="10">
        <v>1</v>
      </c>
      <c r="V333" s="6">
        <f t="shared" si="30"/>
        <v>63.551650772203253</v>
      </c>
      <c r="W333" s="6">
        <f t="shared" si="31"/>
        <v>55.307301295426697</v>
      </c>
      <c r="X333" s="6">
        <f t="shared" si="32"/>
        <v>47.698093895325549</v>
      </c>
      <c r="Y333" s="6">
        <f t="shared" si="33"/>
        <v>53.59005950043413</v>
      </c>
      <c r="Z333" s="6">
        <f t="shared" si="34"/>
        <v>47.698093895325549</v>
      </c>
      <c r="AA333" s="6">
        <f t="shared" si="35"/>
        <v>3</v>
      </c>
    </row>
    <row r="334" spans="1:27">
      <c r="A334" s="11">
        <v>333</v>
      </c>
      <c r="B334" s="12">
        <v>5</v>
      </c>
      <c r="C334" s="11">
        <v>2</v>
      </c>
      <c r="D334" s="11">
        <v>2</v>
      </c>
      <c r="E334" s="11">
        <v>4</v>
      </c>
      <c r="F334" s="11">
        <v>2</v>
      </c>
      <c r="G334" s="11">
        <v>2</v>
      </c>
      <c r="H334" s="11">
        <v>3</v>
      </c>
      <c r="I334" s="11">
        <v>2</v>
      </c>
      <c r="J334" s="11">
        <v>2</v>
      </c>
      <c r="K334" s="11">
        <v>2</v>
      </c>
      <c r="L334" s="11">
        <v>1</v>
      </c>
      <c r="M334" s="11">
        <v>4</v>
      </c>
      <c r="N334" s="11">
        <v>2</v>
      </c>
      <c r="O334" s="11">
        <v>4</v>
      </c>
      <c r="P334" s="11">
        <v>5</v>
      </c>
      <c r="Q334" s="11">
        <v>2</v>
      </c>
      <c r="R334" s="11">
        <v>2</v>
      </c>
      <c r="S334" s="11">
        <v>3</v>
      </c>
      <c r="T334" s="11">
        <v>4</v>
      </c>
      <c r="U334" s="10">
        <v>2</v>
      </c>
      <c r="V334" s="6">
        <f t="shared" si="30"/>
        <v>24.773887550886606</v>
      </c>
      <c r="W334" s="6">
        <f t="shared" si="31"/>
        <v>28.902206882329772</v>
      </c>
      <c r="X334" s="6">
        <f t="shared" si="32"/>
        <v>16.599203151282577</v>
      </c>
      <c r="Y334" s="6">
        <f t="shared" si="33"/>
        <v>22.22275777835759</v>
      </c>
      <c r="Z334" s="6">
        <f t="shared" si="34"/>
        <v>16.599203151282577</v>
      </c>
      <c r="AA334" s="6">
        <f t="shared" si="35"/>
        <v>3</v>
      </c>
    </row>
    <row r="335" spans="1:27">
      <c r="A335" s="11">
        <v>334</v>
      </c>
      <c r="B335" s="12">
        <v>3</v>
      </c>
      <c r="C335" s="11">
        <v>2</v>
      </c>
      <c r="D335" s="11">
        <v>5</v>
      </c>
      <c r="E335" s="11">
        <v>3</v>
      </c>
      <c r="F335" s="11">
        <v>3</v>
      </c>
      <c r="G335" s="11">
        <v>4</v>
      </c>
      <c r="H335" s="11">
        <v>2</v>
      </c>
      <c r="I335" s="11">
        <v>2</v>
      </c>
      <c r="J335" s="11">
        <v>1</v>
      </c>
      <c r="K335" s="11">
        <v>1</v>
      </c>
      <c r="L335" s="11">
        <v>1</v>
      </c>
      <c r="M335" s="11">
        <v>2</v>
      </c>
      <c r="N335" s="11">
        <v>2</v>
      </c>
      <c r="O335" s="11">
        <v>4</v>
      </c>
      <c r="P335" s="11">
        <v>3</v>
      </c>
      <c r="Q335" s="11">
        <v>2</v>
      </c>
      <c r="R335" s="11">
        <v>3</v>
      </c>
      <c r="S335" s="11">
        <v>2</v>
      </c>
      <c r="T335" s="11">
        <v>2</v>
      </c>
      <c r="U335" s="10">
        <v>4</v>
      </c>
      <c r="V335" s="6">
        <f t="shared" si="30"/>
        <v>22.468354072882818</v>
      </c>
      <c r="W335" s="6">
        <f t="shared" si="31"/>
        <v>25.636361053408841</v>
      </c>
      <c r="X335" s="6">
        <f t="shared" si="32"/>
        <v>28.071622892332162</v>
      </c>
      <c r="Y335" s="6">
        <f t="shared" si="33"/>
        <v>18.039050786910092</v>
      </c>
      <c r="Z335" s="6">
        <f t="shared" si="34"/>
        <v>18.039050786910092</v>
      </c>
      <c r="AA335" s="6">
        <f t="shared" si="35"/>
        <v>4</v>
      </c>
    </row>
    <row r="336" spans="1:27">
      <c r="A336" s="11">
        <v>335</v>
      </c>
      <c r="B336" s="12">
        <v>3</v>
      </c>
      <c r="C336" s="11">
        <v>4</v>
      </c>
      <c r="D336" s="11">
        <v>2</v>
      </c>
      <c r="E336" s="11">
        <v>3</v>
      </c>
      <c r="F336" s="11">
        <v>5</v>
      </c>
      <c r="G336" s="11">
        <v>5</v>
      </c>
      <c r="H336" s="11">
        <v>3</v>
      </c>
      <c r="I336" s="11">
        <v>1</v>
      </c>
      <c r="J336" s="11">
        <v>1</v>
      </c>
      <c r="K336" s="11">
        <v>3</v>
      </c>
      <c r="L336" s="11">
        <v>3</v>
      </c>
      <c r="M336" s="11">
        <v>1</v>
      </c>
      <c r="N336" s="11">
        <v>2</v>
      </c>
      <c r="O336" s="11">
        <v>5</v>
      </c>
      <c r="P336" s="11">
        <v>5</v>
      </c>
      <c r="Q336" s="11">
        <v>3</v>
      </c>
      <c r="R336" s="11">
        <v>1</v>
      </c>
      <c r="S336" s="11">
        <v>5</v>
      </c>
      <c r="T336" s="11">
        <v>2</v>
      </c>
      <c r="U336" s="10">
        <v>5</v>
      </c>
      <c r="V336" s="6">
        <f t="shared" si="30"/>
        <v>23.329512517047995</v>
      </c>
      <c r="W336" s="6">
        <f t="shared" si="31"/>
        <v>35.066821939216752</v>
      </c>
      <c r="X336" s="6">
        <f t="shared" si="32"/>
        <v>43.885021705302059</v>
      </c>
      <c r="Y336" s="6">
        <f t="shared" si="33"/>
        <v>40.85541345636365</v>
      </c>
      <c r="Z336" s="6">
        <f t="shared" si="34"/>
        <v>23.329512517047995</v>
      </c>
      <c r="AA336" s="6">
        <f t="shared" si="35"/>
        <v>1</v>
      </c>
    </row>
    <row r="337" spans="1:27">
      <c r="A337" s="11">
        <v>336</v>
      </c>
      <c r="B337" s="12">
        <v>4</v>
      </c>
      <c r="C337" s="11">
        <v>4</v>
      </c>
      <c r="D337" s="11">
        <v>1</v>
      </c>
      <c r="E337" s="11">
        <v>1</v>
      </c>
      <c r="F337" s="11">
        <v>4</v>
      </c>
      <c r="G337" s="11">
        <v>2</v>
      </c>
      <c r="H337" s="11">
        <v>3</v>
      </c>
      <c r="I337" s="11">
        <v>3</v>
      </c>
      <c r="J337" s="11">
        <v>3</v>
      </c>
      <c r="K337" s="11">
        <v>3</v>
      </c>
      <c r="L337" s="11">
        <v>1</v>
      </c>
      <c r="M337" s="11">
        <v>4</v>
      </c>
      <c r="N337" s="11">
        <v>1</v>
      </c>
      <c r="O337" s="11">
        <v>1</v>
      </c>
      <c r="P337" s="11">
        <v>5</v>
      </c>
      <c r="Q337" s="11">
        <v>1</v>
      </c>
      <c r="R337" s="11">
        <v>3</v>
      </c>
      <c r="S337" s="11">
        <v>4</v>
      </c>
      <c r="T337" s="11">
        <v>3</v>
      </c>
      <c r="U337" s="10">
        <v>2</v>
      </c>
      <c r="V337" s="6">
        <f t="shared" si="30"/>
        <v>46.468298902859942</v>
      </c>
      <c r="W337" s="6">
        <f t="shared" si="31"/>
        <v>36.80092696695062</v>
      </c>
      <c r="X337" s="6">
        <f t="shared" si="32"/>
        <v>33.016803405662912</v>
      </c>
      <c r="Y337" s="6">
        <f t="shared" si="33"/>
        <v>31.304361126476742</v>
      </c>
      <c r="Z337" s="6">
        <f t="shared" si="34"/>
        <v>31.304361126476742</v>
      </c>
      <c r="AA337" s="6">
        <f t="shared" si="35"/>
        <v>4</v>
      </c>
    </row>
    <row r="338" spans="1:27">
      <c r="A338" s="11">
        <v>337</v>
      </c>
      <c r="B338" s="12">
        <v>3</v>
      </c>
      <c r="C338" s="11">
        <v>1</v>
      </c>
      <c r="D338" s="11">
        <v>2</v>
      </c>
      <c r="E338" s="11">
        <v>2</v>
      </c>
      <c r="F338" s="11">
        <v>2</v>
      </c>
      <c r="G338" s="11">
        <v>1</v>
      </c>
      <c r="H338" s="11">
        <v>2</v>
      </c>
      <c r="I338" s="11">
        <v>2</v>
      </c>
      <c r="J338" s="11">
        <v>3</v>
      </c>
      <c r="K338" s="11">
        <v>2</v>
      </c>
      <c r="L338" s="11">
        <v>3</v>
      </c>
      <c r="M338" s="11">
        <v>2</v>
      </c>
      <c r="N338" s="11">
        <v>3</v>
      </c>
      <c r="O338" s="11">
        <v>4</v>
      </c>
      <c r="P338" s="11">
        <v>3</v>
      </c>
      <c r="Q338" s="11">
        <v>2</v>
      </c>
      <c r="R338" s="11">
        <v>2</v>
      </c>
      <c r="S338" s="11">
        <v>2</v>
      </c>
      <c r="T338" s="11">
        <v>4</v>
      </c>
      <c r="U338" s="10">
        <v>3</v>
      </c>
      <c r="V338" s="6">
        <f t="shared" si="30"/>
        <v>24.051642816074438</v>
      </c>
      <c r="W338" s="6">
        <f t="shared" si="31"/>
        <v>23.041437731918098</v>
      </c>
      <c r="X338" s="6">
        <f t="shared" si="32"/>
        <v>14.500298779451139</v>
      </c>
      <c r="Y338" s="6">
        <f t="shared" si="33"/>
        <v>13.610488142605961</v>
      </c>
      <c r="Z338" s="6">
        <f t="shared" si="34"/>
        <v>13.610488142605961</v>
      </c>
      <c r="AA338" s="6">
        <f t="shared" si="35"/>
        <v>4</v>
      </c>
    </row>
    <row r="339" spans="1:27">
      <c r="A339" s="11">
        <v>338</v>
      </c>
      <c r="B339" s="12">
        <v>2</v>
      </c>
      <c r="C339" s="11">
        <v>3</v>
      </c>
      <c r="D339" s="11">
        <v>2</v>
      </c>
      <c r="E339" s="11">
        <v>3</v>
      </c>
      <c r="F339" s="11">
        <v>4</v>
      </c>
      <c r="G339" s="11">
        <v>4</v>
      </c>
      <c r="H339" s="11">
        <v>3</v>
      </c>
      <c r="I339" s="11">
        <v>3</v>
      </c>
      <c r="J339" s="11">
        <v>2</v>
      </c>
      <c r="K339" s="11">
        <v>4</v>
      </c>
      <c r="L339" s="11">
        <v>2</v>
      </c>
      <c r="M339" s="11">
        <v>2</v>
      </c>
      <c r="N339" s="11">
        <v>2</v>
      </c>
      <c r="O339" s="11">
        <v>4</v>
      </c>
      <c r="P339" s="11">
        <v>4</v>
      </c>
      <c r="Q339" s="11">
        <v>3</v>
      </c>
      <c r="R339" s="11">
        <v>3</v>
      </c>
      <c r="S339" s="11">
        <v>4</v>
      </c>
      <c r="T339" s="11">
        <v>4</v>
      </c>
      <c r="U339" s="10">
        <v>5</v>
      </c>
      <c r="V339" s="6">
        <f t="shared" si="30"/>
        <v>11.273931125329986</v>
      </c>
      <c r="W339" s="6">
        <f t="shared" si="31"/>
        <v>10.547852492427168</v>
      </c>
      <c r="X339" s="6">
        <f t="shared" si="32"/>
        <v>24.621288036596908</v>
      </c>
      <c r="Y339" s="6">
        <f t="shared" si="33"/>
        <v>18.671731575659496</v>
      </c>
      <c r="Z339" s="6">
        <f t="shared" si="34"/>
        <v>10.547852492427168</v>
      </c>
      <c r="AA339" s="6">
        <f t="shared" si="35"/>
        <v>2</v>
      </c>
    </row>
    <row r="340" spans="1:27">
      <c r="A340" s="11">
        <v>339</v>
      </c>
      <c r="B340" s="12">
        <v>4</v>
      </c>
      <c r="C340" s="11">
        <v>2</v>
      </c>
      <c r="D340" s="11">
        <v>1</v>
      </c>
      <c r="E340" s="11">
        <v>3</v>
      </c>
      <c r="F340" s="11">
        <v>4</v>
      </c>
      <c r="G340" s="11">
        <v>3</v>
      </c>
      <c r="H340" s="11">
        <v>3</v>
      </c>
      <c r="I340" s="11">
        <v>2</v>
      </c>
      <c r="J340" s="11">
        <v>2</v>
      </c>
      <c r="K340" s="11">
        <v>2</v>
      </c>
      <c r="L340" s="11">
        <v>1</v>
      </c>
      <c r="M340" s="11">
        <v>2</v>
      </c>
      <c r="N340" s="11">
        <v>2</v>
      </c>
      <c r="O340" s="11">
        <v>2</v>
      </c>
      <c r="P340" s="11">
        <v>4</v>
      </c>
      <c r="Q340" s="11">
        <v>1</v>
      </c>
      <c r="R340" s="11">
        <v>3</v>
      </c>
      <c r="S340" s="11">
        <v>2</v>
      </c>
      <c r="T340" s="11">
        <v>3</v>
      </c>
      <c r="U340" s="10">
        <v>2</v>
      </c>
      <c r="V340" s="6">
        <f t="shared" si="30"/>
        <v>18.662767140644036</v>
      </c>
      <c r="W340" s="6">
        <f t="shared" si="31"/>
        <v>25.041408684550909</v>
      </c>
      <c r="X340" s="6">
        <f t="shared" si="32"/>
        <v>9.8409648075080227</v>
      </c>
      <c r="Y340" s="6">
        <f t="shared" si="33"/>
        <v>14.794161281161665</v>
      </c>
      <c r="Z340" s="6">
        <f t="shared" si="34"/>
        <v>9.8409648075080227</v>
      </c>
      <c r="AA340" s="6">
        <f t="shared" si="35"/>
        <v>3</v>
      </c>
    </row>
    <row r="341" spans="1:27">
      <c r="A341" s="8">
        <v>340</v>
      </c>
      <c r="B341" s="9">
        <v>3</v>
      </c>
      <c r="C341" s="8">
        <v>2</v>
      </c>
      <c r="D341" s="8">
        <v>1</v>
      </c>
      <c r="E341" s="8">
        <v>2</v>
      </c>
      <c r="F341" s="8">
        <v>2</v>
      </c>
      <c r="G341" s="8">
        <v>1</v>
      </c>
      <c r="H341" s="8">
        <v>3</v>
      </c>
      <c r="I341" s="8">
        <v>2</v>
      </c>
      <c r="J341" s="8">
        <v>2</v>
      </c>
      <c r="K341" s="8">
        <v>2</v>
      </c>
      <c r="L341" s="8">
        <v>3</v>
      </c>
      <c r="M341" s="8">
        <v>3</v>
      </c>
      <c r="N341" s="8">
        <v>3</v>
      </c>
      <c r="O341" s="8">
        <v>4</v>
      </c>
      <c r="P341" s="8">
        <v>4</v>
      </c>
      <c r="Q341" s="8">
        <v>1</v>
      </c>
      <c r="R341" s="8">
        <v>2</v>
      </c>
      <c r="S341" s="8">
        <v>1</v>
      </c>
      <c r="T341" s="8">
        <v>3</v>
      </c>
      <c r="U341" s="7">
        <v>3</v>
      </c>
      <c r="V341" s="6">
        <f t="shared" si="30"/>
        <v>25.523871856054644</v>
      </c>
      <c r="W341" s="6">
        <f t="shared" si="31"/>
        <v>28.851540605851632</v>
      </c>
      <c r="X341" s="6">
        <f t="shared" si="32"/>
        <v>11.764077847575653</v>
      </c>
      <c r="Y341" s="6">
        <f t="shared" si="33"/>
        <v>14.896178461930726</v>
      </c>
      <c r="Z341" s="6">
        <f t="shared" si="34"/>
        <v>11.764077847575653</v>
      </c>
      <c r="AA341" s="6">
        <f t="shared" si="35"/>
        <v>3</v>
      </c>
    </row>
    <row r="344" spans="1:27">
      <c r="A344" s="22"/>
      <c r="B344" s="22">
        <f>AVERAGE(B2:B341)</f>
        <v>2.8323529411764707</v>
      </c>
      <c r="C344" s="22">
        <f t="shared" ref="C344:U344" si="36">AVERAGE(C2:C341)</f>
        <v>2.302941176470588</v>
      </c>
      <c r="D344" s="22">
        <f t="shared" si="36"/>
        <v>2.1205882352941177</v>
      </c>
      <c r="E344" s="22">
        <f t="shared" si="36"/>
        <v>2.7941176470588234</v>
      </c>
      <c r="F344" s="22">
        <f t="shared" si="36"/>
        <v>2.9794117647058824</v>
      </c>
      <c r="G344" s="22">
        <f t="shared" si="36"/>
        <v>3.0676470588235296</v>
      </c>
      <c r="H344" s="22">
        <f t="shared" si="36"/>
        <v>2.9205882352941175</v>
      </c>
      <c r="I344" s="22">
        <f t="shared" si="36"/>
        <v>2.2411764705882353</v>
      </c>
      <c r="J344" s="22">
        <f t="shared" si="36"/>
        <v>2.0499999999999998</v>
      </c>
      <c r="K344" s="22">
        <f t="shared" si="36"/>
        <v>2.8264705882352943</v>
      </c>
      <c r="L344" s="22">
        <f t="shared" si="36"/>
        <v>2.0205882352941176</v>
      </c>
      <c r="M344" s="22">
        <f t="shared" si="36"/>
        <v>2.2970588235294116</v>
      </c>
      <c r="N344" s="22">
        <f t="shared" si="36"/>
        <v>2.6323529411764706</v>
      </c>
      <c r="O344" s="22">
        <f t="shared" si="36"/>
        <v>3.4617647058823531</v>
      </c>
      <c r="P344" s="22">
        <f t="shared" si="36"/>
        <v>3.5941176470588236</v>
      </c>
      <c r="Q344" s="22">
        <f t="shared" si="36"/>
        <v>2.4294117647058822</v>
      </c>
      <c r="R344" s="22">
        <f t="shared" si="36"/>
        <v>2.4970588235294118</v>
      </c>
      <c r="S344" s="22">
        <f t="shared" si="36"/>
        <v>2.7735294117647058</v>
      </c>
      <c r="T344" s="22">
        <f t="shared" si="36"/>
        <v>2.8911764705882352</v>
      </c>
      <c r="U344" s="22">
        <f t="shared" si="36"/>
        <v>3.1558823529411764</v>
      </c>
    </row>
    <row r="345" spans="1:27">
      <c r="A345" s="22"/>
      <c r="B345" s="22">
        <f>STDEV(B2:B341)</f>
        <v>1.1692270063889219</v>
      </c>
      <c r="C345" s="22">
        <f t="shared" ref="C345:U345" si="37">STDEV(C2:C341)</f>
        <v>1.0158000448133775</v>
      </c>
      <c r="D345" s="22">
        <f t="shared" si="37"/>
        <v>1.0890388205493609</v>
      </c>
      <c r="E345" s="22">
        <f t="shared" si="37"/>
        <v>1.0938123572368363</v>
      </c>
      <c r="F345" s="22">
        <f t="shared" si="37"/>
        <v>1.171006528643914</v>
      </c>
      <c r="G345" s="22">
        <f t="shared" si="37"/>
        <v>1.0963120231285526</v>
      </c>
      <c r="H345" s="22">
        <f t="shared" si="37"/>
        <v>0.86364782091038017</v>
      </c>
      <c r="I345" s="22">
        <f t="shared" si="37"/>
        <v>0.97191161180204455</v>
      </c>
      <c r="J345" s="22">
        <f t="shared" si="37"/>
        <v>0.98086410642873267</v>
      </c>
      <c r="K345" s="22">
        <f t="shared" si="37"/>
        <v>1.0401409093131524</v>
      </c>
      <c r="L345" s="22">
        <f t="shared" si="37"/>
        <v>0.96678752527906797</v>
      </c>
      <c r="M345" s="22">
        <f t="shared" si="37"/>
        <v>1.0433057553682201</v>
      </c>
      <c r="N345" s="22">
        <f t="shared" si="37"/>
        <v>1.0740216342957332</v>
      </c>
      <c r="O345" s="22">
        <f t="shared" si="37"/>
        <v>1.2004214367834716</v>
      </c>
      <c r="P345" s="22">
        <f t="shared" si="37"/>
        <v>1.1183482279592962</v>
      </c>
      <c r="Q345" s="22">
        <f t="shared" si="37"/>
        <v>1.1253395192072044</v>
      </c>
      <c r="R345" s="22">
        <f t="shared" si="37"/>
        <v>1.1037574051887198</v>
      </c>
      <c r="S345" s="22">
        <f t="shared" si="37"/>
        <v>1.1844142282280943</v>
      </c>
      <c r="T345" s="22">
        <f t="shared" si="37"/>
        <v>1.1117149437957972</v>
      </c>
      <c r="U345" s="22">
        <f t="shared" si="37"/>
        <v>1.3155953992603195</v>
      </c>
    </row>
  </sheetData>
  <phoneticPr fontId="1" type="noConversion"/>
  <conditionalFormatting sqref="AK2:AK21">
    <cfRule type="cellIs" dxfId="4" priority="10" operator="lessThan">
      <formula>-0.5</formula>
    </cfRule>
    <cfRule type="cellIs" dxfId="3" priority="11" operator="greaterThan">
      <formula>0.5</formula>
    </cfRule>
  </conditionalFormatting>
  <conditionalFormatting sqref="AE2:AH21">
    <cfRule type="cellIs" dxfId="2" priority="1" operator="greaterThan">
      <formula>3.5</formula>
    </cfRule>
    <cfRule type="cellIs" dxfId="1" priority="2" operator="between">
      <formula>2</formula>
      <formula>2.5</formula>
    </cfRule>
    <cfRule type="cellIs" dxfId="0" priority="3" operator="lessThan">
      <formula>2</formula>
    </cfRule>
  </conditionalFormatting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C19" sqref="C19"/>
    </sheetView>
  </sheetViews>
  <sheetFormatPr defaultRowHeight="16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變數說明</vt:lpstr>
      <vt:lpstr>data(min) (優化前)</vt:lpstr>
      <vt:lpstr>data(min) (優化後)</vt:lpstr>
      <vt:lpstr>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2015-04-15T16:11:17Z</dcterms:created>
  <dcterms:modified xsi:type="dcterms:W3CDTF">2017-03-24T04:00:18Z</dcterms:modified>
</cp:coreProperties>
</file>