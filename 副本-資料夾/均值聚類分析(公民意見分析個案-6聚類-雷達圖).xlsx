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12-3 資料探勘(2014 Excel版)\12 DM Excel 程式\CH05  聚類(一)均值聚類分析\第5章 聚類(一)均值聚類分析 (模板+data)\"/>
    </mc:Choice>
  </mc:AlternateContent>
  <bookViews>
    <workbookView xWindow="0" yWindow="0" windowWidth="23280" windowHeight="12624" activeTab="2"/>
  </bookViews>
  <sheets>
    <sheet name="變數說明" sheetId="2" r:id="rId1"/>
    <sheet name="data(min) (優化前)" sheetId="12" r:id="rId2"/>
    <sheet name="data(min) (優化後)" sheetId="3" r:id="rId3"/>
    <sheet name="說明" sheetId="10" r:id="rId4"/>
  </sheets>
  <externalReferences>
    <externalReference r:id="rId5"/>
  </externalReferences>
  <definedNames>
    <definedName name="BuildDate" hidden="1">3330</definedName>
    <definedName name="BuildNo" hidden="1">54</definedName>
    <definedName name="solver_adj" localSheetId="1" hidden="1">'data(min) (優化前)'!$AG$2:$AL$21</definedName>
    <definedName name="solver_adj" localSheetId="2" hidden="1">'data(min) (優化後)'!$AG$2:$AL$21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'data(min) (優化前)'!$AD$2</definedName>
    <definedName name="solver_opt" localSheetId="2" hidden="1">'data(min) (優化後)'!$AD$2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  <definedName name="SortKeyRange1" localSheetId="1">#REF!,#REF!,#REF!,#REF!,#REF!,#REF!,#REF!,#REF!</definedName>
    <definedName name="SortKeyRange1" localSheetId="3">#REF!,#REF!,#REF!,#REF!,#REF!,#REF!,#REF!,#REF!</definedName>
    <definedName name="SortKeyRange1">#REF!,#REF!,#REF!,#REF!,#REF!,#REF!,#REF!,#REF!</definedName>
    <definedName name="SortKeyRange2" localSheetId="1">#REF!,#REF!,#REF!,#REF!,#REF!,#REF!,#REF!,#REF!</definedName>
    <definedName name="SortKeyRange2" localSheetId="3">#REF!,#REF!,#REF!,#REF!,#REF!,#REF!,#REF!,#REF!</definedName>
    <definedName name="SortKeyRange2">#REF!,#REF!,#REF!,#REF!,#REF!,#REF!,#REF!,#REF!</definedName>
    <definedName name="SortKeyRange3" localSheetId="1">#REF!,#REF!,#REF!,#REF!,#REF!,#REF!,#REF!,#REF!</definedName>
    <definedName name="SortKeyRange3" localSheetId="3">#REF!,#REF!,#REF!,#REF!,#REF!,#REF!,#REF!,#REF!</definedName>
    <definedName name="SortKeyRange3">#REF!,#REF!,#REF!,#REF!,#REF!,#REF!,#REF!,#REF!</definedName>
    <definedName name="SortKeyRange4" localSheetId="1">#REF!,#REF!,#REF!,#REF!,#REF!,#REF!,#REF!,#REF!</definedName>
    <definedName name="SortKeyRange4" localSheetId="3">#REF!,#REF!,#REF!,#REF!,#REF!,#REF!,#REF!,#REF!</definedName>
    <definedName name="SortKeyRange4">#REF!,#REF!,#REF!,#REF!,#REF!,#REF!,#REF!,#REF!</definedName>
    <definedName name="SortRange1" localSheetId="1">#REF!</definedName>
    <definedName name="SortRange1" localSheetId="3">#REF!</definedName>
    <definedName name="SortRange1">#REF!</definedName>
    <definedName name="SortRange2" localSheetId="1">#REF!</definedName>
    <definedName name="SortRange2" localSheetId="3">#REF!</definedName>
    <definedName name="SortRange2">#REF!</definedName>
    <definedName name="SortRange3" localSheetId="1">#REF!</definedName>
    <definedName name="SortRange3" localSheetId="3">#REF!</definedName>
    <definedName name="SortRange3">#REF!</definedName>
    <definedName name="SortRange4" localSheetId="1">#REF!</definedName>
    <definedName name="SortRange4" localSheetId="3">#REF!</definedName>
    <definedName name="SortRange4">#REF!</definedName>
    <definedName name="Vers" hidden="1">" 3.2.4.S"</definedName>
    <definedName name="VersionMajor" hidden="1">3</definedName>
    <definedName name="VersionMinor" hidden="1">2</definedName>
    <definedName name="VersionPatch" hidden="1">4</definedName>
    <definedName name="xlm_OP_DA" localSheetId="1">[1]Templates!#REF!</definedName>
    <definedName name="xlm_OP_DA" localSheetId="3">[1]Templates!#REF!</definedName>
    <definedName name="xlm_OP_DA" localSheetId="0">[1]Templates!#REF!</definedName>
    <definedName name="xlm_OP_DA">[1]Templates!#REF!</definedName>
    <definedName name="xlm_OP_HC" localSheetId="1">[1]Templates!#REF!</definedName>
    <definedName name="xlm_OP_HC" localSheetId="3">[1]Templates!#REF!</definedName>
    <definedName name="xlm_OP_HC" localSheetId="0">[1]Templates!#REF!</definedName>
    <definedName name="xlm_OP_HC">[1]Templates!#REF!</definedName>
    <definedName name="xlm_OP_KNNC" localSheetId="1">[1]Templates!#REF!</definedName>
    <definedName name="xlm_OP_KNNC" localSheetId="3">[1]Templates!#REF!</definedName>
    <definedName name="xlm_OP_KNNC" localSheetId="0">[1]Templates!#REF!</definedName>
    <definedName name="xlm_OP_KNNC">[1]Templates!#REF!</definedName>
    <definedName name="xlm_OP_KNNP" localSheetId="1">[1]Templates!#REF!</definedName>
    <definedName name="xlm_OP_KNNP" localSheetId="3">[1]Templates!#REF!</definedName>
    <definedName name="xlm_OP_KNNP" localSheetId="0">[1]Templates!#REF!</definedName>
    <definedName name="xlm_OP_KNNP">[1]Templates!#REF!</definedName>
    <definedName name="xlm_OP_LR" localSheetId="1">[1]Templates!#REF!</definedName>
    <definedName name="xlm_OP_LR" localSheetId="3">[1]Templates!#REF!</definedName>
    <definedName name="xlm_OP_LR" localSheetId="0">[1]Templates!#REF!</definedName>
    <definedName name="xlm_OP_LR">[1]Templates!#REF!</definedName>
    <definedName name="xlm_OP_MLR" localSheetId="1">[1]Templates!#REF!</definedName>
    <definedName name="xlm_OP_MLR" localSheetId="3">[1]Templates!#REF!</definedName>
    <definedName name="xlm_OP_MLR" localSheetId="0">[1]Templates!#REF!</definedName>
    <definedName name="xlm_OP_MLR">[1]Templates!#REF!</definedName>
    <definedName name="xlm_OP_NB" localSheetId="1">[1]Templates!#REF!</definedName>
    <definedName name="xlm_OP_NB" localSheetId="3">[1]Templates!#REF!</definedName>
    <definedName name="xlm_OP_NB" localSheetId="0">[1]Templates!#REF!</definedName>
    <definedName name="xlm_OP_NB">[1]Templates!#REF!</definedName>
    <definedName name="xlm_OP_NNC" localSheetId="1">[1]Templates!#REF!</definedName>
    <definedName name="xlm_OP_NNC" localSheetId="3">[1]Templates!#REF!</definedName>
    <definedName name="xlm_OP_NNC" localSheetId="0">[1]Templates!#REF!</definedName>
    <definedName name="xlm_OP_NNC">[1]Templates!#REF!</definedName>
    <definedName name="xlm_OP_NNP" localSheetId="1">[1]Templates!#REF!</definedName>
    <definedName name="xlm_OP_NNP" localSheetId="3">[1]Templates!#REF!</definedName>
    <definedName name="xlm_OP_NNP" localSheetId="0">[1]Templates!#REF!</definedName>
    <definedName name="xlm_OP_NNP">[1]Templates!#REF!</definedName>
    <definedName name="xlm_OP_PCA" localSheetId="1">[1]Templates!#REF!</definedName>
    <definedName name="xlm_OP_PCA" localSheetId="3">[1]Templates!#REF!</definedName>
    <definedName name="xlm_OP_PCA" localSheetId="0">[1]Templates!#REF!</definedName>
    <definedName name="xlm_OP_PCA">[1]Templates!#REF!</definedName>
    <definedName name="xlm_PartitionHeaders1" localSheetId="1" hidden="1">#REF!</definedName>
    <definedName name="xlm_PartitionHeaders1" localSheetId="3" hidden="1">#REF!</definedName>
    <definedName name="xlm_PartitionHeaders1" hidden="1">#REF!</definedName>
    <definedName name="xlm_PartitionTraining1" localSheetId="1" hidden="1">#REF!</definedName>
    <definedName name="xlm_PartitionTraining1" localSheetId="3" hidden="1">#REF!</definedName>
    <definedName name="xlm_PartitionTraining1" hidden="1">#REF!</definedName>
    <definedName name="xlm_PartitionValidation1" localSheetId="1" hidden="1">#REF!</definedName>
    <definedName name="xlm_PartitionValidation1" localSheetId="3" hidden="1">#REF!</definedName>
    <definedName name="xlm_PartitionValidation1" hidden="1">#REF!</definedName>
    <definedName name="xlm_PT_BT" localSheetId="1">[1]Templates!#REF!</definedName>
    <definedName name="xlm_PT_BT" localSheetId="3">[1]Templates!#REF!</definedName>
    <definedName name="xlm_PT_BT" localSheetId="0">[1]Templates!#REF!</definedName>
    <definedName name="xlm_PT_BT">[1]Templates!#REF!</definedName>
    <definedName name="xlm_PT_CHC" localSheetId="1">[1]Templates!#REF!</definedName>
    <definedName name="xlm_PT_CHC" localSheetId="3">[1]Templates!#REF!</definedName>
    <definedName name="xlm_PT_CHC" localSheetId="0">[1]Templates!#REF!</definedName>
    <definedName name="xlm_PT_CHC">[1]Templates!#REF!</definedName>
    <definedName name="xlm_PT_CHL" localSheetId="1">[1]Templates!#REF!</definedName>
    <definedName name="xlm_PT_CHL" localSheetId="3">[1]Templates!#REF!</definedName>
    <definedName name="xlm_PT_CHL" localSheetId="0">[1]Templates!#REF!</definedName>
    <definedName name="xlm_PT_CHL">[1]Templates!#REF!</definedName>
    <definedName name="xlm_PT_CHR" localSheetId="1">[1]Templates!#REF!</definedName>
    <definedName name="xlm_PT_CHR" localSheetId="3">[1]Templates!#REF!</definedName>
    <definedName name="xlm_PT_CHR" localSheetId="0">[1]Templates!#REF!</definedName>
    <definedName name="xlm_PT_CHR">[1]Templates!#REF!</definedName>
    <definedName name="xlm_PT_CHRT" localSheetId="1">[1]Templates!#REF!</definedName>
    <definedName name="xlm_PT_CHRT" localSheetId="3">[1]Templates!#REF!</definedName>
    <definedName name="xlm_PT_CHRT" localSheetId="0">[1]Templates!#REF!</definedName>
    <definedName name="xlm_PT_CHRT">[1]Templates!#REF!</definedName>
    <definedName name="xlm_PT_MT" localSheetId="1">[1]Templates!#REF!</definedName>
    <definedName name="xlm_PT_MT" localSheetId="3">[1]Templates!#REF!</definedName>
    <definedName name="xlm_PT_MT" localSheetId="0">[1]Templates!#REF!</definedName>
    <definedName name="xlm_PT_MT">[1]Templates!#REF!</definedName>
    <definedName name="xlm_PT_RHC" localSheetId="1">[1]Templates!#REF!</definedName>
    <definedName name="xlm_PT_RHC" localSheetId="3">[1]Templates!#REF!</definedName>
    <definedName name="xlm_PT_RHC" localSheetId="0">[1]Templates!#REF!</definedName>
    <definedName name="xlm_PT_RHC">[1]Templates!#REF!</definedName>
    <definedName name="xlm_PT_RHL" localSheetId="1">[1]Templates!#REF!</definedName>
    <definedName name="xlm_PT_RHL" localSheetId="3">[1]Templates!#REF!</definedName>
    <definedName name="xlm_PT_RHL" localSheetId="0">[1]Templates!#REF!</definedName>
    <definedName name="xlm_PT_RHL">[1]Templates!#REF!</definedName>
    <definedName name="xlm_PT_RHR" localSheetId="1">[1]Templates!#REF!</definedName>
    <definedName name="xlm_PT_RHR" localSheetId="3">[1]Templates!#REF!</definedName>
    <definedName name="xlm_PT_RHR" localSheetId="0">[1]Templates!#REF!</definedName>
    <definedName name="xlm_PT_RHR">[1]Templates!#REF!</definedName>
    <definedName name="xlm_PT_TVL" localSheetId="1">[1]Templates!#REF!</definedName>
    <definedName name="xlm_PT_TVL" localSheetId="3">[1]Templates!#REF!</definedName>
    <definedName name="xlm_PT_TVL" localSheetId="0">[1]Templates!#REF!</definedName>
    <definedName name="xlm_PT_TVL">[1]Templates!#REF!</definedName>
    <definedName name="xlm_PT_TVR" localSheetId="1">[1]Templates!#REF!</definedName>
    <definedName name="xlm_PT_TVR" localSheetId="3">[1]Templates!#REF!</definedName>
    <definedName name="xlm_PT_TVR" localSheetId="0">[1]Templates!#REF!</definedName>
    <definedName name="xlm_PT_TVR">[1]Templates!#REF!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" i="12" l="1"/>
  <c r="AH2" i="12" l="1"/>
  <c r="AI2" i="12"/>
  <c r="AJ2" i="12"/>
  <c r="AK2" i="12"/>
  <c r="AH3" i="12"/>
  <c r="AI3" i="12"/>
  <c r="AJ3" i="12"/>
  <c r="AK3" i="12"/>
  <c r="AL3" i="12"/>
  <c r="AH4" i="12"/>
  <c r="AI4" i="12"/>
  <c r="AJ4" i="12"/>
  <c r="AK4" i="12"/>
  <c r="AL4" i="12"/>
  <c r="AH5" i="12"/>
  <c r="AI5" i="12"/>
  <c r="AJ5" i="12"/>
  <c r="AK5" i="12"/>
  <c r="AL5" i="12"/>
  <c r="AH6" i="12"/>
  <c r="AI6" i="12"/>
  <c r="AJ6" i="12"/>
  <c r="AK6" i="12"/>
  <c r="AL6" i="12"/>
  <c r="AH7" i="12"/>
  <c r="AI7" i="12"/>
  <c r="AJ7" i="12"/>
  <c r="AK7" i="12"/>
  <c r="AL7" i="12"/>
  <c r="AH8" i="12"/>
  <c r="AI8" i="12"/>
  <c r="AJ8" i="12"/>
  <c r="AK8" i="12"/>
  <c r="AL8" i="12"/>
  <c r="AH9" i="12"/>
  <c r="AI9" i="12"/>
  <c r="AJ9" i="12"/>
  <c r="AK9" i="12"/>
  <c r="AL9" i="12"/>
  <c r="AH10" i="12"/>
  <c r="AI10" i="12"/>
  <c r="AJ10" i="12"/>
  <c r="AK10" i="12"/>
  <c r="AL10" i="12"/>
  <c r="AH11" i="12"/>
  <c r="AI11" i="12"/>
  <c r="AJ11" i="12"/>
  <c r="AK11" i="12"/>
  <c r="AL11" i="12"/>
  <c r="AH12" i="12"/>
  <c r="AI12" i="12"/>
  <c r="AJ12" i="12"/>
  <c r="AK12" i="12"/>
  <c r="AL12" i="12"/>
  <c r="AH13" i="12"/>
  <c r="AI13" i="12"/>
  <c r="AJ13" i="12"/>
  <c r="AK13" i="12"/>
  <c r="AL13" i="12"/>
  <c r="AH14" i="12"/>
  <c r="AI14" i="12"/>
  <c r="AJ14" i="12"/>
  <c r="AK14" i="12"/>
  <c r="AL14" i="12"/>
  <c r="AH15" i="12"/>
  <c r="AI15" i="12"/>
  <c r="AJ15" i="12"/>
  <c r="AK15" i="12"/>
  <c r="AL15" i="12"/>
  <c r="AH16" i="12"/>
  <c r="AI16" i="12"/>
  <c r="AJ16" i="12"/>
  <c r="AK16" i="12"/>
  <c r="AL16" i="12"/>
  <c r="AH17" i="12"/>
  <c r="AI17" i="12"/>
  <c r="AJ17" i="12"/>
  <c r="AK17" i="12"/>
  <c r="AL17" i="12"/>
  <c r="AH18" i="12"/>
  <c r="AI18" i="12"/>
  <c r="AJ18" i="12"/>
  <c r="AK18" i="12"/>
  <c r="AL18" i="12"/>
  <c r="AH19" i="12"/>
  <c r="AI19" i="12"/>
  <c r="AJ19" i="12"/>
  <c r="AK19" i="12"/>
  <c r="AL19" i="12"/>
  <c r="AH20" i="12"/>
  <c r="AI20" i="12"/>
  <c r="AJ20" i="12"/>
  <c r="AK20" i="12"/>
  <c r="AL20" i="12"/>
  <c r="AH21" i="12"/>
  <c r="AI21" i="12"/>
  <c r="AJ21" i="12"/>
  <c r="AK21" i="12"/>
  <c r="AL21" i="12"/>
  <c r="AG3" i="12"/>
  <c r="AG4" i="12"/>
  <c r="AG5" i="12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" i="12"/>
  <c r="V225" i="12" l="1"/>
  <c r="X52" i="12"/>
  <c r="V95" i="12"/>
  <c r="AA171" i="12"/>
  <c r="Z41" i="12"/>
  <c r="V4" i="12"/>
  <c r="Z14" i="12"/>
  <c r="X84" i="12"/>
  <c r="Z6" i="12"/>
  <c r="X20" i="12"/>
  <c r="V63" i="12"/>
  <c r="Z118" i="12"/>
  <c r="Z150" i="12"/>
  <c r="W193" i="12"/>
  <c r="X92" i="12"/>
  <c r="Y182" i="12"/>
  <c r="X9" i="12"/>
  <c r="V31" i="12"/>
  <c r="Z73" i="12"/>
  <c r="V12" i="12"/>
  <c r="V2" i="12"/>
  <c r="Z4" i="12"/>
  <c r="X7" i="12"/>
  <c r="V10" i="12"/>
  <c r="Z12" i="12"/>
  <c r="X15" i="12"/>
  <c r="V23" i="12"/>
  <c r="Z33" i="12"/>
  <c r="X44" i="12"/>
  <c r="V55" i="12"/>
  <c r="Z65" i="12"/>
  <c r="X76" i="12"/>
  <c r="V87" i="12"/>
  <c r="Z97" i="12"/>
  <c r="X129" i="12"/>
  <c r="Z2" i="12"/>
  <c r="X5" i="12"/>
  <c r="V8" i="12"/>
  <c r="Z10" i="12"/>
  <c r="X13" i="12"/>
  <c r="V16" i="12"/>
  <c r="Z25" i="12"/>
  <c r="X36" i="12"/>
  <c r="V47" i="12"/>
  <c r="Z57" i="12"/>
  <c r="X68" i="12"/>
  <c r="V79" i="12"/>
  <c r="Z89" i="12"/>
  <c r="X100" i="12"/>
  <c r="V140" i="12"/>
  <c r="X3" i="12"/>
  <c r="V6" i="12"/>
  <c r="Z8" i="12"/>
  <c r="X11" i="12"/>
  <c r="V14" i="12"/>
  <c r="Z17" i="12"/>
  <c r="X28" i="12"/>
  <c r="V39" i="12"/>
  <c r="Z49" i="12"/>
  <c r="X60" i="12"/>
  <c r="V71" i="12"/>
  <c r="Z81" i="12"/>
  <c r="V108" i="12"/>
  <c r="X214" i="12"/>
  <c r="W185" i="12"/>
  <c r="Y174" i="12"/>
  <c r="X161" i="12"/>
  <c r="AA341" i="12"/>
  <c r="AA340" i="12"/>
  <c r="AA338" i="12"/>
  <c r="AA336" i="12"/>
  <c r="AA334" i="12"/>
  <c r="AA332" i="12"/>
  <c r="AA330" i="12"/>
  <c r="AA328" i="12"/>
  <c r="AA326" i="12"/>
  <c r="AA324" i="12"/>
  <c r="AA322" i="12"/>
  <c r="AA320" i="12"/>
  <c r="AA318" i="12"/>
  <c r="AA316" i="12"/>
  <c r="AA314" i="12"/>
  <c r="AA312" i="12"/>
  <c r="AA310" i="12"/>
  <c r="AA308" i="12"/>
  <c r="AA306" i="12"/>
  <c r="AA304" i="12"/>
  <c r="AA302" i="12"/>
  <c r="AA300" i="12"/>
  <c r="AA298" i="12"/>
  <c r="AA296" i="12"/>
  <c r="AA294" i="12"/>
  <c r="AA292" i="12"/>
  <c r="AA290" i="12"/>
  <c r="AA288" i="12"/>
  <c r="AA286" i="12"/>
  <c r="AA335" i="12"/>
  <c r="AA327" i="12"/>
  <c r="AA319" i="12"/>
  <c r="AA311" i="12"/>
  <c r="AA303" i="12"/>
  <c r="AA295" i="12"/>
  <c r="AA287" i="12"/>
  <c r="AA337" i="12"/>
  <c r="AA329" i="12"/>
  <c r="AA321" i="12"/>
  <c r="AA313" i="12"/>
  <c r="AA305" i="12"/>
  <c r="AA297" i="12"/>
  <c r="AA289" i="12"/>
  <c r="AA283" i="12"/>
  <c r="AA281" i="12"/>
  <c r="AA279" i="12"/>
  <c r="AA277" i="12"/>
  <c r="AA275" i="12"/>
  <c r="AA273" i="12"/>
  <c r="AA271" i="12"/>
  <c r="AA269" i="12"/>
  <c r="AA267" i="12"/>
  <c r="AA265" i="12"/>
  <c r="AA263" i="12"/>
  <c r="AA261" i="12"/>
  <c r="AA259" i="12"/>
  <c r="AA257" i="12"/>
  <c r="AA255" i="12"/>
  <c r="AA253" i="12"/>
  <c r="AA251" i="12"/>
  <c r="AA249" i="12"/>
  <c r="AA247" i="12"/>
  <c r="AA245" i="12"/>
  <c r="AA243" i="12"/>
  <c r="AA339" i="12"/>
  <c r="AA331" i="12"/>
  <c r="AA323" i="12"/>
  <c r="AA315" i="12"/>
  <c r="AA307" i="12"/>
  <c r="AA299" i="12"/>
  <c r="AA291" i="12"/>
  <c r="AA317" i="12"/>
  <c r="AA285" i="12"/>
  <c r="AA282" i="12"/>
  <c r="AA274" i="12"/>
  <c r="AA266" i="12"/>
  <c r="AA258" i="12"/>
  <c r="AA250" i="12"/>
  <c r="AA240" i="12"/>
  <c r="AA238" i="12"/>
  <c r="AA236" i="12"/>
  <c r="AA234" i="12"/>
  <c r="AA232" i="12"/>
  <c r="AA230" i="12"/>
  <c r="AA228" i="12"/>
  <c r="AA226" i="12"/>
  <c r="AA224" i="12"/>
  <c r="AA222" i="12"/>
  <c r="AA220" i="12"/>
  <c r="AA218" i="12"/>
  <c r="AA216" i="12"/>
  <c r="AA214" i="12"/>
  <c r="AA212" i="12"/>
  <c r="AA210" i="12"/>
  <c r="AA208" i="12"/>
  <c r="AA206" i="12"/>
  <c r="AA204" i="12"/>
  <c r="AA202" i="12"/>
  <c r="AA200" i="12"/>
  <c r="AA325" i="12"/>
  <c r="AA293" i="12"/>
  <c r="AA284" i="12"/>
  <c r="AA276" i="12"/>
  <c r="AA268" i="12"/>
  <c r="AA260" i="12"/>
  <c r="AA252" i="12"/>
  <c r="AA244" i="12"/>
  <c r="AA242" i="12"/>
  <c r="AA333" i="12"/>
  <c r="AA301" i="12"/>
  <c r="AA278" i="12"/>
  <c r="AA270" i="12"/>
  <c r="AA262" i="12"/>
  <c r="AA254" i="12"/>
  <c r="AA246" i="12"/>
  <c r="AA241" i="12"/>
  <c r="AA239" i="12"/>
  <c r="AA237" i="12"/>
  <c r="AA235" i="12"/>
  <c r="AA233" i="12"/>
  <c r="AA231" i="12"/>
  <c r="AA229" i="12"/>
  <c r="AA227" i="12"/>
  <c r="AA225" i="12"/>
  <c r="AA223" i="12"/>
  <c r="AA221" i="12"/>
  <c r="AA219" i="12"/>
  <c r="AA217" i="12"/>
  <c r="AA215" i="12"/>
  <c r="AA213" i="12"/>
  <c r="AA211" i="12"/>
  <c r="AA209" i="12"/>
  <c r="AA207" i="12"/>
  <c r="AA205" i="12"/>
  <c r="AA203" i="12"/>
  <c r="AA201" i="12"/>
  <c r="AA264" i="12"/>
  <c r="AA167" i="12"/>
  <c r="AA165" i="12"/>
  <c r="AA163" i="12"/>
  <c r="AA161" i="12"/>
  <c r="AA159" i="12"/>
  <c r="AA157" i="12"/>
  <c r="AA155" i="12"/>
  <c r="AA153" i="12"/>
  <c r="AA151" i="12"/>
  <c r="AA149" i="12"/>
  <c r="AA147" i="12"/>
  <c r="AA145" i="12"/>
  <c r="AA143" i="12"/>
  <c r="AA141" i="12"/>
  <c r="AA139" i="12"/>
  <c r="AA137" i="12"/>
  <c r="AA135" i="12"/>
  <c r="AA133" i="12"/>
  <c r="AA131" i="12"/>
  <c r="AA129" i="12"/>
  <c r="AA127" i="12"/>
  <c r="AA125" i="12"/>
  <c r="AA123" i="12"/>
  <c r="AA121" i="12"/>
  <c r="AA119" i="12"/>
  <c r="AA117" i="12"/>
  <c r="AA115" i="12"/>
  <c r="AA113" i="12"/>
  <c r="AA111" i="12"/>
  <c r="AA109" i="12"/>
  <c r="AA107" i="12"/>
  <c r="AA105" i="12"/>
  <c r="AA103" i="12"/>
  <c r="AA101" i="12"/>
  <c r="AA272" i="12"/>
  <c r="AA198" i="12"/>
  <c r="AA196" i="12"/>
  <c r="AA194" i="12"/>
  <c r="AA192" i="12"/>
  <c r="AA190" i="12"/>
  <c r="AA188" i="12"/>
  <c r="AA186" i="12"/>
  <c r="AA184" i="12"/>
  <c r="AA182" i="12"/>
  <c r="AA180" i="12"/>
  <c r="AA178" i="12"/>
  <c r="AA176" i="12"/>
  <c r="AA174" i="12"/>
  <c r="AA172" i="12"/>
  <c r="AA170" i="12"/>
  <c r="AA309" i="12"/>
  <c r="AA280" i="12"/>
  <c r="AA248" i="12"/>
  <c r="AA168" i="12"/>
  <c r="AA166" i="12"/>
  <c r="AA164" i="12"/>
  <c r="AA162" i="12"/>
  <c r="AA160" i="12"/>
  <c r="AA158" i="12"/>
  <c r="AA156" i="12"/>
  <c r="AA154" i="12"/>
  <c r="AA152" i="12"/>
  <c r="AA150" i="12"/>
  <c r="AA148" i="12"/>
  <c r="AA146" i="12"/>
  <c r="AA144" i="12"/>
  <c r="AA142" i="12"/>
  <c r="AA140" i="12"/>
  <c r="AA138" i="12"/>
  <c r="AA136" i="12"/>
  <c r="AA134" i="12"/>
  <c r="AA132" i="12"/>
  <c r="AA130" i="12"/>
  <c r="AA128" i="12"/>
  <c r="AA126" i="12"/>
  <c r="AA124" i="12"/>
  <c r="AA122" i="12"/>
  <c r="AA120" i="12"/>
  <c r="AA118" i="12"/>
  <c r="AA116" i="12"/>
  <c r="AA114" i="12"/>
  <c r="AA112" i="12"/>
  <c r="AA110" i="12"/>
  <c r="AA108" i="12"/>
  <c r="AA106" i="12"/>
  <c r="AA104" i="12"/>
  <c r="AA102" i="12"/>
  <c r="AA197" i="12"/>
  <c r="AA189" i="12"/>
  <c r="AA181" i="12"/>
  <c r="AA173" i="12"/>
  <c r="AA100" i="12"/>
  <c r="AA98" i="12"/>
  <c r="AA96" i="12"/>
  <c r="AA94" i="12"/>
  <c r="AA92" i="12"/>
  <c r="AA90" i="12"/>
  <c r="AA88" i="12"/>
  <c r="AA86" i="12"/>
  <c r="AA84" i="12"/>
  <c r="AA82" i="12"/>
  <c r="AA80" i="12"/>
  <c r="AA78" i="12"/>
  <c r="AA76" i="12"/>
  <c r="AA74" i="12"/>
  <c r="AA72" i="12"/>
  <c r="AA70" i="12"/>
  <c r="AA68" i="12"/>
  <c r="AA66" i="12"/>
  <c r="AA64" i="12"/>
  <c r="AA62" i="12"/>
  <c r="AA60" i="12"/>
  <c r="AA58" i="12"/>
  <c r="AA56" i="12"/>
  <c r="AA54" i="12"/>
  <c r="AA52" i="12"/>
  <c r="AA50" i="12"/>
  <c r="AA48" i="12"/>
  <c r="AA46" i="12"/>
  <c r="AA44" i="12"/>
  <c r="AA42" i="12"/>
  <c r="AA40" i="12"/>
  <c r="AA38" i="12"/>
  <c r="AA36" i="12"/>
  <c r="AA34" i="12"/>
  <c r="AA32" i="12"/>
  <c r="AA30" i="12"/>
  <c r="AA28" i="12"/>
  <c r="AA26" i="12"/>
  <c r="AA24" i="12"/>
  <c r="AA22" i="12"/>
  <c r="AA20" i="12"/>
  <c r="AA18" i="12"/>
  <c r="AA16" i="12"/>
  <c r="AA199" i="12"/>
  <c r="AA191" i="12"/>
  <c r="AA183" i="12"/>
  <c r="AA175" i="12"/>
  <c r="AA193" i="12"/>
  <c r="AA185" i="12"/>
  <c r="AA177" i="12"/>
  <c r="AA169" i="12"/>
  <c r="AA99" i="12"/>
  <c r="AA97" i="12"/>
  <c r="AA95" i="12"/>
  <c r="AA93" i="12"/>
  <c r="AA91" i="12"/>
  <c r="AA89" i="12"/>
  <c r="AA87" i="12"/>
  <c r="AA85" i="12"/>
  <c r="AA83" i="12"/>
  <c r="AA81" i="12"/>
  <c r="AA79" i="12"/>
  <c r="AA77" i="12"/>
  <c r="AA75" i="12"/>
  <c r="AA73" i="12"/>
  <c r="AA71" i="12"/>
  <c r="AA69" i="12"/>
  <c r="AA67" i="12"/>
  <c r="AA65" i="12"/>
  <c r="AA63" i="12"/>
  <c r="AA61" i="12"/>
  <c r="AA59" i="12"/>
  <c r="AA57" i="12"/>
  <c r="AA55" i="12"/>
  <c r="AA53" i="12"/>
  <c r="AA51" i="12"/>
  <c r="AA49" i="12"/>
  <c r="AA47" i="12"/>
  <c r="AA45" i="12"/>
  <c r="AA43" i="12"/>
  <c r="AA41" i="12"/>
  <c r="AA39" i="12"/>
  <c r="AA37" i="12"/>
  <c r="AA35" i="12"/>
  <c r="AA33" i="12"/>
  <c r="AA31" i="12"/>
  <c r="AA29" i="12"/>
  <c r="AA27" i="12"/>
  <c r="AA25" i="12"/>
  <c r="AA23" i="12"/>
  <c r="AA21" i="12"/>
  <c r="AA19" i="12"/>
  <c r="AA17" i="12"/>
  <c r="X340" i="12"/>
  <c r="X338" i="12"/>
  <c r="X336" i="12"/>
  <c r="X334" i="12"/>
  <c r="X332" i="12"/>
  <c r="X330" i="12"/>
  <c r="X328" i="12"/>
  <c r="X326" i="12"/>
  <c r="X324" i="12"/>
  <c r="X322" i="12"/>
  <c r="X320" i="12"/>
  <c r="X318" i="12"/>
  <c r="X316" i="12"/>
  <c r="X314" i="12"/>
  <c r="X312" i="12"/>
  <c r="X310" i="12"/>
  <c r="X308" i="12"/>
  <c r="X306" i="12"/>
  <c r="X304" i="12"/>
  <c r="X302" i="12"/>
  <c r="X300" i="12"/>
  <c r="X298" i="12"/>
  <c r="X296" i="12"/>
  <c r="X294" i="12"/>
  <c r="X292" i="12"/>
  <c r="X290" i="12"/>
  <c r="X288" i="12"/>
  <c r="X286" i="12"/>
  <c r="X339" i="12"/>
  <c r="X337" i="12"/>
  <c r="X335" i="12"/>
  <c r="X333" i="12"/>
  <c r="X331" i="12"/>
  <c r="X329" i="12"/>
  <c r="X327" i="12"/>
  <c r="X325" i="12"/>
  <c r="X323" i="12"/>
  <c r="X321" i="12"/>
  <c r="X319" i="12"/>
  <c r="X317" i="12"/>
  <c r="X315" i="12"/>
  <c r="X313" i="12"/>
  <c r="X311" i="12"/>
  <c r="X309" i="12"/>
  <c r="X307" i="12"/>
  <c r="X305" i="12"/>
  <c r="X303" i="12"/>
  <c r="X301" i="12"/>
  <c r="X299" i="12"/>
  <c r="X297" i="12"/>
  <c r="X295" i="12"/>
  <c r="X293" i="12"/>
  <c r="X291" i="12"/>
  <c r="X289" i="12"/>
  <c r="X287" i="12"/>
  <c r="X285" i="12"/>
  <c r="X341" i="12"/>
  <c r="X283" i="12"/>
  <c r="X281" i="12"/>
  <c r="X279" i="12"/>
  <c r="X277" i="12"/>
  <c r="X275" i="12"/>
  <c r="X273" i="12"/>
  <c r="X271" i="12"/>
  <c r="X269" i="12"/>
  <c r="X267" i="12"/>
  <c r="X265" i="12"/>
  <c r="X263" i="12"/>
  <c r="X261" i="12"/>
  <c r="X259" i="12"/>
  <c r="X257" i="12"/>
  <c r="X255" i="12"/>
  <c r="X253" i="12"/>
  <c r="X251" i="12"/>
  <c r="X249" i="12"/>
  <c r="X247" i="12"/>
  <c r="X245" i="12"/>
  <c r="X243" i="12"/>
  <c r="X284" i="12"/>
  <c r="X282" i="12"/>
  <c r="X280" i="12"/>
  <c r="X278" i="12"/>
  <c r="X276" i="12"/>
  <c r="X274" i="12"/>
  <c r="X272" i="12"/>
  <c r="X270" i="12"/>
  <c r="X268" i="12"/>
  <c r="X266" i="12"/>
  <c r="X264" i="12"/>
  <c r="X262" i="12"/>
  <c r="X260" i="12"/>
  <c r="X258" i="12"/>
  <c r="X256" i="12"/>
  <c r="X254" i="12"/>
  <c r="X252" i="12"/>
  <c r="X250" i="12"/>
  <c r="X248" i="12"/>
  <c r="X246" i="12"/>
  <c r="X244" i="12"/>
  <c r="X242" i="12"/>
  <c r="X241" i="12"/>
  <c r="X239" i="12"/>
  <c r="X237" i="12"/>
  <c r="X235" i="12"/>
  <c r="X233" i="12"/>
  <c r="X231" i="12"/>
  <c r="X229" i="12"/>
  <c r="X227" i="12"/>
  <c r="X225" i="12"/>
  <c r="X223" i="12"/>
  <c r="X221" i="12"/>
  <c r="X219" i="12"/>
  <c r="X217" i="12"/>
  <c r="X215" i="12"/>
  <c r="X213" i="12"/>
  <c r="X211" i="12"/>
  <c r="X209" i="12"/>
  <c r="X207" i="12"/>
  <c r="X205" i="12"/>
  <c r="X203" i="12"/>
  <c r="X201" i="12"/>
  <c r="X240" i="12"/>
  <c r="X232" i="12"/>
  <c r="X224" i="12"/>
  <c r="X216" i="12"/>
  <c r="X208" i="12"/>
  <c r="X200" i="12"/>
  <c r="X198" i="12"/>
  <c r="X196" i="12"/>
  <c r="X194" i="12"/>
  <c r="X192" i="12"/>
  <c r="X190" i="12"/>
  <c r="X188" i="12"/>
  <c r="X186" i="12"/>
  <c r="X184" i="12"/>
  <c r="X182" i="12"/>
  <c r="X180" i="12"/>
  <c r="X178" i="12"/>
  <c r="X176" i="12"/>
  <c r="X174" i="12"/>
  <c r="X172" i="12"/>
  <c r="X170" i="12"/>
  <c r="X234" i="12"/>
  <c r="X226" i="12"/>
  <c r="X218" i="12"/>
  <c r="X210" i="12"/>
  <c r="X202" i="12"/>
  <c r="X168" i="12"/>
  <c r="X166" i="12"/>
  <c r="X164" i="12"/>
  <c r="X162" i="12"/>
  <c r="X160" i="12"/>
  <c r="X158" i="12"/>
  <c r="X156" i="12"/>
  <c r="X154" i="12"/>
  <c r="X152" i="12"/>
  <c r="X150" i="12"/>
  <c r="X148" i="12"/>
  <c r="X146" i="12"/>
  <c r="X144" i="12"/>
  <c r="X142" i="12"/>
  <c r="X140" i="12"/>
  <c r="X138" i="12"/>
  <c r="X136" i="12"/>
  <c r="X134" i="12"/>
  <c r="X132" i="12"/>
  <c r="X130" i="12"/>
  <c r="X128" i="12"/>
  <c r="X126" i="12"/>
  <c r="X124" i="12"/>
  <c r="X122" i="12"/>
  <c r="X120" i="12"/>
  <c r="X118" i="12"/>
  <c r="X116" i="12"/>
  <c r="X114" i="12"/>
  <c r="X112" i="12"/>
  <c r="X110" i="12"/>
  <c r="X108" i="12"/>
  <c r="X106" i="12"/>
  <c r="X104" i="12"/>
  <c r="X102" i="12"/>
  <c r="X236" i="12"/>
  <c r="X228" i="12"/>
  <c r="X220" i="12"/>
  <c r="X212" i="12"/>
  <c r="X204" i="12"/>
  <c r="X199" i="12"/>
  <c r="X197" i="12"/>
  <c r="X195" i="12"/>
  <c r="X193" i="12"/>
  <c r="X191" i="12"/>
  <c r="X189" i="12"/>
  <c r="X187" i="12"/>
  <c r="X185" i="12"/>
  <c r="X183" i="12"/>
  <c r="X181" i="12"/>
  <c r="X179" i="12"/>
  <c r="X177" i="12"/>
  <c r="X175" i="12"/>
  <c r="X173" i="12"/>
  <c r="X171" i="12"/>
  <c r="X169" i="12"/>
  <c r="X222" i="12"/>
  <c r="X163" i="12"/>
  <c r="X155" i="12"/>
  <c r="X147" i="12"/>
  <c r="X139" i="12"/>
  <c r="X131" i="12"/>
  <c r="X123" i="12"/>
  <c r="X115" i="12"/>
  <c r="X107" i="12"/>
  <c r="X230" i="12"/>
  <c r="X165" i="12"/>
  <c r="X157" i="12"/>
  <c r="X149" i="12"/>
  <c r="X141" i="12"/>
  <c r="X133" i="12"/>
  <c r="X125" i="12"/>
  <c r="X117" i="12"/>
  <c r="X109" i="12"/>
  <c r="X101" i="12"/>
  <c r="X99" i="12"/>
  <c r="X97" i="12"/>
  <c r="X95" i="12"/>
  <c r="X93" i="12"/>
  <c r="X91" i="12"/>
  <c r="X89" i="12"/>
  <c r="X87" i="12"/>
  <c r="X85" i="12"/>
  <c r="X83" i="12"/>
  <c r="X81" i="12"/>
  <c r="X79" i="12"/>
  <c r="X77" i="12"/>
  <c r="X75" i="12"/>
  <c r="X73" i="12"/>
  <c r="X71" i="12"/>
  <c r="X69" i="12"/>
  <c r="X67" i="12"/>
  <c r="X65" i="12"/>
  <c r="X63" i="12"/>
  <c r="X61" i="12"/>
  <c r="X59" i="12"/>
  <c r="X57" i="12"/>
  <c r="X55" i="12"/>
  <c r="X53" i="12"/>
  <c r="X51" i="12"/>
  <c r="X49" i="12"/>
  <c r="X47" i="12"/>
  <c r="X45" i="12"/>
  <c r="X43" i="12"/>
  <c r="X41" i="12"/>
  <c r="X39" i="12"/>
  <c r="X37" i="12"/>
  <c r="X35" i="12"/>
  <c r="X33" i="12"/>
  <c r="X31" i="12"/>
  <c r="X29" i="12"/>
  <c r="X27" i="12"/>
  <c r="X25" i="12"/>
  <c r="X23" i="12"/>
  <c r="X21" i="12"/>
  <c r="X19" i="12"/>
  <c r="X17" i="12"/>
  <c r="X238" i="12"/>
  <c r="X206" i="12"/>
  <c r="X167" i="12"/>
  <c r="X159" i="12"/>
  <c r="X151" i="12"/>
  <c r="X143" i="12"/>
  <c r="X135" i="12"/>
  <c r="X127" i="12"/>
  <c r="X119" i="12"/>
  <c r="X111" i="12"/>
  <c r="X103" i="12"/>
  <c r="Z339" i="12"/>
  <c r="Z337" i="12"/>
  <c r="Z335" i="12"/>
  <c r="Z333" i="12"/>
  <c r="Z331" i="12"/>
  <c r="Z329" i="12"/>
  <c r="Z327" i="12"/>
  <c r="Z325" i="12"/>
  <c r="Z323" i="12"/>
  <c r="Z321" i="12"/>
  <c r="Z319" i="12"/>
  <c r="Z317" i="12"/>
  <c r="Z315" i="12"/>
  <c r="Z313" i="12"/>
  <c r="Z311" i="12"/>
  <c r="Z309" i="12"/>
  <c r="Z307" i="12"/>
  <c r="Z305" i="12"/>
  <c r="Z303" i="12"/>
  <c r="Z301" i="12"/>
  <c r="Z299" i="12"/>
  <c r="Z297" i="12"/>
  <c r="Z295" i="12"/>
  <c r="Z293" i="12"/>
  <c r="Z291" i="12"/>
  <c r="Z289" i="12"/>
  <c r="Z287" i="12"/>
  <c r="Z285" i="12"/>
  <c r="Z341" i="12"/>
  <c r="Z340" i="12"/>
  <c r="Z338" i="12"/>
  <c r="Z336" i="12"/>
  <c r="Z334" i="12"/>
  <c r="Z332" i="12"/>
  <c r="Z330" i="12"/>
  <c r="Z328" i="12"/>
  <c r="Z326" i="12"/>
  <c r="Z324" i="12"/>
  <c r="Z322" i="12"/>
  <c r="Z320" i="12"/>
  <c r="Z318" i="12"/>
  <c r="Z316" i="12"/>
  <c r="Z314" i="12"/>
  <c r="Z312" i="12"/>
  <c r="Z310" i="12"/>
  <c r="Z308" i="12"/>
  <c r="Z306" i="12"/>
  <c r="Z304" i="12"/>
  <c r="Z302" i="12"/>
  <c r="Z300" i="12"/>
  <c r="Z298" i="12"/>
  <c r="Z296" i="12"/>
  <c r="Z294" i="12"/>
  <c r="Z292" i="12"/>
  <c r="Z290" i="12"/>
  <c r="Z288" i="12"/>
  <c r="Z286" i="12"/>
  <c r="Z284" i="12"/>
  <c r="Z282" i="12"/>
  <c r="Z280" i="12"/>
  <c r="Z278" i="12"/>
  <c r="Z276" i="12"/>
  <c r="Z274" i="12"/>
  <c r="Z272" i="12"/>
  <c r="Z270" i="12"/>
  <c r="Z268" i="12"/>
  <c r="Z266" i="12"/>
  <c r="Z264" i="12"/>
  <c r="Z262" i="12"/>
  <c r="Z260" i="12"/>
  <c r="Z258" i="12"/>
  <c r="Z256" i="12"/>
  <c r="Z254" i="12"/>
  <c r="Z252" i="12"/>
  <c r="Z250" i="12"/>
  <c r="Z248" i="12"/>
  <c r="Z246" i="12"/>
  <c r="Z244" i="12"/>
  <c r="Z283" i="12"/>
  <c r="Z281" i="12"/>
  <c r="Z279" i="12"/>
  <c r="Z277" i="12"/>
  <c r="Z275" i="12"/>
  <c r="Z273" i="12"/>
  <c r="Z271" i="12"/>
  <c r="Z269" i="12"/>
  <c r="Z267" i="12"/>
  <c r="Z265" i="12"/>
  <c r="Z263" i="12"/>
  <c r="Z261" i="12"/>
  <c r="Z259" i="12"/>
  <c r="Z257" i="12"/>
  <c r="Z255" i="12"/>
  <c r="Z253" i="12"/>
  <c r="Z251" i="12"/>
  <c r="Z249" i="12"/>
  <c r="Z247" i="12"/>
  <c r="Z245" i="12"/>
  <c r="Z243" i="12"/>
  <c r="Z240" i="12"/>
  <c r="Z238" i="12"/>
  <c r="Z236" i="12"/>
  <c r="Z234" i="12"/>
  <c r="Z232" i="12"/>
  <c r="Z230" i="12"/>
  <c r="Z228" i="12"/>
  <c r="Z226" i="12"/>
  <c r="Z224" i="12"/>
  <c r="Z222" i="12"/>
  <c r="Z220" i="12"/>
  <c r="Z218" i="12"/>
  <c r="Z216" i="12"/>
  <c r="Z214" i="12"/>
  <c r="Z212" i="12"/>
  <c r="Z210" i="12"/>
  <c r="Z208" i="12"/>
  <c r="Z206" i="12"/>
  <c r="Z204" i="12"/>
  <c r="Z202" i="12"/>
  <c r="Z200" i="12"/>
  <c r="Z242" i="12"/>
  <c r="Z237" i="12"/>
  <c r="Z229" i="12"/>
  <c r="Z221" i="12"/>
  <c r="Z213" i="12"/>
  <c r="Z205" i="12"/>
  <c r="Z199" i="12"/>
  <c r="Z197" i="12"/>
  <c r="Z195" i="12"/>
  <c r="Z193" i="12"/>
  <c r="Z191" i="12"/>
  <c r="Z189" i="12"/>
  <c r="Z187" i="12"/>
  <c r="Z185" i="12"/>
  <c r="Z183" i="12"/>
  <c r="Z181" i="12"/>
  <c r="Z179" i="12"/>
  <c r="Z177" i="12"/>
  <c r="Z175" i="12"/>
  <c r="Z173" i="12"/>
  <c r="Z171" i="12"/>
  <c r="Z169" i="12"/>
  <c r="Z239" i="12"/>
  <c r="Z231" i="12"/>
  <c r="Z223" i="12"/>
  <c r="Z215" i="12"/>
  <c r="Z207" i="12"/>
  <c r="Z167" i="12"/>
  <c r="Z165" i="12"/>
  <c r="Z163" i="12"/>
  <c r="Z161" i="12"/>
  <c r="Z159" i="12"/>
  <c r="Z157" i="12"/>
  <c r="Z155" i="12"/>
  <c r="Z153" i="12"/>
  <c r="Z151" i="12"/>
  <c r="Z149" i="12"/>
  <c r="Z147" i="12"/>
  <c r="Z145" i="12"/>
  <c r="Z143" i="12"/>
  <c r="Z141" i="12"/>
  <c r="Z139" i="12"/>
  <c r="Z137" i="12"/>
  <c r="Z135" i="12"/>
  <c r="Z133" i="12"/>
  <c r="Z131" i="12"/>
  <c r="Z129" i="12"/>
  <c r="Z127" i="12"/>
  <c r="Z125" i="12"/>
  <c r="Z123" i="12"/>
  <c r="Z121" i="12"/>
  <c r="Z119" i="12"/>
  <c r="Z117" i="12"/>
  <c r="Z115" i="12"/>
  <c r="Z113" i="12"/>
  <c r="Z111" i="12"/>
  <c r="Z109" i="12"/>
  <c r="Z107" i="12"/>
  <c r="Z105" i="12"/>
  <c r="Z103" i="12"/>
  <c r="Z101" i="12"/>
  <c r="Z241" i="12"/>
  <c r="Z233" i="12"/>
  <c r="Z225" i="12"/>
  <c r="Z217" i="12"/>
  <c r="Z209" i="12"/>
  <c r="Z201" i="12"/>
  <c r="Z198" i="12"/>
  <c r="Z196" i="12"/>
  <c r="Z194" i="12"/>
  <c r="Z192" i="12"/>
  <c r="Z190" i="12"/>
  <c r="Z188" i="12"/>
  <c r="Z186" i="12"/>
  <c r="Z184" i="12"/>
  <c r="Z182" i="12"/>
  <c r="Z180" i="12"/>
  <c r="Z178" i="12"/>
  <c r="Z176" i="12"/>
  <c r="Z174" i="12"/>
  <c r="Z172" i="12"/>
  <c r="Z170" i="12"/>
  <c r="Z211" i="12"/>
  <c r="Z168" i="12"/>
  <c r="Z160" i="12"/>
  <c r="Z152" i="12"/>
  <c r="Z144" i="12"/>
  <c r="Z136" i="12"/>
  <c r="Z128" i="12"/>
  <c r="Z120" i="12"/>
  <c r="Z112" i="12"/>
  <c r="Z104" i="12"/>
  <c r="Z219" i="12"/>
  <c r="Z162" i="12"/>
  <c r="Z154" i="12"/>
  <c r="Z146" i="12"/>
  <c r="Z138" i="12"/>
  <c r="Z130" i="12"/>
  <c r="Z122" i="12"/>
  <c r="Z114" i="12"/>
  <c r="Z106" i="12"/>
  <c r="Z100" i="12"/>
  <c r="Z98" i="12"/>
  <c r="Z96" i="12"/>
  <c r="Z94" i="12"/>
  <c r="Z92" i="12"/>
  <c r="Z90" i="12"/>
  <c r="Z88" i="12"/>
  <c r="Z86" i="12"/>
  <c r="Z84" i="12"/>
  <c r="Z82" i="12"/>
  <c r="Z80" i="12"/>
  <c r="Z78" i="12"/>
  <c r="Z76" i="12"/>
  <c r="Z74" i="12"/>
  <c r="Z72" i="12"/>
  <c r="Z70" i="12"/>
  <c r="Z68" i="12"/>
  <c r="Z66" i="12"/>
  <c r="Z64" i="12"/>
  <c r="Z62" i="12"/>
  <c r="Z60" i="12"/>
  <c r="Z58" i="12"/>
  <c r="Z56" i="12"/>
  <c r="Z54" i="12"/>
  <c r="Z52" i="12"/>
  <c r="Z50" i="12"/>
  <c r="Z48" i="12"/>
  <c r="Z46" i="12"/>
  <c r="Z44" i="12"/>
  <c r="Z42" i="12"/>
  <c r="Z40" i="12"/>
  <c r="Z38" i="12"/>
  <c r="Z36" i="12"/>
  <c r="Z34" i="12"/>
  <c r="Z32" i="12"/>
  <c r="Z30" i="12"/>
  <c r="Z28" i="12"/>
  <c r="Z26" i="12"/>
  <c r="Z24" i="12"/>
  <c r="Z22" i="12"/>
  <c r="Z20" i="12"/>
  <c r="Z18" i="12"/>
  <c r="Z16" i="12"/>
  <c r="Z227" i="12"/>
  <c r="Z164" i="12"/>
  <c r="Z156" i="12"/>
  <c r="Z148" i="12"/>
  <c r="Z140" i="12"/>
  <c r="Z132" i="12"/>
  <c r="Z124" i="12"/>
  <c r="Z116" i="12"/>
  <c r="Z108" i="12"/>
  <c r="W2" i="12"/>
  <c r="AA2" i="12"/>
  <c r="Y3" i="12"/>
  <c r="W4" i="12"/>
  <c r="AA4" i="12"/>
  <c r="Y5" i="12"/>
  <c r="W6" i="12"/>
  <c r="AA6" i="12"/>
  <c r="Y7" i="12"/>
  <c r="W8" i="12"/>
  <c r="AA8" i="12"/>
  <c r="Y9" i="12"/>
  <c r="W10" i="12"/>
  <c r="AA10" i="12"/>
  <c r="Y11" i="12"/>
  <c r="W12" i="12"/>
  <c r="AA12" i="12"/>
  <c r="Y13" i="12"/>
  <c r="W14" i="12"/>
  <c r="AA14" i="12"/>
  <c r="Y15" i="12"/>
  <c r="W16" i="12"/>
  <c r="X18" i="12"/>
  <c r="V21" i="12"/>
  <c r="Z23" i="12"/>
  <c r="X26" i="12"/>
  <c r="V29" i="12"/>
  <c r="Z31" i="12"/>
  <c r="X34" i="12"/>
  <c r="V37" i="12"/>
  <c r="Z39" i="12"/>
  <c r="X42" i="12"/>
  <c r="V45" i="12"/>
  <c r="Z47" i="12"/>
  <c r="X50" i="12"/>
  <c r="V53" i="12"/>
  <c r="Z55" i="12"/>
  <c r="X58" i="12"/>
  <c r="V61" i="12"/>
  <c r="Z63" i="12"/>
  <c r="X66" i="12"/>
  <c r="V69" i="12"/>
  <c r="Z71" i="12"/>
  <c r="X74" i="12"/>
  <c r="V77" i="12"/>
  <c r="Z79" i="12"/>
  <c r="X82" i="12"/>
  <c r="V85" i="12"/>
  <c r="Z87" i="12"/>
  <c r="X90" i="12"/>
  <c r="V93" i="12"/>
  <c r="Z95" i="12"/>
  <c r="X98" i="12"/>
  <c r="V101" i="12"/>
  <c r="Z110" i="12"/>
  <c r="X121" i="12"/>
  <c r="V132" i="12"/>
  <c r="Z142" i="12"/>
  <c r="X153" i="12"/>
  <c r="V164" i="12"/>
  <c r="AA195" i="12"/>
  <c r="V341" i="12"/>
  <c r="V339" i="12"/>
  <c r="V337" i="12"/>
  <c r="V335" i="12"/>
  <c r="V333" i="12"/>
  <c r="V331" i="12"/>
  <c r="V329" i="12"/>
  <c r="V327" i="12"/>
  <c r="V325" i="12"/>
  <c r="V323" i="12"/>
  <c r="V321" i="12"/>
  <c r="V319" i="12"/>
  <c r="V317" i="12"/>
  <c r="V315" i="12"/>
  <c r="V313" i="12"/>
  <c r="V311" i="12"/>
  <c r="V309" i="12"/>
  <c r="V307" i="12"/>
  <c r="V305" i="12"/>
  <c r="V303" i="12"/>
  <c r="V301" i="12"/>
  <c r="V299" i="12"/>
  <c r="V297" i="12"/>
  <c r="V295" i="12"/>
  <c r="V293" i="12"/>
  <c r="V291" i="12"/>
  <c r="V289" i="12"/>
  <c r="V287" i="12"/>
  <c r="V340" i="12"/>
  <c r="V338" i="12"/>
  <c r="V336" i="12"/>
  <c r="V334" i="12"/>
  <c r="V332" i="12"/>
  <c r="V330" i="12"/>
  <c r="V328" i="12"/>
  <c r="V326" i="12"/>
  <c r="V324" i="12"/>
  <c r="V322" i="12"/>
  <c r="V320" i="12"/>
  <c r="V318" i="12"/>
  <c r="V316" i="12"/>
  <c r="V314" i="12"/>
  <c r="V312" i="12"/>
  <c r="V310" i="12"/>
  <c r="V308" i="12"/>
  <c r="V306" i="12"/>
  <c r="V304" i="12"/>
  <c r="V302" i="12"/>
  <c r="V300" i="12"/>
  <c r="V298" i="12"/>
  <c r="V296" i="12"/>
  <c r="V294" i="12"/>
  <c r="V292" i="12"/>
  <c r="V290" i="12"/>
  <c r="V288" i="12"/>
  <c r="V286" i="12"/>
  <c r="V284" i="12"/>
  <c r="V282" i="12"/>
  <c r="V280" i="12"/>
  <c r="V278" i="12"/>
  <c r="V276" i="12"/>
  <c r="V274" i="12"/>
  <c r="V272" i="12"/>
  <c r="V270" i="12"/>
  <c r="V268" i="12"/>
  <c r="V266" i="12"/>
  <c r="V264" i="12"/>
  <c r="V262" i="12"/>
  <c r="V260" i="12"/>
  <c r="V258" i="12"/>
  <c r="V256" i="12"/>
  <c r="V254" i="12"/>
  <c r="V252" i="12"/>
  <c r="V250" i="12"/>
  <c r="V248" i="12"/>
  <c r="V246" i="12"/>
  <c r="V244" i="12"/>
  <c r="V285" i="12"/>
  <c r="V283" i="12"/>
  <c r="V281" i="12"/>
  <c r="V279" i="12"/>
  <c r="V277" i="12"/>
  <c r="V275" i="12"/>
  <c r="V273" i="12"/>
  <c r="V271" i="12"/>
  <c r="V269" i="12"/>
  <c r="V267" i="12"/>
  <c r="V265" i="12"/>
  <c r="V263" i="12"/>
  <c r="V261" i="12"/>
  <c r="V259" i="12"/>
  <c r="V257" i="12"/>
  <c r="V255" i="12"/>
  <c r="V253" i="12"/>
  <c r="V251" i="12"/>
  <c r="V249" i="12"/>
  <c r="V247" i="12"/>
  <c r="V245" i="12"/>
  <c r="V243" i="12"/>
  <c r="V242" i="12"/>
  <c r="V240" i="12"/>
  <c r="V238" i="12"/>
  <c r="V236" i="12"/>
  <c r="V234" i="12"/>
  <c r="V232" i="12"/>
  <c r="V230" i="12"/>
  <c r="V228" i="12"/>
  <c r="V226" i="12"/>
  <c r="V224" i="12"/>
  <c r="V222" i="12"/>
  <c r="V220" i="12"/>
  <c r="V218" i="12"/>
  <c r="V216" i="12"/>
  <c r="V214" i="12"/>
  <c r="V212" i="12"/>
  <c r="V210" i="12"/>
  <c r="V208" i="12"/>
  <c r="V206" i="12"/>
  <c r="V204" i="12"/>
  <c r="V202" i="12"/>
  <c r="V235" i="12"/>
  <c r="V227" i="12"/>
  <c r="V219" i="12"/>
  <c r="V211" i="12"/>
  <c r="V203" i="12"/>
  <c r="V199" i="12"/>
  <c r="V197" i="12"/>
  <c r="V195" i="12"/>
  <c r="V193" i="12"/>
  <c r="V191" i="12"/>
  <c r="V189" i="12"/>
  <c r="V187" i="12"/>
  <c r="V185" i="12"/>
  <c r="V183" i="12"/>
  <c r="V181" i="12"/>
  <c r="V179" i="12"/>
  <c r="V177" i="12"/>
  <c r="V175" i="12"/>
  <c r="V173" i="12"/>
  <c r="V171" i="12"/>
  <c r="V169" i="12"/>
  <c r="V237" i="12"/>
  <c r="V229" i="12"/>
  <c r="V221" i="12"/>
  <c r="V213" i="12"/>
  <c r="V205" i="12"/>
  <c r="V167" i="12"/>
  <c r="V165" i="12"/>
  <c r="V163" i="12"/>
  <c r="V161" i="12"/>
  <c r="V159" i="12"/>
  <c r="V157" i="12"/>
  <c r="V155" i="12"/>
  <c r="V153" i="12"/>
  <c r="V151" i="12"/>
  <c r="V149" i="12"/>
  <c r="V147" i="12"/>
  <c r="V145" i="12"/>
  <c r="V143" i="12"/>
  <c r="V141" i="12"/>
  <c r="V139" i="12"/>
  <c r="V137" i="12"/>
  <c r="V135" i="12"/>
  <c r="V133" i="12"/>
  <c r="V131" i="12"/>
  <c r="V129" i="12"/>
  <c r="V127" i="12"/>
  <c r="V125" i="12"/>
  <c r="V123" i="12"/>
  <c r="V121" i="12"/>
  <c r="V119" i="12"/>
  <c r="V117" i="12"/>
  <c r="V115" i="12"/>
  <c r="V113" i="12"/>
  <c r="V111" i="12"/>
  <c r="V109" i="12"/>
  <c r="V107" i="12"/>
  <c r="V105" i="12"/>
  <c r="V103" i="12"/>
  <c r="V239" i="12"/>
  <c r="V231" i="12"/>
  <c r="V223" i="12"/>
  <c r="V215" i="12"/>
  <c r="V207" i="12"/>
  <c r="V200" i="12"/>
  <c r="V198" i="12"/>
  <c r="V196" i="12"/>
  <c r="V194" i="12"/>
  <c r="V192" i="12"/>
  <c r="V190" i="12"/>
  <c r="V188" i="12"/>
  <c r="V186" i="12"/>
  <c r="V184" i="12"/>
  <c r="V182" i="12"/>
  <c r="V180" i="12"/>
  <c r="V178" i="12"/>
  <c r="V176" i="12"/>
  <c r="V174" i="12"/>
  <c r="V172" i="12"/>
  <c r="V170" i="12"/>
  <c r="V233" i="12"/>
  <c r="V201" i="12"/>
  <c r="V166" i="12"/>
  <c r="V158" i="12"/>
  <c r="V150" i="12"/>
  <c r="V142" i="12"/>
  <c r="V134" i="12"/>
  <c r="V126" i="12"/>
  <c r="V118" i="12"/>
  <c r="V110" i="12"/>
  <c r="V102" i="12"/>
  <c r="V241" i="12"/>
  <c r="V209" i="12"/>
  <c r="V168" i="12"/>
  <c r="V160" i="12"/>
  <c r="V152" i="12"/>
  <c r="V144" i="12"/>
  <c r="V136" i="12"/>
  <c r="V128" i="12"/>
  <c r="V120" i="12"/>
  <c r="V112" i="12"/>
  <c r="V104" i="12"/>
  <c r="V100" i="12"/>
  <c r="V98" i="12"/>
  <c r="V96" i="12"/>
  <c r="V94" i="12"/>
  <c r="V92" i="12"/>
  <c r="V90" i="12"/>
  <c r="V88" i="12"/>
  <c r="V86" i="12"/>
  <c r="V84" i="12"/>
  <c r="V82" i="12"/>
  <c r="V80" i="12"/>
  <c r="V78" i="12"/>
  <c r="V76" i="12"/>
  <c r="V74" i="12"/>
  <c r="V72" i="12"/>
  <c r="V70" i="12"/>
  <c r="V68" i="12"/>
  <c r="V66" i="12"/>
  <c r="V64" i="12"/>
  <c r="V62" i="12"/>
  <c r="V60" i="12"/>
  <c r="V58" i="12"/>
  <c r="V56" i="12"/>
  <c r="V54" i="12"/>
  <c r="V52" i="12"/>
  <c r="V50" i="12"/>
  <c r="V48" i="12"/>
  <c r="V46" i="12"/>
  <c r="V44" i="12"/>
  <c r="V42" i="12"/>
  <c r="V40" i="12"/>
  <c r="V38" i="12"/>
  <c r="V36" i="12"/>
  <c r="V34" i="12"/>
  <c r="V32" i="12"/>
  <c r="V30" i="12"/>
  <c r="V28" i="12"/>
  <c r="V26" i="12"/>
  <c r="V24" i="12"/>
  <c r="V22" i="12"/>
  <c r="V20" i="12"/>
  <c r="V18" i="12"/>
  <c r="V217" i="12"/>
  <c r="V162" i="12"/>
  <c r="V154" i="12"/>
  <c r="V146" i="12"/>
  <c r="V138" i="12"/>
  <c r="V130" i="12"/>
  <c r="V122" i="12"/>
  <c r="V114" i="12"/>
  <c r="V106" i="12"/>
  <c r="W341" i="12"/>
  <c r="W340" i="12"/>
  <c r="W338" i="12"/>
  <c r="W336" i="12"/>
  <c r="W334" i="12"/>
  <c r="W332" i="12"/>
  <c r="W330" i="12"/>
  <c r="W328" i="12"/>
  <c r="W326" i="12"/>
  <c r="W324" i="12"/>
  <c r="W322" i="12"/>
  <c r="W320" i="12"/>
  <c r="W318" i="12"/>
  <c r="W316" i="12"/>
  <c r="W314" i="12"/>
  <c r="W312" i="12"/>
  <c r="W310" i="12"/>
  <c r="W308" i="12"/>
  <c r="W306" i="12"/>
  <c r="W304" i="12"/>
  <c r="W302" i="12"/>
  <c r="W300" i="12"/>
  <c r="W298" i="12"/>
  <c r="W296" i="12"/>
  <c r="W294" i="12"/>
  <c r="W292" i="12"/>
  <c r="W290" i="12"/>
  <c r="W288" i="12"/>
  <c r="W286" i="12"/>
  <c r="W333" i="12"/>
  <c r="W325" i="12"/>
  <c r="W317" i="12"/>
  <c r="W309" i="12"/>
  <c r="W301" i="12"/>
  <c r="W293" i="12"/>
  <c r="W335" i="12"/>
  <c r="W327" i="12"/>
  <c r="W319" i="12"/>
  <c r="W311" i="12"/>
  <c r="W303" i="12"/>
  <c r="W295" i="12"/>
  <c r="W287" i="12"/>
  <c r="W285" i="12"/>
  <c r="W283" i="12"/>
  <c r="W281" i="12"/>
  <c r="W279" i="12"/>
  <c r="W277" i="12"/>
  <c r="W275" i="12"/>
  <c r="W273" i="12"/>
  <c r="W271" i="12"/>
  <c r="W269" i="12"/>
  <c r="W267" i="12"/>
  <c r="W265" i="12"/>
  <c r="W263" i="12"/>
  <c r="W261" i="12"/>
  <c r="W259" i="12"/>
  <c r="W257" i="12"/>
  <c r="W255" i="12"/>
  <c r="W253" i="12"/>
  <c r="W251" i="12"/>
  <c r="W249" i="12"/>
  <c r="W247" i="12"/>
  <c r="W245" i="12"/>
  <c r="W337" i="12"/>
  <c r="W329" i="12"/>
  <c r="W321" i="12"/>
  <c r="W313" i="12"/>
  <c r="W305" i="12"/>
  <c r="W297" i="12"/>
  <c r="W289" i="12"/>
  <c r="W339" i="12"/>
  <c r="W307" i="12"/>
  <c r="W280" i="12"/>
  <c r="W272" i="12"/>
  <c r="W264" i="12"/>
  <c r="W256" i="12"/>
  <c r="W248" i="12"/>
  <c r="W243" i="12"/>
  <c r="W242" i="12"/>
  <c r="W240" i="12"/>
  <c r="W238" i="12"/>
  <c r="W236" i="12"/>
  <c r="W234" i="12"/>
  <c r="W232" i="12"/>
  <c r="W230" i="12"/>
  <c r="W228" i="12"/>
  <c r="W226" i="12"/>
  <c r="W224" i="12"/>
  <c r="W222" i="12"/>
  <c r="W220" i="12"/>
  <c r="W218" i="12"/>
  <c r="W216" i="12"/>
  <c r="W214" i="12"/>
  <c r="W212" i="12"/>
  <c r="W210" i="12"/>
  <c r="W208" i="12"/>
  <c r="W206" i="12"/>
  <c r="W204" i="12"/>
  <c r="W202" i="12"/>
  <c r="W315" i="12"/>
  <c r="W282" i="12"/>
  <c r="W274" i="12"/>
  <c r="W266" i="12"/>
  <c r="W258" i="12"/>
  <c r="W250" i="12"/>
  <c r="W323" i="12"/>
  <c r="W291" i="12"/>
  <c r="W284" i="12"/>
  <c r="W276" i="12"/>
  <c r="W268" i="12"/>
  <c r="W260" i="12"/>
  <c r="W252" i="12"/>
  <c r="W244" i="12"/>
  <c r="W241" i="12"/>
  <c r="W239" i="12"/>
  <c r="W237" i="12"/>
  <c r="W235" i="12"/>
  <c r="W233" i="12"/>
  <c r="W231" i="12"/>
  <c r="W229" i="12"/>
  <c r="W227" i="12"/>
  <c r="W225" i="12"/>
  <c r="W223" i="12"/>
  <c r="W221" i="12"/>
  <c r="W219" i="12"/>
  <c r="W217" i="12"/>
  <c r="W215" i="12"/>
  <c r="W213" i="12"/>
  <c r="W211" i="12"/>
  <c r="W209" i="12"/>
  <c r="W207" i="12"/>
  <c r="W205" i="12"/>
  <c r="W203" i="12"/>
  <c r="W201" i="12"/>
  <c r="W331" i="12"/>
  <c r="W254" i="12"/>
  <c r="W167" i="12"/>
  <c r="W165" i="12"/>
  <c r="W163" i="12"/>
  <c r="W161" i="12"/>
  <c r="W159" i="12"/>
  <c r="W157" i="12"/>
  <c r="W155" i="12"/>
  <c r="W153" i="12"/>
  <c r="W151" i="12"/>
  <c r="W149" i="12"/>
  <c r="W147" i="12"/>
  <c r="W145" i="12"/>
  <c r="W143" i="12"/>
  <c r="W141" i="12"/>
  <c r="W139" i="12"/>
  <c r="W137" i="12"/>
  <c r="W135" i="12"/>
  <c r="W133" i="12"/>
  <c r="W131" i="12"/>
  <c r="W129" i="12"/>
  <c r="W127" i="12"/>
  <c r="W125" i="12"/>
  <c r="W123" i="12"/>
  <c r="W121" i="12"/>
  <c r="W119" i="12"/>
  <c r="W117" i="12"/>
  <c r="W115" i="12"/>
  <c r="W113" i="12"/>
  <c r="W111" i="12"/>
  <c r="W109" i="12"/>
  <c r="W107" i="12"/>
  <c r="W105" i="12"/>
  <c r="W103" i="12"/>
  <c r="W262" i="12"/>
  <c r="W200" i="12"/>
  <c r="W198" i="12"/>
  <c r="W196" i="12"/>
  <c r="W194" i="12"/>
  <c r="W192" i="12"/>
  <c r="W190" i="12"/>
  <c r="W188" i="12"/>
  <c r="W186" i="12"/>
  <c r="W184" i="12"/>
  <c r="W182" i="12"/>
  <c r="W180" i="12"/>
  <c r="W178" i="12"/>
  <c r="W176" i="12"/>
  <c r="W174" i="12"/>
  <c r="W172" i="12"/>
  <c r="W170" i="12"/>
  <c r="W270" i="12"/>
  <c r="W168" i="12"/>
  <c r="W166" i="12"/>
  <c r="W164" i="12"/>
  <c r="W162" i="12"/>
  <c r="W160" i="12"/>
  <c r="W158" i="12"/>
  <c r="W156" i="12"/>
  <c r="W154" i="12"/>
  <c r="W152" i="12"/>
  <c r="W150" i="12"/>
  <c r="W148" i="12"/>
  <c r="W146" i="12"/>
  <c r="W144" i="12"/>
  <c r="W142" i="12"/>
  <c r="W140" i="12"/>
  <c r="W138" i="12"/>
  <c r="W136" i="12"/>
  <c r="W134" i="12"/>
  <c r="W132" i="12"/>
  <c r="W130" i="12"/>
  <c r="W128" i="12"/>
  <c r="W126" i="12"/>
  <c r="W124" i="12"/>
  <c r="W122" i="12"/>
  <c r="W120" i="12"/>
  <c r="W118" i="12"/>
  <c r="W116" i="12"/>
  <c r="W114" i="12"/>
  <c r="W112" i="12"/>
  <c r="W110" i="12"/>
  <c r="W108" i="12"/>
  <c r="W106" i="12"/>
  <c r="W104" i="12"/>
  <c r="W102" i="12"/>
  <c r="W299" i="12"/>
  <c r="W246" i="12"/>
  <c r="W195" i="12"/>
  <c r="W187" i="12"/>
  <c r="W179" i="12"/>
  <c r="W171" i="12"/>
  <c r="W100" i="12"/>
  <c r="W98" i="12"/>
  <c r="W96" i="12"/>
  <c r="W94" i="12"/>
  <c r="W92" i="12"/>
  <c r="W90" i="12"/>
  <c r="W88" i="12"/>
  <c r="W86" i="12"/>
  <c r="W84" i="12"/>
  <c r="W82" i="12"/>
  <c r="W80" i="12"/>
  <c r="W78" i="12"/>
  <c r="W76" i="12"/>
  <c r="W74" i="12"/>
  <c r="W72" i="12"/>
  <c r="W70" i="12"/>
  <c r="W68" i="12"/>
  <c r="W66" i="12"/>
  <c r="W64" i="12"/>
  <c r="W62" i="12"/>
  <c r="W60" i="12"/>
  <c r="W58" i="12"/>
  <c r="W56" i="12"/>
  <c r="W54" i="12"/>
  <c r="W52" i="12"/>
  <c r="W50" i="12"/>
  <c r="W48" i="12"/>
  <c r="W46" i="12"/>
  <c r="W44" i="12"/>
  <c r="W42" i="12"/>
  <c r="W40" i="12"/>
  <c r="W38" i="12"/>
  <c r="W36" i="12"/>
  <c r="W34" i="12"/>
  <c r="W32" i="12"/>
  <c r="W30" i="12"/>
  <c r="W28" i="12"/>
  <c r="W26" i="12"/>
  <c r="W24" i="12"/>
  <c r="W22" i="12"/>
  <c r="W20" i="12"/>
  <c r="W18" i="12"/>
  <c r="W278" i="12"/>
  <c r="W197" i="12"/>
  <c r="W189" i="12"/>
  <c r="W181" i="12"/>
  <c r="W173" i="12"/>
  <c r="W199" i="12"/>
  <c r="W191" i="12"/>
  <c r="W183" i="12"/>
  <c r="W175" i="12"/>
  <c r="W101" i="12"/>
  <c r="W99" i="12"/>
  <c r="W97" i="12"/>
  <c r="W95" i="12"/>
  <c r="W93" i="12"/>
  <c r="W91" i="12"/>
  <c r="W89" i="12"/>
  <c r="W87" i="12"/>
  <c r="W85" i="12"/>
  <c r="W83" i="12"/>
  <c r="W81" i="12"/>
  <c r="W79" i="12"/>
  <c r="W77" i="12"/>
  <c r="W75" i="12"/>
  <c r="W73" i="12"/>
  <c r="W71" i="12"/>
  <c r="W69" i="12"/>
  <c r="W67" i="12"/>
  <c r="W65" i="12"/>
  <c r="W63" i="12"/>
  <c r="W61" i="12"/>
  <c r="W59" i="12"/>
  <c r="W57" i="12"/>
  <c r="W55" i="12"/>
  <c r="W53" i="12"/>
  <c r="W51" i="12"/>
  <c r="W49" i="12"/>
  <c r="W47" i="12"/>
  <c r="W45" i="12"/>
  <c r="W43" i="12"/>
  <c r="W41" i="12"/>
  <c r="W39" i="12"/>
  <c r="W37" i="12"/>
  <c r="W35" i="12"/>
  <c r="W33" i="12"/>
  <c r="W31" i="12"/>
  <c r="W29" i="12"/>
  <c r="W27" i="12"/>
  <c r="W25" i="12"/>
  <c r="W23" i="12"/>
  <c r="W21" i="12"/>
  <c r="W19" i="12"/>
  <c r="W17" i="12"/>
  <c r="Y339" i="12"/>
  <c r="Y337" i="12"/>
  <c r="Y335" i="12"/>
  <c r="Y333" i="12"/>
  <c r="Y331" i="12"/>
  <c r="Y329" i="12"/>
  <c r="Y327" i="12"/>
  <c r="Y325" i="12"/>
  <c r="Y323" i="12"/>
  <c r="Y321" i="12"/>
  <c r="Y319" i="12"/>
  <c r="Y317" i="12"/>
  <c r="Y315" i="12"/>
  <c r="Y313" i="12"/>
  <c r="Y311" i="12"/>
  <c r="Y309" i="12"/>
  <c r="Y307" i="12"/>
  <c r="Y305" i="12"/>
  <c r="Y303" i="12"/>
  <c r="Y301" i="12"/>
  <c r="Y299" i="12"/>
  <c r="Y297" i="12"/>
  <c r="Y295" i="12"/>
  <c r="Y293" i="12"/>
  <c r="Y291" i="12"/>
  <c r="Y289" i="12"/>
  <c r="Y287" i="12"/>
  <c r="Y341" i="12"/>
  <c r="Y338" i="12"/>
  <c r="Y330" i="12"/>
  <c r="Y322" i="12"/>
  <c r="Y314" i="12"/>
  <c r="Y306" i="12"/>
  <c r="Y298" i="12"/>
  <c r="Y290" i="12"/>
  <c r="Y285" i="12"/>
  <c r="Y340" i="12"/>
  <c r="Y332" i="12"/>
  <c r="Y324" i="12"/>
  <c r="Y316" i="12"/>
  <c r="Y308" i="12"/>
  <c r="Y300" i="12"/>
  <c r="Y292" i="12"/>
  <c r="Y284" i="12"/>
  <c r="Y282" i="12"/>
  <c r="Y280" i="12"/>
  <c r="Y278" i="12"/>
  <c r="Y276" i="12"/>
  <c r="Y274" i="12"/>
  <c r="Y272" i="12"/>
  <c r="Y270" i="12"/>
  <c r="Y268" i="12"/>
  <c r="Y266" i="12"/>
  <c r="Y264" i="12"/>
  <c r="Y262" i="12"/>
  <c r="Y260" i="12"/>
  <c r="Y258" i="12"/>
  <c r="Y256" i="12"/>
  <c r="Y254" i="12"/>
  <c r="Y252" i="12"/>
  <c r="Y250" i="12"/>
  <c r="Y248" i="12"/>
  <c r="Y246" i="12"/>
  <c r="Y244" i="12"/>
  <c r="Y334" i="12"/>
  <c r="Y326" i="12"/>
  <c r="Y318" i="12"/>
  <c r="Y310" i="12"/>
  <c r="Y302" i="12"/>
  <c r="Y294" i="12"/>
  <c r="Y286" i="12"/>
  <c r="Y328" i="12"/>
  <c r="Y296" i="12"/>
  <c r="Y277" i="12"/>
  <c r="Y269" i="12"/>
  <c r="Y261" i="12"/>
  <c r="Y253" i="12"/>
  <c r="Y245" i="12"/>
  <c r="Y241" i="12"/>
  <c r="Y239" i="12"/>
  <c r="Y237" i="12"/>
  <c r="Y235" i="12"/>
  <c r="Y233" i="12"/>
  <c r="Y231" i="12"/>
  <c r="Y229" i="12"/>
  <c r="Y227" i="12"/>
  <c r="Y225" i="12"/>
  <c r="Y223" i="12"/>
  <c r="Y221" i="12"/>
  <c r="Y219" i="12"/>
  <c r="Y217" i="12"/>
  <c r="Y215" i="12"/>
  <c r="Y213" i="12"/>
  <c r="Y211" i="12"/>
  <c r="Y209" i="12"/>
  <c r="Y207" i="12"/>
  <c r="Y205" i="12"/>
  <c r="Y203" i="12"/>
  <c r="Y201" i="12"/>
  <c r="Y336" i="12"/>
  <c r="Y304" i="12"/>
  <c r="Y279" i="12"/>
  <c r="Y271" i="12"/>
  <c r="Y263" i="12"/>
  <c r="Y255" i="12"/>
  <c r="Y247" i="12"/>
  <c r="Y312" i="12"/>
  <c r="Y281" i="12"/>
  <c r="Y273" i="12"/>
  <c r="Y265" i="12"/>
  <c r="Y257" i="12"/>
  <c r="Y249" i="12"/>
  <c r="Y240" i="12"/>
  <c r="Y238" i="12"/>
  <c r="Y236" i="12"/>
  <c r="Y234" i="12"/>
  <c r="Y232" i="12"/>
  <c r="Y230" i="12"/>
  <c r="Y228" i="12"/>
  <c r="Y226" i="12"/>
  <c r="Y224" i="12"/>
  <c r="Y222" i="12"/>
  <c r="Y220" i="12"/>
  <c r="Y218" i="12"/>
  <c r="Y216" i="12"/>
  <c r="Y214" i="12"/>
  <c r="Y212" i="12"/>
  <c r="Y210" i="12"/>
  <c r="Y208" i="12"/>
  <c r="Y206" i="12"/>
  <c r="Y204" i="12"/>
  <c r="Y202" i="12"/>
  <c r="Y200" i="12"/>
  <c r="Y288" i="12"/>
  <c r="Y275" i="12"/>
  <c r="Y243" i="12"/>
  <c r="Y168" i="12"/>
  <c r="Y166" i="12"/>
  <c r="Y164" i="12"/>
  <c r="Y162" i="12"/>
  <c r="Y160" i="12"/>
  <c r="Y158" i="12"/>
  <c r="Y156" i="12"/>
  <c r="Y154" i="12"/>
  <c r="Y152" i="12"/>
  <c r="Y150" i="12"/>
  <c r="Y148" i="12"/>
  <c r="Y146" i="12"/>
  <c r="Y144" i="12"/>
  <c r="Y142" i="12"/>
  <c r="Y140" i="12"/>
  <c r="Y138" i="12"/>
  <c r="Y136" i="12"/>
  <c r="Y134" i="12"/>
  <c r="Y132" i="12"/>
  <c r="Y130" i="12"/>
  <c r="Y128" i="12"/>
  <c r="Y126" i="12"/>
  <c r="Y124" i="12"/>
  <c r="Y122" i="12"/>
  <c r="Y120" i="12"/>
  <c r="Y118" i="12"/>
  <c r="Y116" i="12"/>
  <c r="Y114" i="12"/>
  <c r="Y112" i="12"/>
  <c r="Y110" i="12"/>
  <c r="Y108" i="12"/>
  <c r="Y106" i="12"/>
  <c r="Y104" i="12"/>
  <c r="Y102" i="12"/>
  <c r="Y320" i="12"/>
  <c r="Y283" i="12"/>
  <c r="Y251" i="12"/>
  <c r="Y242" i="12"/>
  <c r="Y199" i="12"/>
  <c r="Y197" i="12"/>
  <c r="Y195" i="12"/>
  <c r="Y193" i="12"/>
  <c r="Y191" i="12"/>
  <c r="Y189" i="12"/>
  <c r="Y187" i="12"/>
  <c r="Y185" i="12"/>
  <c r="Y183" i="12"/>
  <c r="Y181" i="12"/>
  <c r="Y179" i="12"/>
  <c r="Y177" i="12"/>
  <c r="Y175" i="12"/>
  <c r="Y173" i="12"/>
  <c r="Y171" i="12"/>
  <c r="Y169" i="12"/>
  <c r="Y259" i="12"/>
  <c r="Y167" i="12"/>
  <c r="Y165" i="12"/>
  <c r="Y163" i="12"/>
  <c r="Y161" i="12"/>
  <c r="Y159" i="12"/>
  <c r="Y157" i="12"/>
  <c r="Y155" i="12"/>
  <c r="Y153" i="12"/>
  <c r="Y151" i="12"/>
  <c r="Y149" i="12"/>
  <c r="Y147" i="12"/>
  <c r="Y145" i="12"/>
  <c r="Y143" i="12"/>
  <c r="Y141" i="12"/>
  <c r="Y139" i="12"/>
  <c r="Y137" i="12"/>
  <c r="Y135" i="12"/>
  <c r="Y133" i="12"/>
  <c r="Y131" i="12"/>
  <c r="Y129" i="12"/>
  <c r="Y127" i="12"/>
  <c r="Y125" i="12"/>
  <c r="Y123" i="12"/>
  <c r="Y121" i="12"/>
  <c r="Y119" i="12"/>
  <c r="Y117" i="12"/>
  <c r="Y115" i="12"/>
  <c r="Y113" i="12"/>
  <c r="Y111" i="12"/>
  <c r="Y109" i="12"/>
  <c r="Y107" i="12"/>
  <c r="Y105" i="12"/>
  <c r="Y103" i="12"/>
  <c r="Y101" i="12"/>
  <c r="Y192" i="12"/>
  <c r="Y184" i="12"/>
  <c r="Y176" i="12"/>
  <c r="Y99" i="12"/>
  <c r="Y97" i="12"/>
  <c r="Y95" i="12"/>
  <c r="Y93" i="12"/>
  <c r="Y91" i="12"/>
  <c r="Y89" i="12"/>
  <c r="Y87" i="12"/>
  <c r="Y85" i="12"/>
  <c r="Y83" i="12"/>
  <c r="Y81" i="12"/>
  <c r="Y79" i="12"/>
  <c r="Y77" i="12"/>
  <c r="Y75" i="12"/>
  <c r="Y73" i="12"/>
  <c r="Y71" i="12"/>
  <c r="Y69" i="12"/>
  <c r="Y67" i="12"/>
  <c r="Y65" i="12"/>
  <c r="Y63" i="12"/>
  <c r="Y61" i="12"/>
  <c r="Y59" i="12"/>
  <c r="Y57" i="12"/>
  <c r="Y55" i="12"/>
  <c r="Y53" i="12"/>
  <c r="Y51" i="12"/>
  <c r="Y49" i="12"/>
  <c r="Y47" i="12"/>
  <c r="Y45" i="12"/>
  <c r="Y43" i="12"/>
  <c r="Y41" i="12"/>
  <c r="Y39" i="12"/>
  <c r="Y37" i="12"/>
  <c r="Y35" i="12"/>
  <c r="Y33" i="12"/>
  <c r="Y31" i="12"/>
  <c r="Y29" i="12"/>
  <c r="Y27" i="12"/>
  <c r="Y25" i="12"/>
  <c r="Y23" i="12"/>
  <c r="Y21" i="12"/>
  <c r="Y19" i="12"/>
  <c r="Y17" i="12"/>
  <c r="Y194" i="12"/>
  <c r="Y186" i="12"/>
  <c r="Y178" i="12"/>
  <c r="Y170" i="12"/>
  <c r="Y267" i="12"/>
  <c r="Y196" i="12"/>
  <c r="Y188" i="12"/>
  <c r="Y180" i="12"/>
  <c r="Y172" i="12"/>
  <c r="Y100" i="12"/>
  <c r="Y98" i="12"/>
  <c r="Y96" i="12"/>
  <c r="Y94" i="12"/>
  <c r="Y92" i="12"/>
  <c r="Y90" i="12"/>
  <c r="Y88" i="12"/>
  <c r="Y86" i="12"/>
  <c r="Y84" i="12"/>
  <c r="Y82" i="12"/>
  <c r="Y80" i="12"/>
  <c r="Y78" i="12"/>
  <c r="Y76" i="12"/>
  <c r="Y74" i="12"/>
  <c r="Y72" i="12"/>
  <c r="Y70" i="12"/>
  <c r="Y68" i="12"/>
  <c r="Y66" i="12"/>
  <c r="Y64" i="12"/>
  <c r="Y62" i="12"/>
  <c r="Y60" i="12"/>
  <c r="Y58" i="12"/>
  <c r="Y56" i="12"/>
  <c r="Y54" i="12"/>
  <c r="Y52" i="12"/>
  <c r="Y50" i="12"/>
  <c r="Y48" i="12"/>
  <c r="Y46" i="12"/>
  <c r="Y44" i="12"/>
  <c r="Y42" i="12"/>
  <c r="Y40" i="12"/>
  <c r="Y38" i="12"/>
  <c r="Y36" i="12"/>
  <c r="Y34" i="12"/>
  <c r="Y32" i="12"/>
  <c r="Y30" i="12"/>
  <c r="Y28" i="12"/>
  <c r="Y26" i="12"/>
  <c r="Y24" i="12"/>
  <c r="Y22" i="12"/>
  <c r="Y20" i="12"/>
  <c r="Y18" i="12"/>
  <c r="Y16" i="12"/>
  <c r="X2" i="12"/>
  <c r="V3" i="12"/>
  <c r="Z3" i="12"/>
  <c r="X4" i="12"/>
  <c r="V5" i="12"/>
  <c r="Z5" i="12"/>
  <c r="X6" i="12"/>
  <c r="V7" i="12"/>
  <c r="Z7" i="12"/>
  <c r="X8" i="12"/>
  <c r="V9" i="12"/>
  <c r="Z9" i="12"/>
  <c r="X10" i="12"/>
  <c r="V11" i="12"/>
  <c r="Z11" i="12"/>
  <c r="X12" i="12"/>
  <c r="V13" i="12"/>
  <c r="Z13" i="12"/>
  <c r="X14" i="12"/>
  <c r="V15" i="12"/>
  <c r="Z15" i="12"/>
  <c r="X16" i="12"/>
  <c r="V19" i="12"/>
  <c r="Z21" i="12"/>
  <c r="X24" i="12"/>
  <c r="V27" i="12"/>
  <c r="Z29" i="12"/>
  <c r="X32" i="12"/>
  <c r="V35" i="12"/>
  <c r="Z37" i="12"/>
  <c r="X40" i="12"/>
  <c r="V43" i="12"/>
  <c r="Z45" i="12"/>
  <c r="X48" i="12"/>
  <c r="V51" i="12"/>
  <c r="Z53" i="12"/>
  <c r="X56" i="12"/>
  <c r="V59" i="12"/>
  <c r="Z61" i="12"/>
  <c r="X64" i="12"/>
  <c r="V67" i="12"/>
  <c r="Z69" i="12"/>
  <c r="X72" i="12"/>
  <c r="V75" i="12"/>
  <c r="Z77" i="12"/>
  <c r="X80" i="12"/>
  <c r="V83" i="12"/>
  <c r="Z85" i="12"/>
  <c r="X88" i="12"/>
  <c r="V91" i="12"/>
  <c r="Z93" i="12"/>
  <c r="X96" i="12"/>
  <c r="V99" i="12"/>
  <c r="Z102" i="12"/>
  <c r="X113" i="12"/>
  <c r="V124" i="12"/>
  <c r="Z134" i="12"/>
  <c r="X145" i="12"/>
  <c r="V156" i="12"/>
  <c r="Z166" i="12"/>
  <c r="W177" i="12"/>
  <c r="AA187" i="12"/>
  <c r="Y198" i="12"/>
  <c r="Z235" i="12"/>
  <c r="Y2" i="12"/>
  <c r="W3" i="12"/>
  <c r="AA3" i="12"/>
  <c r="Y4" i="12"/>
  <c r="W5" i="12"/>
  <c r="AA5" i="12"/>
  <c r="Y6" i="12"/>
  <c r="W7" i="12"/>
  <c r="AA7" i="12"/>
  <c r="Y8" i="12"/>
  <c r="W9" i="12"/>
  <c r="AA9" i="12"/>
  <c r="Y10" i="12"/>
  <c r="W11" i="12"/>
  <c r="AA11" i="12"/>
  <c r="Y12" i="12"/>
  <c r="W13" i="12"/>
  <c r="AA13" i="12"/>
  <c r="Y14" i="12"/>
  <c r="W15" i="12"/>
  <c r="AA15" i="12"/>
  <c r="V17" i="12"/>
  <c r="Z19" i="12"/>
  <c r="X22" i="12"/>
  <c r="V25" i="12"/>
  <c r="Z27" i="12"/>
  <c r="X30" i="12"/>
  <c r="V33" i="12"/>
  <c r="Z35" i="12"/>
  <c r="X38" i="12"/>
  <c r="V41" i="12"/>
  <c r="Z43" i="12"/>
  <c r="X46" i="12"/>
  <c r="V49" i="12"/>
  <c r="Z51" i="12"/>
  <c r="X54" i="12"/>
  <c r="V57" i="12"/>
  <c r="Z59" i="12"/>
  <c r="X62" i="12"/>
  <c r="V65" i="12"/>
  <c r="Z67" i="12"/>
  <c r="X70" i="12"/>
  <c r="V73" i="12"/>
  <c r="Z75" i="12"/>
  <c r="X78" i="12"/>
  <c r="V81" i="12"/>
  <c r="Z83" i="12"/>
  <c r="X86" i="12"/>
  <c r="V89" i="12"/>
  <c r="Z91" i="12"/>
  <c r="X94" i="12"/>
  <c r="V97" i="12"/>
  <c r="Z99" i="12"/>
  <c r="X105" i="12"/>
  <c r="V116" i="12"/>
  <c r="Z126" i="12"/>
  <c r="X137" i="12"/>
  <c r="V148" i="12"/>
  <c r="Z158" i="12"/>
  <c r="W169" i="12"/>
  <c r="AA179" i="12"/>
  <c r="Y190" i="12"/>
  <c r="Z203" i="12"/>
  <c r="AA256" i="12"/>
  <c r="AB182" i="12" l="1"/>
  <c r="AC182" i="12" s="1"/>
  <c r="AB135" i="12"/>
  <c r="AC135" i="12" s="1"/>
  <c r="AB14" i="12"/>
  <c r="AC14" i="12" s="1"/>
  <c r="AB99" i="12"/>
  <c r="AC99" i="12" s="1"/>
  <c r="AB51" i="12"/>
  <c r="AC51" i="12" s="1"/>
  <c r="AB175" i="12"/>
  <c r="AC175" i="12" s="1"/>
  <c r="AB108" i="12"/>
  <c r="AC108" i="12" s="1"/>
  <c r="AB214" i="12"/>
  <c r="AC214" i="12" s="1"/>
  <c r="AB230" i="12"/>
  <c r="AC230" i="12" s="1"/>
  <c r="AB91" i="12"/>
  <c r="AC91" i="12" s="1"/>
  <c r="AB97" i="12"/>
  <c r="AC97" i="12" s="1"/>
  <c r="AB65" i="12"/>
  <c r="AC65" i="12" s="1"/>
  <c r="AB33" i="12"/>
  <c r="AC33" i="12" s="1"/>
  <c r="AB222" i="12"/>
  <c r="AC222" i="12" s="1"/>
  <c r="AB238" i="12"/>
  <c r="AC238" i="12" s="1"/>
  <c r="AB208" i="12"/>
  <c r="AC208" i="12" s="1"/>
  <c r="AB216" i="12"/>
  <c r="AC216" i="12" s="1"/>
  <c r="AB232" i="12"/>
  <c r="AC232" i="12" s="1"/>
  <c r="AB74" i="12"/>
  <c r="AC74" i="12" s="1"/>
  <c r="AB103" i="12"/>
  <c r="AC103" i="12" s="1"/>
  <c r="AB167" i="12"/>
  <c r="AC167" i="12" s="1"/>
  <c r="AB67" i="12"/>
  <c r="AC67" i="12" s="1"/>
  <c r="AB17" i="12"/>
  <c r="AC17" i="12" s="1"/>
  <c r="AB41" i="12"/>
  <c r="AC41" i="12" s="1"/>
  <c r="AB49" i="12"/>
  <c r="AC49" i="12" s="1"/>
  <c r="AB124" i="12"/>
  <c r="AC124" i="12" s="1"/>
  <c r="AB177" i="12"/>
  <c r="AC177" i="12" s="1"/>
  <c r="AB248" i="12"/>
  <c r="AC248" i="12" s="1"/>
  <c r="AB29" i="12"/>
  <c r="AC29" i="12" s="1"/>
  <c r="AB61" i="12"/>
  <c r="AC61" i="12" s="1"/>
  <c r="AB184" i="12"/>
  <c r="AC184" i="12" s="1"/>
  <c r="AB26" i="12"/>
  <c r="AC26" i="12" s="1"/>
  <c r="AB132" i="12"/>
  <c r="AC132" i="12" s="1"/>
  <c r="AB2" i="12"/>
  <c r="AC2" i="12" s="1"/>
  <c r="AB20" i="12"/>
  <c r="AC20" i="12" s="1"/>
  <c r="AB68" i="12"/>
  <c r="AC68" i="12" s="1"/>
  <c r="AB84" i="12"/>
  <c r="AC84" i="12" s="1"/>
  <c r="AB92" i="12"/>
  <c r="AC92" i="12" s="1"/>
  <c r="AB100" i="12"/>
  <c r="AC100" i="12" s="1"/>
  <c r="AB204" i="12"/>
  <c r="AC204" i="12" s="1"/>
  <c r="AB212" i="12"/>
  <c r="AC212" i="12" s="1"/>
  <c r="AB228" i="12"/>
  <c r="AC228" i="12" s="1"/>
  <c r="AB236" i="12"/>
  <c r="AC236" i="12" s="1"/>
  <c r="AB244" i="12"/>
  <c r="AC244" i="12" s="1"/>
  <c r="AB119" i="12"/>
  <c r="AC119" i="12" s="1"/>
  <c r="AB151" i="12"/>
  <c r="AC151" i="12" s="1"/>
  <c r="AB39" i="12"/>
  <c r="AC39" i="12" s="1"/>
  <c r="AB71" i="12"/>
  <c r="AC71" i="12" s="1"/>
  <c r="AB173" i="12"/>
  <c r="AC173" i="12" s="1"/>
  <c r="AB104" i="12"/>
  <c r="AC104" i="12" s="1"/>
  <c r="AB128" i="12"/>
  <c r="AC128" i="12" s="1"/>
  <c r="AB136" i="12"/>
  <c r="AC136" i="12" s="1"/>
  <c r="AB174" i="12"/>
  <c r="AC174" i="12" s="1"/>
  <c r="AB190" i="12"/>
  <c r="AC190" i="12" s="1"/>
  <c r="AB198" i="12"/>
  <c r="AC198" i="12" s="1"/>
  <c r="AB224" i="12"/>
  <c r="AC224" i="12" s="1"/>
  <c r="AB140" i="12"/>
  <c r="AC140" i="12" s="1"/>
  <c r="AB148" i="12"/>
  <c r="AC148" i="12" s="1"/>
  <c r="AB161" i="12"/>
  <c r="AC161" i="12" s="1"/>
  <c r="AB6" i="12"/>
  <c r="AC6" i="12" s="1"/>
  <c r="AB96" i="12"/>
  <c r="AC96" i="12" s="1"/>
  <c r="AB80" i="12"/>
  <c r="AC80" i="12" s="1"/>
  <c r="AB25" i="12"/>
  <c r="AC25" i="12" s="1"/>
  <c r="AB19" i="12"/>
  <c r="AC19" i="12" s="1"/>
  <c r="AB240" i="12"/>
  <c r="AC240" i="12" s="1"/>
  <c r="AB169" i="12"/>
  <c r="AC169" i="12" s="1"/>
  <c r="AB16" i="12"/>
  <c r="AC16" i="12" s="1"/>
  <c r="AB88" i="12"/>
  <c r="AC88" i="12" s="1"/>
  <c r="AB57" i="12"/>
  <c r="AC57" i="12" s="1"/>
  <c r="AB178" i="12"/>
  <c r="AC178" i="12" s="1"/>
  <c r="AB120" i="12"/>
  <c r="AC120" i="12" s="1"/>
  <c r="AB10" i="12"/>
  <c r="AC10" i="12" s="1"/>
  <c r="AB83" i="12"/>
  <c r="AC83" i="12" s="1"/>
  <c r="AB72" i="12"/>
  <c r="AC72" i="12" s="1"/>
  <c r="AB9" i="12"/>
  <c r="AC9" i="12" s="1"/>
  <c r="AB3" i="12"/>
  <c r="AC3" i="12" s="1"/>
  <c r="AB42" i="12"/>
  <c r="AC42" i="12" s="1"/>
  <c r="AB58" i="12"/>
  <c r="AC58" i="12" s="1"/>
  <c r="AB27" i="12"/>
  <c r="AC27" i="12" s="1"/>
  <c r="AB35" i="12"/>
  <c r="AC35" i="12" s="1"/>
  <c r="AB59" i="12"/>
  <c r="AC59" i="12" s="1"/>
  <c r="AB200" i="12"/>
  <c r="AC200" i="12" s="1"/>
  <c r="AB55" i="12"/>
  <c r="AC55" i="12" s="1"/>
  <c r="AB87" i="12"/>
  <c r="AC87" i="12" s="1"/>
  <c r="AB194" i="12"/>
  <c r="AC194" i="12" s="1"/>
  <c r="AB226" i="12"/>
  <c r="AC226" i="12" s="1"/>
  <c r="AB116" i="12"/>
  <c r="AC116" i="12" s="1"/>
  <c r="AB45" i="12"/>
  <c r="AC45" i="12" s="1"/>
  <c r="AB220" i="12"/>
  <c r="AC220" i="12" s="1"/>
  <c r="AB242" i="12"/>
  <c r="AC242" i="12" s="1"/>
  <c r="AB76" i="12"/>
  <c r="AC76" i="12" s="1"/>
  <c r="AB12" i="12"/>
  <c r="AC12" i="12" s="1"/>
  <c r="AB4" i="12"/>
  <c r="AC4" i="12" s="1"/>
  <c r="AB23" i="12"/>
  <c r="AC23" i="12" s="1"/>
  <c r="AB75" i="12"/>
  <c r="AC75" i="12" s="1"/>
  <c r="AB15" i="12"/>
  <c r="AC15" i="12" s="1"/>
  <c r="AB21" i="12"/>
  <c r="AC21" i="12" s="1"/>
  <c r="AB53" i="12"/>
  <c r="AC53" i="12" s="1"/>
  <c r="AB22" i="12"/>
  <c r="AC22" i="12" s="1"/>
  <c r="AB43" i="12"/>
  <c r="AC43" i="12" s="1"/>
  <c r="AB7" i="12"/>
  <c r="AC7" i="12" s="1"/>
  <c r="AB11" i="12"/>
  <c r="AC11" i="12" s="1"/>
  <c r="AB30" i="12"/>
  <c r="AC30" i="12" s="1"/>
  <c r="AB38" i="12"/>
  <c r="AC38" i="12" s="1"/>
  <c r="AB46" i="12"/>
  <c r="AC46" i="12" s="1"/>
  <c r="AB54" i="12"/>
  <c r="AC54" i="12" s="1"/>
  <c r="AB62" i="12"/>
  <c r="AC62" i="12" s="1"/>
  <c r="AB70" i="12"/>
  <c r="AC70" i="12" s="1"/>
  <c r="AB78" i="12"/>
  <c r="AC78" i="12" s="1"/>
  <c r="AB176" i="12"/>
  <c r="AC176" i="12" s="1"/>
  <c r="AB192" i="12"/>
  <c r="AC192" i="12" s="1"/>
  <c r="AB107" i="12"/>
  <c r="AC107" i="12" s="1"/>
  <c r="AB115" i="12"/>
  <c r="AC115" i="12" s="1"/>
  <c r="AB123" i="12"/>
  <c r="AC123" i="12" s="1"/>
  <c r="AB131" i="12"/>
  <c r="AC131" i="12" s="1"/>
  <c r="AB139" i="12"/>
  <c r="AC139" i="12" s="1"/>
  <c r="AB147" i="12"/>
  <c r="AC147" i="12" s="1"/>
  <c r="AB155" i="12"/>
  <c r="AC155" i="12" s="1"/>
  <c r="AB163" i="12"/>
  <c r="AC163" i="12" s="1"/>
  <c r="AB260" i="12"/>
  <c r="AC260" i="12" s="1"/>
  <c r="AB18" i="12"/>
  <c r="AC18" i="12" s="1"/>
  <c r="AB34" i="12"/>
  <c r="AC34" i="12" s="1"/>
  <c r="AB50" i="12"/>
  <c r="AC50" i="12" s="1"/>
  <c r="AB66" i="12"/>
  <c r="AC66" i="12" s="1"/>
  <c r="AB82" i="12"/>
  <c r="AC82" i="12" s="1"/>
  <c r="AB90" i="12"/>
  <c r="AC90" i="12" s="1"/>
  <c r="AB98" i="12"/>
  <c r="AC98" i="12" s="1"/>
  <c r="AB152" i="12"/>
  <c r="AC152" i="12" s="1"/>
  <c r="AB186" i="12"/>
  <c r="AC186" i="12" s="1"/>
  <c r="AB109" i="12"/>
  <c r="AC109" i="12" s="1"/>
  <c r="AB117" i="12"/>
  <c r="AC117" i="12" s="1"/>
  <c r="AB125" i="12"/>
  <c r="AC125" i="12" s="1"/>
  <c r="AB133" i="12"/>
  <c r="AC133" i="12" s="1"/>
  <c r="AB141" i="12"/>
  <c r="AC141" i="12" s="1"/>
  <c r="AB149" i="12"/>
  <c r="AC149" i="12" s="1"/>
  <c r="AB157" i="12"/>
  <c r="AC157" i="12" s="1"/>
  <c r="AB165" i="12"/>
  <c r="AC165" i="12" s="1"/>
  <c r="AB171" i="12"/>
  <c r="AC171" i="12" s="1"/>
  <c r="AB179" i="12"/>
  <c r="AC179" i="12" s="1"/>
  <c r="AB202" i="12"/>
  <c r="AC202" i="12" s="1"/>
  <c r="AB210" i="12"/>
  <c r="AC210" i="12" s="1"/>
  <c r="AB218" i="12"/>
  <c r="AC218" i="12" s="1"/>
  <c r="AB234" i="12"/>
  <c r="AC234" i="12" s="1"/>
  <c r="AB273" i="12"/>
  <c r="AC273" i="12" s="1"/>
  <c r="AB281" i="12"/>
  <c r="AC281" i="12" s="1"/>
  <c r="AB246" i="12"/>
  <c r="AC246" i="12" s="1"/>
  <c r="AB254" i="12"/>
  <c r="AC254" i="12" s="1"/>
  <c r="AB262" i="12"/>
  <c r="AC262" i="12" s="1"/>
  <c r="AB278" i="12"/>
  <c r="AC278" i="12" s="1"/>
  <c r="AB286" i="12"/>
  <c r="AC286" i="12" s="1"/>
  <c r="AB302" i="12"/>
  <c r="AC302" i="12" s="1"/>
  <c r="AB310" i="12"/>
  <c r="AC310" i="12" s="1"/>
  <c r="AB318" i="12"/>
  <c r="AC318" i="12" s="1"/>
  <c r="AB334" i="12"/>
  <c r="AC334" i="12" s="1"/>
  <c r="AB287" i="12"/>
  <c r="AC287" i="12" s="1"/>
  <c r="AB295" i="12"/>
  <c r="AC295" i="12" s="1"/>
  <c r="AB303" i="12"/>
  <c r="AC303" i="12" s="1"/>
  <c r="AB319" i="12"/>
  <c r="AC319" i="12" s="1"/>
  <c r="AB327" i="12"/>
  <c r="AC327" i="12" s="1"/>
  <c r="AB335" i="12"/>
  <c r="AC335" i="12" s="1"/>
  <c r="AB79" i="12"/>
  <c r="AC79" i="12" s="1"/>
  <c r="AB47" i="12"/>
  <c r="AC47" i="12" s="1"/>
  <c r="AB37" i="12"/>
  <c r="AC37" i="12" s="1"/>
  <c r="AB13" i="12"/>
  <c r="AC13" i="12" s="1"/>
  <c r="AB8" i="12"/>
  <c r="AC8" i="12" s="1"/>
  <c r="AB5" i="12"/>
  <c r="AC5" i="12" s="1"/>
  <c r="AB112" i="12"/>
  <c r="AC112" i="12" s="1"/>
  <c r="AB144" i="12"/>
  <c r="AC144" i="12" s="1"/>
  <c r="AB153" i="12"/>
  <c r="AC153" i="12" s="1"/>
  <c r="AB250" i="12"/>
  <c r="AC250" i="12" s="1"/>
  <c r="AB111" i="12"/>
  <c r="AC111" i="12" s="1"/>
  <c r="AB143" i="12"/>
  <c r="AC143" i="12" s="1"/>
  <c r="AB206" i="12"/>
  <c r="AC206" i="12" s="1"/>
  <c r="AB180" i="12"/>
  <c r="AC180" i="12" s="1"/>
  <c r="AB188" i="12"/>
  <c r="AC188" i="12" s="1"/>
  <c r="AB196" i="12"/>
  <c r="AC196" i="12" s="1"/>
  <c r="AB209" i="12"/>
  <c r="AC209" i="12" s="1"/>
  <c r="AB217" i="12"/>
  <c r="AC217" i="12" s="1"/>
  <c r="AB225" i="12"/>
  <c r="AC225" i="12" s="1"/>
  <c r="AB256" i="12"/>
  <c r="AC256" i="12" s="1"/>
  <c r="AB31" i="12"/>
  <c r="AC31" i="12" s="1"/>
  <c r="AB63" i="12"/>
  <c r="AC63" i="12" s="1"/>
  <c r="AB95" i="12"/>
  <c r="AC95" i="12" s="1"/>
  <c r="AB127" i="12"/>
  <c r="AC127" i="12" s="1"/>
  <c r="AB159" i="12"/>
  <c r="AC159" i="12" s="1"/>
  <c r="AB252" i="12"/>
  <c r="AC252" i="12" s="1"/>
  <c r="AB114" i="12"/>
  <c r="AC114" i="12" s="1"/>
  <c r="AB170" i="12"/>
  <c r="AC170" i="12" s="1"/>
  <c r="AB270" i="12"/>
  <c r="AC270" i="12" s="1"/>
  <c r="AB294" i="12"/>
  <c r="AC294" i="12" s="1"/>
  <c r="AB311" i="12"/>
  <c r="AC311" i="12" s="1"/>
  <c r="AB187" i="12"/>
  <c r="AC187" i="12" s="1"/>
  <c r="AB241" i="12"/>
  <c r="AC241" i="12" s="1"/>
  <c r="AB245" i="12"/>
  <c r="AC245" i="12" s="1"/>
  <c r="AB73" i="12"/>
  <c r="AC73" i="12" s="1"/>
  <c r="AB156" i="12"/>
  <c r="AC156" i="12" s="1"/>
  <c r="AB122" i="12"/>
  <c r="AC122" i="12" s="1"/>
  <c r="AB154" i="12"/>
  <c r="AC154" i="12" s="1"/>
  <c r="AB28" i="12"/>
  <c r="AC28" i="12" s="1"/>
  <c r="AB36" i="12"/>
  <c r="AC36" i="12" s="1"/>
  <c r="AB44" i="12"/>
  <c r="AC44" i="12" s="1"/>
  <c r="AB52" i="12"/>
  <c r="AC52" i="12" s="1"/>
  <c r="AB60" i="12"/>
  <c r="AC60" i="12" s="1"/>
  <c r="AB160" i="12"/>
  <c r="AC160" i="12" s="1"/>
  <c r="AB102" i="12"/>
  <c r="AC102" i="12" s="1"/>
  <c r="AB134" i="12"/>
  <c r="AC134" i="12" s="1"/>
  <c r="AB166" i="12"/>
  <c r="AC166" i="12" s="1"/>
  <c r="AB172" i="12"/>
  <c r="AC172" i="12" s="1"/>
  <c r="AB259" i="12"/>
  <c r="AC259" i="12" s="1"/>
  <c r="AB267" i="12"/>
  <c r="AC267" i="12" s="1"/>
  <c r="AB275" i="12"/>
  <c r="AC275" i="12" s="1"/>
  <c r="AB283" i="12"/>
  <c r="AC283" i="12" s="1"/>
  <c r="AB264" i="12"/>
  <c r="AC264" i="12" s="1"/>
  <c r="AB272" i="12"/>
  <c r="AC272" i="12" s="1"/>
  <c r="AB280" i="12"/>
  <c r="AC280" i="12" s="1"/>
  <c r="AB288" i="12"/>
  <c r="AC288" i="12" s="1"/>
  <c r="AB296" i="12"/>
  <c r="AC296" i="12" s="1"/>
  <c r="AB304" i="12"/>
  <c r="AC304" i="12" s="1"/>
  <c r="AB312" i="12"/>
  <c r="AC312" i="12" s="1"/>
  <c r="AB320" i="12"/>
  <c r="AC320" i="12" s="1"/>
  <c r="AB328" i="12"/>
  <c r="AC328" i="12" s="1"/>
  <c r="AB336" i="12"/>
  <c r="AC336" i="12" s="1"/>
  <c r="AB289" i="12"/>
  <c r="AC289" i="12" s="1"/>
  <c r="AB297" i="12"/>
  <c r="AC297" i="12" s="1"/>
  <c r="AB305" i="12"/>
  <c r="AC305" i="12" s="1"/>
  <c r="AB313" i="12"/>
  <c r="AC313" i="12" s="1"/>
  <c r="AB321" i="12"/>
  <c r="AC321" i="12" s="1"/>
  <c r="AB329" i="12"/>
  <c r="AC329" i="12" s="1"/>
  <c r="AB337" i="12"/>
  <c r="AC337" i="12" s="1"/>
  <c r="AB77" i="12"/>
  <c r="AC77" i="12" s="1"/>
  <c r="AB181" i="12"/>
  <c r="AC181" i="12" s="1"/>
  <c r="AB189" i="12"/>
  <c r="AC189" i="12" s="1"/>
  <c r="AB197" i="12"/>
  <c r="AC197" i="12" s="1"/>
  <c r="AB203" i="12"/>
  <c r="AC203" i="12" s="1"/>
  <c r="AB211" i="12"/>
  <c r="AC211" i="12" s="1"/>
  <c r="AB219" i="12"/>
  <c r="AC219" i="12" s="1"/>
  <c r="AB227" i="12"/>
  <c r="AC227" i="12" s="1"/>
  <c r="AB235" i="12"/>
  <c r="AC235" i="12" s="1"/>
  <c r="AB247" i="12"/>
  <c r="AC247" i="12" s="1"/>
  <c r="AB255" i="12"/>
  <c r="AC255" i="12" s="1"/>
  <c r="AB126" i="12"/>
  <c r="AC126" i="12" s="1"/>
  <c r="AB265" i="12"/>
  <c r="AC265" i="12" s="1"/>
  <c r="AB326" i="12"/>
  <c r="AC326" i="12" s="1"/>
  <c r="AB69" i="12"/>
  <c r="AC69" i="12" s="1"/>
  <c r="AB195" i="12"/>
  <c r="AC195" i="12" s="1"/>
  <c r="AB233" i="12"/>
  <c r="AC233" i="12" s="1"/>
  <c r="AB81" i="12"/>
  <c r="AC81" i="12" s="1"/>
  <c r="AB130" i="12"/>
  <c r="AC130" i="12" s="1"/>
  <c r="AB162" i="12"/>
  <c r="AC162" i="12" s="1"/>
  <c r="AB86" i="12"/>
  <c r="AC86" i="12" s="1"/>
  <c r="AB94" i="12"/>
  <c r="AC94" i="12" s="1"/>
  <c r="AB168" i="12"/>
  <c r="AC168" i="12" s="1"/>
  <c r="AB110" i="12"/>
  <c r="AC110" i="12" s="1"/>
  <c r="AB142" i="12"/>
  <c r="AC142" i="12" s="1"/>
  <c r="AB105" i="12"/>
  <c r="AC105" i="12" s="1"/>
  <c r="AB113" i="12"/>
  <c r="AC113" i="12" s="1"/>
  <c r="AB121" i="12"/>
  <c r="AC121" i="12" s="1"/>
  <c r="AB129" i="12"/>
  <c r="AC129" i="12" s="1"/>
  <c r="AB137" i="12"/>
  <c r="AC137" i="12" s="1"/>
  <c r="AB145" i="12"/>
  <c r="AC145" i="12" s="1"/>
  <c r="AB261" i="12"/>
  <c r="AC261" i="12" s="1"/>
  <c r="AB269" i="12"/>
  <c r="AC269" i="12" s="1"/>
  <c r="AB277" i="12"/>
  <c r="AC277" i="12" s="1"/>
  <c r="AB285" i="12"/>
  <c r="AC285" i="12" s="1"/>
  <c r="AB258" i="12"/>
  <c r="AC258" i="12" s="1"/>
  <c r="AB266" i="12"/>
  <c r="AC266" i="12" s="1"/>
  <c r="AB274" i="12"/>
  <c r="AC274" i="12" s="1"/>
  <c r="AB282" i="12"/>
  <c r="AC282" i="12" s="1"/>
  <c r="AB290" i="12"/>
  <c r="AC290" i="12" s="1"/>
  <c r="AB298" i="12"/>
  <c r="AC298" i="12" s="1"/>
  <c r="AB306" i="12"/>
  <c r="AC306" i="12" s="1"/>
  <c r="AB314" i="12"/>
  <c r="AC314" i="12" s="1"/>
  <c r="AB322" i="12"/>
  <c r="AC322" i="12" s="1"/>
  <c r="AB330" i="12"/>
  <c r="AC330" i="12" s="1"/>
  <c r="AB338" i="12"/>
  <c r="AC338" i="12" s="1"/>
  <c r="AB291" i="12"/>
  <c r="AC291" i="12" s="1"/>
  <c r="AB299" i="12"/>
  <c r="AC299" i="12" s="1"/>
  <c r="AB307" i="12"/>
  <c r="AC307" i="12" s="1"/>
  <c r="AB315" i="12"/>
  <c r="AC315" i="12" s="1"/>
  <c r="AB323" i="12"/>
  <c r="AC323" i="12" s="1"/>
  <c r="AB331" i="12"/>
  <c r="AC331" i="12" s="1"/>
  <c r="AB339" i="12"/>
  <c r="AC339" i="12" s="1"/>
  <c r="AB164" i="12"/>
  <c r="AC164" i="12" s="1"/>
  <c r="AB85" i="12"/>
  <c r="AC85" i="12" s="1"/>
  <c r="AB183" i="12"/>
  <c r="AC183" i="12" s="1"/>
  <c r="AB191" i="12"/>
  <c r="AC191" i="12" s="1"/>
  <c r="AB199" i="12"/>
  <c r="AC199" i="12" s="1"/>
  <c r="AB205" i="12"/>
  <c r="AC205" i="12" s="1"/>
  <c r="AB213" i="12"/>
  <c r="AC213" i="12" s="1"/>
  <c r="AB221" i="12"/>
  <c r="AC221" i="12" s="1"/>
  <c r="AB229" i="12"/>
  <c r="AC229" i="12" s="1"/>
  <c r="AB237" i="12"/>
  <c r="AC237" i="12" s="1"/>
  <c r="AB249" i="12"/>
  <c r="AC249" i="12" s="1"/>
  <c r="AB257" i="12"/>
  <c r="AC257" i="12" s="1"/>
  <c r="AB146" i="12"/>
  <c r="AC146" i="12" s="1"/>
  <c r="AB158" i="12"/>
  <c r="AC158" i="12" s="1"/>
  <c r="AB101" i="12"/>
  <c r="AC101" i="12" s="1"/>
  <c r="AB201" i="12"/>
  <c r="AC201" i="12" s="1"/>
  <c r="AB253" i="12"/>
  <c r="AC253" i="12" s="1"/>
  <c r="AB89" i="12"/>
  <c r="AC89" i="12" s="1"/>
  <c r="AB106" i="12"/>
  <c r="AC106" i="12" s="1"/>
  <c r="AB138" i="12"/>
  <c r="AC138" i="12" s="1"/>
  <c r="AB24" i="12"/>
  <c r="AC24" i="12" s="1"/>
  <c r="AB32" i="12"/>
  <c r="AC32" i="12" s="1"/>
  <c r="AB40" i="12"/>
  <c r="AC40" i="12" s="1"/>
  <c r="AB48" i="12"/>
  <c r="AC48" i="12" s="1"/>
  <c r="AB56" i="12"/>
  <c r="AC56" i="12" s="1"/>
  <c r="AB64" i="12"/>
  <c r="AC64" i="12" s="1"/>
  <c r="AB118" i="12"/>
  <c r="AC118" i="12" s="1"/>
  <c r="AB150" i="12"/>
  <c r="AC150" i="12" s="1"/>
  <c r="AB263" i="12"/>
  <c r="AC263" i="12" s="1"/>
  <c r="AB271" i="12"/>
  <c r="AC271" i="12" s="1"/>
  <c r="AB279" i="12"/>
  <c r="AC279" i="12" s="1"/>
  <c r="AB268" i="12"/>
  <c r="AC268" i="12" s="1"/>
  <c r="AB276" i="12"/>
  <c r="AC276" i="12" s="1"/>
  <c r="AB284" i="12"/>
  <c r="AC284" i="12" s="1"/>
  <c r="AB292" i="12"/>
  <c r="AC292" i="12" s="1"/>
  <c r="AB300" i="12"/>
  <c r="AC300" i="12" s="1"/>
  <c r="AB308" i="12"/>
  <c r="AC308" i="12" s="1"/>
  <c r="AB316" i="12"/>
  <c r="AC316" i="12" s="1"/>
  <c r="AB324" i="12"/>
  <c r="AC324" i="12" s="1"/>
  <c r="AB332" i="12"/>
  <c r="AC332" i="12" s="1"/>
  <c r="AB340" i="12"/>
  <c r="AC340" i="12" s="1"/>
  <c r="AB293" i="12"/>
  <c r="AC293" i="12" s="1"/>
  <c r="AB301" i="12"/>
  <c r="AC301" i="12" s="1"/>
  <c r="AB309" i="12"/>
  <c r="AC309" i="12" s="1"/>
  <c r="AB317" i="12"/>
  <c r="AC317" i="12" s="1"/>
  <c r="AB325" i="12"/>
  <c r="AC325" i="12" s="1"/>
  <c r="AB333" i="12"/>
  <c r="AC333" i="12" s="1"/>
  <c r="AB341" i="12"/>
  <c r="AC341" i="12" s="1"/>
  <c r="AB93" i="12"/>
  <c r="AC93" i="12" s="1"/>
  <c r="AB185" i="12"/>
  <c r="AC185" i="12" s="1"/>
  <c r="AB193" i="12"/>
  <c r="AC193" i="12" s="1"/>
  <c r="AB207" i="12"/>
  <c r="AC207" i="12" s="1"/>
  <c r="AB215" i="12"/>
  <c r="AC215" i="12" s="1"/>
  <c r="AB223" i="12"/>
  <c r="AC223" i="12" s="1"/>
  <c r="AB231" i="12"/>
  <c r="AC231" i="12" s="1"/>
  <c r="AB239" i="12"/>
  <c r="AC239" i="12" s="1"/>
  <c r="AB243" i="12"/>
  <c r="AC243" i="12" s="1"/>
  <c r="AB251" i="12"/>
  <c r="AC251" i="12" s="1"/>
  <c r="AL22" i="12" l="1"/>
  <c r="AK22" i="12"/>
  <c r="AG22" i="12"/>
  <c r="AI22" i="12"/>
  <c r="AD2" i="12"/>
  <c r="AJ22" i="12"/>
  <c r="AH22" i="12"/>
  <c r="X340" i="3" l="1"/>
  <c r="Y144" i="3"/>
  <c r="X314" i="3"/>
  <c r="V341" i="3"/>
  <c r="X341" i="3"/>
  <c r="Z340" i="3"/>
  <c r="X313" i="3"/>
  <c r="Y284" i="3"/>
  <c r="Z341" i="3"/>
  <c r="AA2" i="3"/>
  <c r="AA3" i="3"/>
  <c r="AA5" i="3"/>
  <c r="AA7" i="3"/>
  <c r="AA9" i="3"/>
  <c r="AA11" i="3"/>
  <c r="AA13" i="3"/>
  <c r="AA15" i="3"/>
  <c r="AA17" i="3"/>
  <c r="AA19" i="3"/>
  <c r="AA21" i="3"/>
  <c r="AA23" i="3"/>
  <c r="AA25" i="3"/>
  <c r="AA27" i="3"/>
  <c r="AA29" i="3"/>
  <c r="AA31" i="3"/>
  <c r="AA33" i="3"/>
  <c r="AA35" i="3"/>
  <c r="AA37" i="3"/>
  <c r="AA39" i="3"/>
  <c r="AA41" i="3"/>
  <c r="AA43" i="3"/>
  <c r="AA45" i="3"/>
  <c r="AA47" i="3"/>
  <c r="AA49" i="3"/>
  <c r="AA51" i="3"/>
  <c r="AA53" i="3"/>
  <c r="AA55" i="3"/>
  <c r="AA57" i="3"/>
  <c r="AA8" i="3"/>
  <c r="AA16" i="3"/>
  <c r="AA24" i="3"/>
  <c r="AA36" i="3"/>
  <c r="AA44" i="3"/>
  <c r="AA52" i="3"/>
  <c r="AA59" i="3"/>
  <c r="AA61" i="3"/>
  <c r="AA63" i="3"/>
  <c r="AA65" i="3"/>
  <c r="AA67" i="3"/>
  <c r="AA69" i="3"/>
  <c r="AA71" i="3"/>
  <c r="AA73" i="3"/>
  <c r="AA75" i="3"/>
  <c r="AA77" i="3"/>
  <c r="AA79" i="3"/>
  <c r="AA81" i="3"/>
  <c r="AA83" i="3"/>
  <c r="AA85" i="3"/>
  <c r="AA6" i="3"/>
  <c r="AA14" i="3"/>
  <c r="AA22" i="3"/>
  <c r="AA30" i="3"/>
  <c r="AA38" i="3"/>
  <c r="AA46" i="3"/>
  <c r="AA54" i="3"/>
  <c r="AA4" i="3"/>
  <c r="AA12" i="3"/>
  <c r="AA20" i="3"/>
  <c r="AA28" i="3"/>
  <c r="AA32" i="3"/>
  <c r="AA40" i="3"/>
  <c r="AA48" i="3"/>
  <c r="AA56" i="3"/>
  <c r="AA60" i="3"/>
  <c r="AA62" i="3"/>
  <c r="AA64" i="3"/>
  <c r="AA66" i="3"/>
  <c r="AA68" i="3"/>
  <c r="AA70" i="3"/>
  <c r="AA72" i="3"/>
  <c r="AA74" i="3"/>
  <c r="AA76" i="3"/>
  <c r="AA78" i="3"/>
  <c r="AA80" i="3"/>
  <c r="AA82" i="3"/>
  <c r="AA84" i="3"/>
  <c r="AA86" i="3"/>
  <c r="AA26" i="3"/>
  <c r="AA50" i="3"/>
  <c r="AA88" i="3"/>
  <c r="AA90" i="3"/>
  <c r="AA92" i="3"/>
  <c r="AA94" i="3"/>
  <c r="AA96" i="3"/>
  <c r="AA98" i="3"/>
  <c r="AA100" i="3"/>
  <c r="AA102" i="3"/>
  <c r="AA104" i="3"/>
  <c r="AA106" i="3"/>
  <c r="AA108" i="3"/>
  <c r="AA110" i="3"/>
  <c r="AA112" i="3"/>
  <c r="AA114" i="3"/>
  <c r="AA116" i="3"/>
  <c r="AA118" i="3"/>
  <c r="AA120" i="3"/>
  <c r="AA122" i="3"/>
  <c r="AA124" i="3"/>
  <c r="AA126" i="3"/>
  <c r="AA128" i="3"/>
  <c r="AA18" i="3"/>
  <c r="AA58" i="3"/>
  <c r="AA10" i="3"/>
  <c r="AA34" i="3"/>
  <c r="AA87" i="3"/>
  <c r="AA89" i="3"/>
  <c r="AA91" i="3"/>
  <c r="AA93" i="3"/>
  <c r="AA95" i="3"/>
  <c r="AA97" i="3"/>
  <c r="AA99" i="3"/>
  <c r="AA101" i="3"/>
  <c r="AA103" i="3"/>
  <c r="AA105" i="3"/>
  <c r="AA107" i="3"/>
  <c r="AA109" i="3"/>
  <c r="AA111" i="3"/>
  <c r="AA113" i="3"/>
  <c r="AA115" i="3"/>
  <c r="AA117" i="3"/>
  <c r="AA119" i="3"/>
  <c r="AA121" i="3"/>
  <c r="AA123" i="3"/>
  <c r="AA125" i="3"/>
  <c r="AA127" i="3"/>
  <c r="AA42" i="3"/>
  <c r="AA130" i="3"/>
  <c r="AA132" i="3"/>
  <c r="AA134" i="3"/>
  <c r="AA136" i="3"/>
  <c r="AA138" i="3"/>
  <c r="AA140" i="3"/>
  <c r="AA142" i="3"/>
  <c r="AA144" i="3"/>
  <c r="AA146" i="3"/>
  <c r="AA148" i="3"/>
  <c r="AA150" i="3"/>
  <c r="AA152" i="3"/>
  <c r="AA154" i="3"/>
  <c r="AA156" i="3"/>
  <c r="AA158" i="3"/>
  <c r="AA160" i="3"/>
  <c r="AA162" i="3"/>
  <c r="AA164" i="3"/>
  <c r="AA166" i="3"/>
  <c r="AA168" i="3"/>
  <c r="AA170" i="3"/>
  <c r="AA172" i="3"/>
  <c r="AA174" i="3"/>
  <c r="AA176" i="3"/>
  <c r="AA178" i="3"/>
  <c r="AA180" i="3"/>
  <c r="AA182" i="3"/>
  <c r="AA184" i="3"/>
  <c r="AA186" i="3"/>
  <c r="AA188" i="3"/>
  <c r="AA190" i="3"/>
  <c r="AA192" i="3"/>
  <c r="AA194" i="3"/>
  <c r="AA196" i="3"/>
  <c r="AA198" i="3"/>
  <c r="AA200" i="3"/>
  <c r="AA202" i="3"/>
  <c r="AA204" i="3"/>
  <c r="AA206" i="3"/>
  <c r="AA208" i="3"/>
  <c r="AA210" i="3"/>
  <c r="AA212" i="3"/>
  <c r="AA214" i="3"/>
  <c r="AA216" i="3"/>
  <c r="AA218" i="3"/>
  <c r="AA220" i="3"/>
  <c r="AA222" i="3"/>
  <c r="AA131" i="3"/>
  <c r="AA139" i="3"/>
  <c r="AA147" i="3"/>
  <c r="AA155" i="3"/>
  <c r="AA163" i="3"/>
  <c r="AA171" i="3"/>
  <c r="AA179" i="3"/>
  <c r="AA187" i="3"/>
  <c r="AA195" i="3"/>
  <c r="AA203" i="3"/>
  <c r="AA211" i="3"/>
  <c r="AA219" i="3"/>
  <c r="AA224" i="3"/>
  <c r="AA129" i="3"/>
  <c r="AA137" i="3"/>
  <c r="AA145" i="3"/>
  <c r="AA153" i="3"/>
  <c r="AA161" i="3"/>
  <c r="AA169" i="3"/>
  <c r="AA177" i="3"/>
  <c r="AA185" i="3"/>
  <c r="AA193" i="3"/>
  <c r="AA201" i="3"/>
  <c r="AA209" i="3"/>
  <c r="AA217" i="3"/>
  <c r="AA227" i="3"/>
  <c r="AA228" i="3"/>
  <c r="AA230" i="3"/>
  <c r="AA232" i="3"/>
  <c r="AA234" i="3"/>
  <c r="AA236" i="3"/>
  <c r="AA238" i="3"/>
  <c r="AA240" i="3"/>
  <c r="AA242" i="3"/>
  <c r="AA244" i="3"/>
  <c r="AA246" i="3"/>
  <c r="AA248" i="3"/>
  <c r="AA250" i="3"/>
  <c r="AA252" i="3"/>
  <c r="AA254" i="3"/>
  <c r="AA256" i="3"/>
  <c r="AA258" i="3"/>
  <c r="AA260" i="3"/>
  <c r="AA262" i="3"/>
  <c r="AA264" i="3"/>
  <c r="AA266" i="3"/>
  <c r="AA268" i="3"/>
  <c r="AA270" i="3"/>
  <c r="AA272" i="3"/>
  <c r="AA274" i="3"/>
  <c r="AA276" i="3"/>
  <c r="AA278" i="3"/>
  <c r="AA280" i="3"/>
  <c r="AA282" i="3"/>
  <c r="AA284" i="3"/>
  <c r="AA286" i="3"/>
  <c r="AA288" i="3"/>
  <c r="AA290" i="3"/>
  <c r="AA292" i="3"/>
  <c r="AA294" i="3"/>
  <c r="AA296" i="3"/>
  <c r="AA298" i="3"/>
  <c r="AA300" i="3"/>
  <c r="AA302" i="3"/>
  <c r="AA135" i="3"/>
  <c r="AA143" i="3"/>
  <c r="AA151" i="3"/>
  <c r="AA159" i="3"/>
  <c r="AA167" i="3"/>
  <c r="AA175" i="3"/>
  <c r="AA183" i="3"/>
  <c r="AA191" i="3"/>
  <c r="AA199" i="3"/>
  <c r="AA207" i="3"/>
  <c r="AA215" i="3"/>
  <c r="AA223" i="3"/>
  <c r="AA226" i="3"/>
  <c r="W2" i="3"/>
  <c r="W3" i="3"/>
  <c r="W5" i="3"/>
  <c r="W7" i="3"/>
  <c r="W9" i="3"/>
  <c r="W11" i="3"/>
  <c r="W13" i="3"/>
  <c r="W15" i="3"/>
  <c r="W17" i="3"/>
  <c r="W19" i="3"/>
  <c r="W21" i="3"/>
  <c r="W23" i="3"/>
  <c r="W25" i="3"/>
  <c r="W27" i="3"/>
  <c r="W29" i="3"/>
  <c r="W31" i="3"/>
  <c r="W33" i="3"/>
  <c r="W35" i="3"/>
  <c r="W37" i="3"/>
  <c r="W39" i="3"/>
  <c r="W41" i="3"/>
  <c r="W43" i="3"/>
  <c r="W45" i="3"/>
  <c r="W47" i="3"/>
  <c r="W49" i="3"/>
  <c r="W51" i="3"/>
  <c r="W53" i="3"/>
  <c r="W55" i="3"/>
  <c r="W57" i="3"/>
  <c r="W59" i="3"/>
  <c r="W6" i="3"/>
  <c r="W14" i="3"/>
  <c r="W22" i="3"/>
  <c r="W30" i="3"/>
  <c r="W34" i="3"/>
  <c r="W42" i="3"/>
  <c r="W50" i="3"/>
  <c r="W58" i="3"/>
  <c r="W61" i="3"/>
  <c r="W63" i="3"/>
  <c r="W65" i="3"/>
  <c r="W67" i="3"/>
  <c r="W69" i="3"/>
  <c r="W71" i="3"/>
  <c r="W73" i="3"/>
  <c r="W75" i="3"/>
  <c r="W77" i="3"/>
  <c r="W79" i="3"/>
  <c r="W81" i="3"/>
  <c r="W83" i="3"/>
  <c r="W85" i="3"/>
  <c r="W87" i="3"/>
  <c r="W4" i="3"/>
  <c r="W12" i="3"/>
  <c r="W20" i="3"/>
  <c r="W28" i="3"/>
  <c r="W36" i="3"/>
  <c r="W44" i="3"/>
  <c r="W52" i="3"/>
  <c r="W10" i="3"/>
  <c r="W18" i="3"/>
  <c r="W26" i="3"/>
  <c r="W38" i="3"/>
  <c r="W46" i="3"/>
  <c r="W54" i="3"/>
  <c r="W60" i="3"/>
  <c r="W62" i="3"/>
  <c r="W64" i="3"/>
  <c r="W66" i="3"/>
  <c r="W68" i="3"/>
  <c r="W70" i="3"/>
  <c r="W72" i="3"/>
  <c r="W74" i="3"/>
  <c r="W76" i="3"/>
  <c r="W78" i="3"/>
  <c r="W80" i="3"/>
  <c r="W82" i="3"/>
  <c r="W84" i="3"/>
  <c r="W86" i="3"/>
  <c r="W16" i="3"/>
  <c r="W40" i="3"/>
  <c r="W88" i="3"/>
  <c r="W90" i="3"/>
  <c r="W92" i="3"/>
  <c r="W94" i="3"/>
  <c r="W96" i="3"/>
  <c r="W98" i="3"/>
  <c r="W100" i="3"/>
  <c r="W102" i="3"/>
  <c r="W104" i="3"/>
  <c r="W106" i="3"/>
  <c r="W108" i="3"/>
  <c r="W110" i="3"/>
  <c r="W112" i="3"/>
  <c r="W114" i="3"/>
  <c r="W116" i="3"/>
  <c r="W118" i="3"/>
  <c r="W120" i="3"/>
  <c r="W122" i="3"/>
  <c r="W124" i="3"/>
  <c r="W126" i="3"/>
  <c r="W128" i="3"/>
  <c r="W8" i="3"/>
  <c r="W48" i="3"/>
  <c r="W56" i="3"/>
  <c r="W89" i="3"/>
  <c r="W91" i="3"/>
  <c r="W93" i="3"/>
  <c r="W95" i="3"/>
  <c r="W97" i="3"/>
  <c r="W99" i="3"/>
  <c r="W101" i="3"/>
  <c r="W103" i="3"/>
  <c r="W105" i="3"/>
  <c r="W107" i="3"/>
  <c r="W109" i="3"/>
  <c r="W111" i="3"/>
  <c r="W113" i="3"/>
  <c r="W115" i="3"/>
  <c r="W117" i="3"/>
  <c r="W119" i="3"/>
  <c r="W121" i="3"/>
  <c r="W123" i="3"/>
  <c r="W125" i="3"/>
  <c r="W127" i="3"/>
  <c r="W129" i="3"/>
  <c r="W24" i="3"/>
  <c r="W130" i="3"/>
  <c r="W132" i="3"/>
  <c r="W134" i="3"/>
  <c r="W136" i="3"/>
  <c r="W138" i="3"/>
  <c r="W140" i="3"/>
  <c r="W142" i="3"/>
  <c r="W144" i="3"/>
  <c r="W146" i="3"/>
  <c r="W148" i="3"/>
  <c r="W150" i="3"/>
  <c r="W152" i="3"/>
  <c r="W154" i="3"/>
  <c r="W156" i="3"/>
  <c r="W158" i="3"/>
  <c r="W160" i="3"/>
  <c r="W162" i="3"/>
  <c r="W164" i="3"/>
  <c r="W166" i="3"/>
  <c r="W168" i="3"/>
  <c r="W170" i="3"/>
  <c r="W172" i="3"/>
  <c r="W174" i="3"/>
  <c r="W176" i="3"/>
  <c r="W178" i="3"/>
  <c r="W180" i="3"/>
  <c r="W182" i="3"/>
  <c r="W184" i="3"/>
  <c r="W186" i="3"/>
  <c r="W188" i="3"/>
  <c r="W190" i="3"/>
  <c r="W192" i="3"/>
  <c r="W194" i="3"/>
  <c r="W196" i="3"/>
  <c r="W198" i="3"/>
  <c r="W200" i="3"/>
  <c r="W202" i="3"/>
  <c r="W204" i="3"/>
  <c r="W206" i="3"/>
  <c r="W208" i="3"/>
  <c r="W210" i="3"/>
  <c r="W212" i="3"/>
  <c r="W214" i="3"/>
  <c r="W216" i="3"/>
  <c r="W218" i="3"/>
  <c r="W220" i="3"/>
  <c r="W222" i="3"/>
  <c r="W224" i="3"/>
  <c r="W32" i="3"/>
  <c r="W137" i="3"/>
  <c r="W145" i="3"/>
  <c r="W153" i="3"/>
  <c r="W161" i="3"/>
  <c r="W169" i="3"/>
  <c r="W177" i="3"/>
  <c r="W185" i="3"/>
  <c r="W193" i="3"/>
  <c r="W201" i="3"/>
  <c r="W209" i="3"/>
  <c r="W217" i="3"/>
  <c r="W226" i="3"/>
  <c r="W135" i="3"/>
  <c r="W143" i="3"/>
  <c r="W151" i="3"/>
  <c r="W159" i="3"/>
  <c r="W167" i="3"/>
  <c r="W175" i="3"/>
  <c r="W183" i="3"/>
  <c r="W191" i="3"/>
  <c r="W199" i="3"/>
  <c r="W207" i="3"/>
  <c r="W215" i="3"/>
  <c r="W223" i="3"/>
  <c r="W225" i="3"/>
  <c r="W230" i="3"/>
  <c r="W232" i="3"/>
  <c r="W234" i="3"/>
  <c r="W236" i="3"/>
  <c r="W238" i="3"/>
  <c r="W240" i="3"/>
  <c r="W242" i="3"/>
  <c r="W244" i="3"/>
  <c r="W246" i="3"/>
  <c r="W248" i="3"/>
  <c r="W250" i="3"/>
  <c r="W252" i="3"/>
  <c r="W254" i="3"/>
  <c r="W256" i="3"/>
  <c r="W258" i="3"/>
  <c r="W260" i="3"/>
  <c r="W262" i="3"/>
  <c r="W264" i="3"/>
  <c r="W266" i="3"/>
  <c r="W268" i="3"/>
  <c r="W270" i="3"/>
  <c r="W272" i="3"/>
  <c r="W274" i="3"/>
  <c r="W276" i="3"/>
  <c r="W278" i="3"/>
  <c r="W280" i="3"/>
  <c r="W282" i="3"/>
  <c r="W284" i="3"/>
  <c r="W286" i="3"/>
  <c r="W288" i="3"/>
  <c r="W290" i="3"/>
  <c r="W292" i="3"/>
  <c r="W294" i="3"/>
  <c r="W296" i="3"/>
  <c r="W298" i="3"/>
  <c r="W300" i="3"/>
  <c r="W302" i="3"/>
  <c r="W133" i="3"/>
  <c r="W141" i="3"/>
  <c r="W149" i="3"/>
  <c r="W157" i="3"/>
  <c r="W165" i="3"/>
  <c r="W173" i="3"/>
  <c r="W181" i="3"/>
  <c r="W189" i="3"/>
  <c r="W197" i="3"/>
  <c r="W205" i="3"/>
  <c r="W213" i="3"/>
  <c r="W221" i="3"/>
  <c r="W228" i="3"/>
  <c r="V340" i="3"/>
  <c r="V338" i="3"/>
  <c r="V336" i="3"/>
  <c r="V334" i="3"/>
  <c r="V332" i="3"/>
  <c r="V330" i="3"/>
  <c r="V328" i="3"/>
  <c r="V326" i="3"/>
  <c r="V324" i="3"/>
  <c r="V322" i="3"/>
  <c r="V320" i="3"/>
  <c r="V318" i="3"/>
  <c r="V316" i="3"/>
  <c r="V314" i="3"/>
  <c r="W311" i="3"/>
  <c r="W307" i="3"/>
  <c r="W303" i="3"/>
  <c r="W295" i="3"/>
  <c r="W287" i="3"/>
  <c r="Y276" i="3"/>
  <c r="Y268" i="3"/>
  <c r="Y260" i="3"/>
  <c r="W255" i="3"/>
  <c r="W247" i="3"/>
  <c r="W239" i="3"/>
  <c r="W231" i="3"/>
  <c r="W211" i="3"/>
  <c r="Y200" i="3"/>
  <c r="Y168" i="3"/>
  <c r="AA157" i="3"/>
  <c r="W147" i="3"/>
  <c r="Y136" i="3"/>
  <c r="X115" i="3"/>
  <c r="V3" i="3"/>
  <c r="V5" i="3"/>
  <c r="V7" i="3"/>
  <c r="V9" i="3"/>
  <c r="V11" i="3"/>
  <c r="V13" i="3"/>
  <c r="V15" i="3"/>
  <c r="V17" i="3"/>
  <c r="V19" i="3"/>
  <c r="V21" i="3"/>
  <c r="V23" i="3"/>
  <c r="V25" i="3"/>
  <c r="V27" i="3"/>
  <c r="V29" i="3"/>
  <c r="V4" i="3"/>
  <c r="V6" i="3"/>
  <c r="V8" i="3"/>
  <c r="V10" i="3"/>
  <c r="V12" i="3"/>
  <c r="V14" i="3"/>
  <c r="V16" i="3"/>
  <c r="V18" i="3"/>
  <c r="V20" i="3"/>
  <c r="V22" i="3"/>
  <c r="V24" i="3"/>
  <c r="V26" i="3"/>
  <c r="V28" i="3"/>
  <c r="V30" i="3"/>
  <c r="V35" i="3"/>
  <c r="V36" i="3"/>
  <c r="V43" i="3"/>
  <c r="V44" i="3"/>
  <c r="V51" i="3"/>
  <c r="V52" i="3"/>
  <c r="V59" i="3"/>
  <c r="V37" i="3"/>
  <c r="V38" i="3"/>
  <c r="V45" i="3"/>
  <c r="V46" i="3"/>
  <c r="V53" i="3"/>
  <c r="V54" i="3"/>
  <c r="V60" i="3"/>
  <c r="V62" i="3"/>
  <c r="V64" i="3"/>
  <c r="V66" i="3"/>
  <c r="V68" i="3"/>
  <c r="V70" i="3"/>
  <c r="V72" i="3"/>
  <c r="V74" i="3"/>
  <c r="V76" i="3"/>
  <c r="V78" i="3"/>
  <c r="V80" i="3"/>
  <c r="V82" i="3"/>
  <c r="V84" i="3"/>
  <c r="V31" i="3"/>
  <c r="V32" i="3"/>
  <c r="V39" i="3"/>
  <c r="V40" i="3"/>
  <c r="V47" i="3"/>
  <c r="V48" i="3"/>
  <c r="V55" i="3"/>
  <c r="V56" i="3"/>
  <c r="V33" i="3"/>
  <c r="V58" i="3"/>
  <c r="V61" i="3"/>
  <c r="V69" i="3"/>
  <c r="V77" i="3"/>
  <c r="V86" i="3"/>
  <c r="V34" i="3"/>
  <c r="V41" i="3"/>
  <c r="V67" i="3"/>
  <c r="V75" i="3"/>
  <c r="V83" i="3"/>
  <c r="V85" i="3"/>
  <c r="V89" i="3"/>
  <c r="V91" i="3"/>
  <c r="V93" i="3"/>
  <c r="V95" i="3"/>
  <c r="V97" i="3"/>
  <c r="V99" i="3"/>
  <c r="V101" i="3"/>
  <c r="V103" i="3"/>
  <c r="V105" i="3"/>
  <c r="V107" i="3"/>
  <c r="V109" i="3"/>
  <c r="V111" i="3"/>
  <c r="V113" i="3"/>
  <c r="V115" i="3"/>
  <c r="V117" i="3"/>
  <c r="V119" i="3"/>
  <c r="V121" i="3"/>
  <c r="V123" i="3"/>
  <c r="V125" i="3"/>
  <c r="V127" i="3"/>
  <c r="V42" i="3"/>
  <c r="V49" i="3"/>
  <c r="V65" i="3"/>
  <c r="V73" i="3"/>
  <c r="V81" i="3"/>
  <c r="V92" i="3"/>
  <c r="V100" i="3"/>
  <c r="V108" i="3"/>
  <c r="V116" i="3"/>
  <c r="V124" i="3"/>
  <c r="V129" i="3"/>
  <c r="V130" i="3"/>
  <c r="V132" i="3"/>
  <c r="V134" i="3"/>
  <c r="V136" i="3"/>
  <c r="V138" i="3"/>
  <c r="V140" i="3"/>
  <c r="V142" i="3"/>
  <c r="V144" i="3"/>
  <c r="V146" i="3"/>
  <c r="V148" i="3"/>
  <c r="V150" i="3"/>
  <c r="V152" i="3"/>
  <c r="V154" i="3"/>
  <c r="V156" i="3"/>
  <c r="V158" i="3"/>
  <c r="V160" i="3"/>
  <c r="V162" i="3"/>
  <c r="V164" i="3"/>
  <c r="V166" i="3"/>
  <c r="V168" i="3"/>
  <c r="V170" i="3"/>
  <c r="V172" i="3"/>
  <c r="V174" i="3"/>
  <c r="V176" i="3"/>
  <c r="V178" i="3"/>
  <c r="V180" i="3"/>
  <c r="V182" i="3"/>
  <c r="V184" i="3"/>
  <c r="V186" i="3"/>
  <c r="V188" i="3"/>
  <c r="V190" i="3"/>
  <c r="V192" i="3"/>
  <c r="V194" i="3"/>
  <c r="V196" i="3"/>
  <c r="V198" i="3"/>
  <c r="V200" i="3"/>
  <c r="V202" i="3"/>
  <c r="V204" i="3"/>
  <c r="V206" i="3"/>
  <c r="V208" i="3"/>
  <c r="V210" i="3"/>
  <c r="V212" i="3"/>
  <c r="V214" i="3"/>
  <c r="V216" i="3"/>
  <c r="V218" i="3"/>
  <c r="V220" i="3"/>
  <c r="V222" i="3"/>
  <c r="V224" i="3"/>
  <c r="V226" i="3"/>
  <c r="V228" i="3"/>
  <c r="V57" i="3"/>
  <c r="V79" i="3"/>
  <c r="V87" i="3"/>
  <c r="V90" i="3"/>
  <c r="V98" i="3"/>
  <c r="V106" i="3"/>
  <c r="V114" i="3"/>
  <c r="V122" i="3"/>
  <c r="V71" i="3"/>
  <c r="V88" i="3"/>
  <c r="V96" i="3"/>
  <c r="V104" i="3"/>
  <c r="V112" i="3"/>
  <c r="V120" i="3"/>
  <c r="V128" i="3"/>
  <c r="V131" i="3"/>
  <c r="V133" i="3"/>
  <c r="V135" i="3"/>
  <c r="V137" i="3"/>
  <c r="V139" i="3"/>
  <c r="V141" i="3"/>
  <c r="V143" i="3"/>
  <c r="V145" i="3"/>
  <c r="V147" i="3"/>
  <c r="V149" i="3"/>
  <c r="V151" i="3"/>
  <c r="V153" i="3"/>
  <c r="V155" i="3"/>
  <c r="V157" i="3"/>
  <c r="V159" i="3"/>
  <c r="V161" i="3"/>
  <c r="V163" i="3"/>
  <c r="V165" i="3"/>
  <c r="V167" i="3"/>
  <c r="V169" i="3"/>
  <c r="V171" i="3"/>
  <c r="V173" i="3"/>
  <c r="V175" i="3"/>
  <c r="V177" i="3"/>
  <c r="V179" i="3"/>
  <c r="V181" i="3"/>
  <c r="V183" i="3"/>
  <c r="V185" i="3"/>
  <c r="V187" i="3"/>
  <c r="V189" i="3"/>
  <c r="V191" i="3"/>
  <c r="V193" i="3"/>
  <c r="V195" i="3"/>
  <c r="V197" i="3"/>
  <c r="V199" i="3"/>
  <c r="V201" i="3"/>
  <c r="V203" i="3"/>
  <c r="V205" i="3"/>
  <c r="V207" i="3"/>
  <c r="V209" i="3"/>
  <c r="V211" i="3"/>
  <c r="V213" i="3"/>
  <c r="V215" i="3"/>
  <c r="V217" i="3"/>
  <c r="V219" i="3"/>
  <c r="V221" i="3"/>
  <c r="V223" i="3"/>
  <c r="V225" i="3"/>
  <c r="V227" i="3"/>
  <c r="V118" i="3"/>
  <c r="V230" i="3"/>
  <c r="V232" i="3"/>
  <c r="V234" i="3"/>
  <c r="V236" i="3"/>
  <c r="V238" i="3"/>
  <c r="V240" i="3"/>
  <c r="V242" i="3"/>
  <c r="V244" i="3"/>
  <c r="V246" i="3"/>
  <c r="V248" i="3"/>
  <c r="V250" i="3"/>
  <c r="V252" i="3"/>
  <c r="V254" i="3"/>
  <c r="V256" i="3"/>
  <c r="V258" i="3"/>
  <c r="V260" i="3"/>
  <c r="V262" i="3"/>
  <c r="V264" i="3"/>
  <c r="V266" i="3"/>
  <c r="V268" i="3"/>
  <c r="V270" i="3"/>
  <c r="V272" i="3"/>
  <c r="V274" i="3"/>
  <c r="V276" i="3"/>
  <c r="V278" i="3"/>
  <c r="V280" i="3"/>
  <c r="V282" i="3"/>
  <c r="V284" i="3"/>
  <c r="V286" i="3"/>
  <c r="V288" i="3"/>
  <c r="V290" i="3"/>
  <c r="V292" i="3"/>
  <c r="V294" i="3"/>
  <c r="V296" i="3"/>
  <c r="V298" i="3"/>
  <c r="V300" i="3"/>
  <c r="V302" i="3"/>
  <c r="V304" i="3"/>
  <c r="V306" i="3"/>
  <c r="V308" i="3"/>
  <c r="V310" i="3"/>
  <c r="V312" i="3"/>
  <c r="V50" i="3"/>
  <c r="V110" i="3"/>
  <c r="V63" i="3"/>
  <c r="V102" i="3"/>
  <c r="V229" i="3"/>
  <c r="V231" i="3"/>
  <c r="V233" i="3"/>
  <c r="V235" i="3"/>
  <c r="V237" i="3"/>
  <c r="V239" i="3"/>
  <c r="V241" i="3"/>
  <c r="V243" i="3"/>
  <c r="V245" i="3"/>
  <c r="V247" i="3"/>
  <c r="V249" i="3"/>
  <c r="V251" i="3"/>
  <c r="V253" i="3"/>
  <c r="V255" i="3"/>
  <c r="V257" i="3"/>
  <c r="V259" i="3"/>
  <c r="V261" i="3"/>
  <c r="V263" i="3"/>
  <c r="V265" i="3"/>
  <c r="V267" i="3"/>
  <c r="V269" i="3"/>
  <c r="V271" i="3"/>
  <c r="V273" i="3"/>
  <c r="V275" i="3"/>
  <c r="V277" i="3"/>
  <c r="V279" i="3"/>
  <c r="V281" i="3"/>
  <c r="V283" i="3"/>
  <c r="V285" i="3"/>
  <c r="V287" i="3"/>
  <c r="V289" i="3"/>
  <c r="V291" i="3"/>
  <c r="V293" i="3"/>
  <c r="V295" i="3"/>
  <c r="V297" i="3"/>
  <c r="V299" i="3"/>
  <c r="V301" i="3"/>
  <c r="V303" i="3"/>
  <c r="V305" i="3"/>
  <c r="V307" i="3"/>
  <c r="V309" i="3"/>
  <c r="V311" i="3"/>
  <c r="Z3" i="3"/>
  <c r="Z5" i="3"/>
  <c r="Z7" i="3"/>
  <c r="Z9" i="3"/>
  <c r="Z11" i="3"/>
  <c r="Z13" i="3"/>
  <c r="Z15" i="3"/>
  <c r="Z17" i="3"/>
  <c r="Z19" i="3"/>
  <c r="Z21" i="3"/>
  <c r="Z23" i="3"/>
  <c r="Z25" i="3"/>
  <c r="Z27" i="3"/>
  <c r="Z29" i="3"/>
  <c r="Z4" i="3"/>
  <c r="Z6" i="3"/>
  <c r="Z8" i="3"/>
  <c r="Z10" i="3"/>
  <c r="Z12" i="3"/>
  <c r="Z14" i="3"/>
  <c r="Z16" i="3"/>
  <c r="Z18" i="3"/>
  <c r="Z20" i="3"/>
  <c r="Z22" i="3"/>
  <c r="Z24" i="3"/>
  <c r="Z26" i="3"/>
  <c r="Z28" i="3"/>
  <c r="Z30" i="3"/>
  <c r="Z37" i="3"/>
  <c r="Z38" i="3"/>
  <c r="Z45" i="3"/>
  <c r="Z46" i="3"/>
  <c r="Z53" i="3"/>
  <c r="Z54" i="3"/>
  <c r="Z31" i="3"/>
  <c r="Z32" i="3"/>
  <c r="Z39" i="3"/>
  <c r="Z40" i="3"/>
  <c r="Z47" i="3"/>
  <c r="Z48" i="3"/>
  <c r="Z55" i="3"/>
  <c r="Z56" i="3"/>
  <c r="Z60" i="3"/>
  <c r="Z62" i="3"/>
  <c r="Z64" i="3"/>
  <c r="Z66" i="3"/>
  <c r="Z68" i="3"/>
  <c r="Z70" i="3"/>
  <c r="Z72" i="3"/>
  <c r="Z74" i="3"/>
  <c r="Z76" i="3"/>
  <c r="Z78" i="3"/>
  <c r="Z80" i="3"/>
  <c r="Z82" i="3"/>
  <c r="Z33" i="3"/>
  <c r="Z34" i="3"/>
  <c r="Z41" i="3"/>
  <c r="Z42" i="3"/>
  <c r="Z49" i="3"/>
  <c r="Z50" i="3"/>
  <c r="Z57" i="3"/>
  <c r="Z58" i="3"/>
  <c r="Z36" i="3"/>
  <c r="Z43" i="3"/>
  <c r="Z63" i="3"/>
  <c r="Z71" i="3"/>
  <c r="Z79" i="3"/>
  <c r="Z84" i="3"/>
  <c r="Z44" i="3"/>
  <c r="Z51" i="3"/>
  <c r="Z61" i="3"/>
  <c r="Z69" i="3"/>
  <c r="Z77" i="3"/>
  <c r="Z87" i="3"/>
  <c r="Z89" i="3"/>
  <c r="Z91" i="3"/>
  <c r="Z93" i="3"/>
  <c r="Z95" i="3"/>
  <c r="Z97" i="3"/>
  <c r="Z99" i="3"/>
  <c r="Z101" i="3"/>
  <c r="Z103" i="3"/>
  <c r="Z105" i="3"/>
  <c r="Z107" i="3"/>
  <c r="Z109" i="3"/>
  <c r="Z111" i="3"/>
  <c r="Z113" i="3"/>
  <c r="Z115" i="3"/>
  <c r="Z117" i="3"/>
  <c r="Z119" i="3"/>
  <c r="Z121" i="3"/>
  <c r="Z123" i="3"/>
  <c r="Z125" i="3"/>
  <c r="Z127" i="3"/>
  <c r="Z52" i="3"/>
  <c r="Z59" i="3"/>
  <c r="Z67" i="3"/>
  <c r="Z75" i="3"/>
  <c r="Z83" i="3"/>
  <c r="Z86" i="3"/>
  <c r="Z65" i="3"/>
  <c r="Z85" i="3"/>
  <c r="Z94" i="3"/>
  <c r="Z102" i="3"/>
  <c r="Z110" i="3"/>
  <c r="Z118" i="3"/>
  <c r="Z126" i="3"/>
  <c r="Z130" i="3"/>
  <c r="Z132" i="3"/>
  <c r="Z134" i="3"/>
  <c r="Z136" i="3"/>
  <c r="Z138" i="3"/>
  <c r="Z140" i="3"/>
  <c r="Z142" i="3"/>
  <c r="Z144" i="3"/>
  <c r="Z146" i="3"/>
  <c r="Z148" i="3"/>
  <c r="Z150" i="3"/>
  <c r="Z152" i="3"/>
  <c r="Z154" i="3"/>
  <c r="Z156" i="3"/>
  <c r="Z158" i="3"/>
  <c r="Z160" i="3"/>
  <c r="Z162" i="3"/>
  <c r="Z164" i="3"/>
  <c r="Z166" i="3"/>
  <c r="Z168" i="3"/>
  <c r="Z170" i="3"/>
  <c r="Z172" i="3"/>
  <c r="Z174" i="3"/>
  <c r="Z176" i="3"/>
  <c r="Z178" i="3"/>
  <c r="Z180" i="3"/>
  <c r="Z182" i="3"/>
  <c r="Z184" i="3"/>
  <c r="Z186" i="3"/>
  <c r="Z188" i="3"/>
  <c r="Z190" i="3"/>
  <c r="Z192" i="3"/>
  <c r="Z194" i="3"/>
  <c r="Z196" i="3"/>
  <c r="Z198" i="3"/>
  <c r="Z200" i="3"/>
  <c r="Z202" i="3"/>
  <c r="Z204" i="3"/>
  <c r="Z206" i="3"/>
  <c r="Z208" i="3"/>
  <c r="Z210" i="3"/>
  <c r="Z212" i="3"/>
  <c r="Z214" i="3"/>
  <c r="Z216" i="3"/>
  <c r="Z218" i="3"/>
  <c r="Z220" i="3"/>
  <c r="Z222" i="3"/>
  <c r="Z224" i="3"/>
  <c r="Z226" i="3"/>
  <c r="Z92" i="3"/>
  <c r="Z100" i="3"/>
  <c r="Z108" i="3"/>
  <c r="Z116" i="3"/>
  <c r="Z124" i="3"/>
  <c r="Z81" i="3"/>
  <c r="Z90" i="3"/>
  <c r="Z98" i="3"/>
  <c r="Z106" i="3"/>
  <c r="Z114" i="3"/>
  <c r="Z122" i="3"/>
  <c r="Z129" i="3"/>
  <c r="Z131" i="3"/>
  <c r="Z133" i="3"/>
  <c r="Z135" i="3"/>
  <c r="Z137" i="3"/>
  <c r="Z139" i="3"/>
  <c r="Z141" i="3"/>
  <c r="Z143" i="3"/>
  <c r="Z145" i="3"/>
  <c r="Z147" i="3"/>
  <c r="Z149" i="3"/>
  <c r="Z151" i="3"/>
  <c r="Z153" i="3"/>
  <c r="Z155" i="3"/>
  <c r="Z157" i="3"/>
  <c r="Z159" i="3"/>
  <c r="Z161" i="3"/>
  <c r="Z163" i="3"/>
  <c r="Z165" i="3"/>
  <c r="Z167" i="3"/>
  <c r="Z169" i="3"/>
  <c r="Z171" i="3"/>
  <c r="Z173" i="3"/>
  <c r="Z175" i="3"/>
  <c r="Z177" i="3"/>
  <c r="Z179" i="3"/>
  <c r="Z181" i="3"/>
  <c r="Z183" i="3"/>
  <c r="Z185" i="3"/>
  <c r="Z187" i="3"/>
  <c r="Z189" i="3"/>
  <c r="Z191" i="3"/>
  <c r="Z193" i="3"/>
  <c r="Z195" i="3"/>
  <c r="Z197" i="3"/>
  <c r="Z199" i="3"/>
  <c r="Z201" i="3"/>
  <c r="Z203" i="3"/>
  <c r="Z205" i="3"/>
  <c r="Z207" i="3"/>
  <c r="Z209" i="3"/>
  <c r="Z211" i="3"/>
  <c r="Z213" i="3"/>
  <c r="Z215" i="3"/>
  <c r="Z217" i="3"/>
  <c r="Z219" i="3"/>
  <c r="Z221" i="3"/>
  <c r="Z223" i="3"/>
  <c r="Z225" i="3"/>
  <c r="Z227" i="3"/>
  <c r="Z35" i="3"/>
  <c r="Z96" i="3"/>
  <c r="Z128" i="3"/>
  <c r="Z228" i="3"/>
  <c r="Z230" i="3"/>
  <c r="Z232" i="3"/>
  <c r="Z234" i="3"/>
  <c r="Z236" i="3"/>
  <c r="Z238" i="3"/>
  <c r="Z240" i="3"/>
  <c r="Z242" i="3"/>
  <c r="Z244" i="3"/>
  <c r="Z246" i="3"/>
  <c r="Z248" i="3"/>
  <c r="Z250" i="3"/>
  <c r="Z252" i="3"/>
  <c r="Z254" i="3"/>
  <c r="Z256" i="3"/>
  <c r="Z258" i="3"/>
  <c r="Z260" i="3"/>
  <c r="Z262" i="3"/>
  <c r="Z264" i="3"/>
  <c r="Z266" i="3"/>
  <c r="Z268" i="3"/>
  <c r="Z270" i="3"/>
  <c r="Z272" i="3"/>
  <c r="Z274" i="3"/>
  <c r="Z276" i="3"/>
  <c r="Z278" i="3"/>
  <c r="Z280" i="3"/>
  <c r="Z282" i="3"/>
  <c r="Z284" i="3"/>
  <c r="Z286" i="3"/>
  <c r="Z288" i="3"/>
  <c r="Z290" i="3"/>
  <c r="Z292" i="3"/>
  <c r="Z294" i="3"/>
  <c r="Z296" i="3"/>
  <c r="Z298" i="3"/>
  <c r="Z300" i="3"/>
  <c r="Z302" i="3"/>
  <c r="Z304" i="3"/>
  <c r="Z306" i="3"/>
  <c r="Z308" i="3"/>
  <c r="Z310" i="3"/>
  <c r="Z312" i="3"/>
  <c r="Z88" i="3"/>
  <c r="Z120" i="3"/>
  <c r="Z112" i="3"/>
  <c r="Z229" i="3"/>
  <c r="Z231" i="3"/>
  <c r="Z233" i="3"/>
  <c r="Z235" i="3"/>
  <c r="Z237" i="3"/>
  <c r="Z239" i="3"/>
  <c r="Z241" i="3"/>
  <c r="Z243" i="3"/>
  <c r="Z245" i="3"/>
  <c r="Z247" i="3"/>
  <c r="Z249" i="3"/>
  <c r="Z251" i="3"/>
  <c r="Z253" i="3"/>
  <c r="Z255" i="3"/>
  <c r="Z257" i="3"/>
  <c r="Z259" i="3"/>
  <c r="Z261" i="3"/>
  <c r="Z263" i="3"/>
  <c r="Z265" i="3"/>
  <c r="Z267" i="3"/>
  <c r="Z269" i="3"/>
  <c r="Z271" i="3"/>
  <c r="Z273" i="3"/>
  <c r="Z275" i="3"/>
  <c r="Z277" i="3"/>
  <c r="Z279" i="3"/>
  <c r="Z281" i="3"/>
  <c r="Z283" i="3"/>
  <c r="Z285" i="3"/>
  <c r="Z287" i="3"/>
  <c r="Z289" i="3"/>
  <c r="Z291" i="3"/>
  <c r="Z293" i="3"/>
  <c r="Z295" i="3"/>
  <c r="Z297" i="3"/>
  <c r="Z299" i="3"/>
  <c r="Z301" i="3"/>
  <c r="Z303" i="3"/>
  <c r="Z305" i="3"/>
  <c r="Z307" i="3"/>
  <c r="Z309" i="3"/>
  <c r="Z311" i="3"/>
  <c r="AA341" i="3"/>
  <c r="W341" i="3"/>
  <c r="Y340" i="3"/>
  <c r="AA339" i="3"/>
  <c r="W339" i="3"/>
  <c r="Y338" i="3"/>
  <c r="AA337" i="3"/>
  <c r="W337" i="3"/>
  <c r="Y336" i="3"/>
  <c r="AA335" i="3"/>
  <c r="W335" i="3"/>
  <c r="Y334" i="3"/>
  <c r="AA333" i="3"/>
  <c r="W333" i="3"/>
  <c r="Y332" i="3"/>
  <c r="AA331" i="3"/>
  <c r="W331" i="3"/>
  <c r="Y330" i="3"/>
  <c r="AA329" i="3"/>
  <c r="W329" i="3"/>
  <c r="Y328" i="3"/>
  <c r="AA327" i="3"/>
  <c r="W327" i="3"/>
  <c r="Y326" i="3"/>
  <c r="AA325" i="3"/>
  <c r="W325" i="3"/>
  <c r="Y324" i="3"/>
  <c r="AA323" i="3"/>
  <c r="W323" i="3"/>
  <c r="Y322" i="3"/>
  <c r="AA321" i="3"/>
  <c r="W321" i="3"/>
  <c r="Y320" i="3"/>
  <c r="AA319" i="3"/>
  <c r="W319" i="3"/>
  <c r="Y318" i="3"/>
  <c r="AA317" i="3"/>
  <c r="W317" i="3"/>
  <c r="Y316" i="3"/>
  <c r="AA315" i="3"/>
  <c r="W315" i="3"/>
  <c r="Y314" i="3"/>
  <c r="AA313" i="3"/>
  <c r="W313" i="3"/>
  <c r="W312" i="3"/>
  <c r="AA310" i="3"/>
  <c r="Y309" i="3"/>
  <c r="W308" i="3"/>
  <c r="AA306" i="3"/>
  <c r="Y305" i="3"/>
  <c r="W304" i="3"/>
  <c r="Y302" i="3"/>
  <c r="AA299" i="3"/>
  <c r="W297" i="3"/>
  <c r="Y294" i="3"/>
  <c r="AA291" i="3"/>
  <c r="W289" i="3"/>
  <c r="Y286" i="3"/>
  <c r="AA283" i="3"/>
  <c r="W281" i="3"/>
  <c r="Y278" i="3"/>
  <c r="AA275" i="3"/>
  <c r="W273" i="3"/>
  <c r="Y270" i="3"/>
  <c r="AA267" i="3"/>
  <c r="W265" i="3"/>
  <c r="Y262" i="3"/>
  <c r="AA259" i="3"/>
  <c r="W257" i="3"/>
  <c r="Y254" i="3"/>
  <c r="AA251" i="3"/>
  <c r="W249" i="3"/>
  <c r="Y246" i="3"/>
  <c r="AA243" i="3"/>
  <c r="W241" i="3"/>
  <c r="Y238" i="3"/>
  <c r="AA235" i="3"/>
  <c r="W233" i="3"/>
  <c r="Y230" i="3"/>
  <c r="W227" i="3"/>
  <c r="W219" i="3"/>
  <c r="Y208" i="3"/>
  <c r="AA197" i="3"/>
  <c r="W187" i="3"/>
  <c r="Y176" i="3"/>
  <c r="AA165" i="3"/>
  <c r="W155" i="3"/>
  <c r="AA133" i="3"/>
  <c r="Z104" i="3"/>
  <c r="Z338" i="3"/>
  <c r="Z336" i="3"/>
  <c r="Z334" i="3"/>
  <c r="Z332" i="3"/>
  <c r="Z330" i="3"/>
  <c r="Z328" i="3"/>
  <c r="Z326" i="3"/>
  <c r="Z324" i="3"/>
  <c r="Z322" i="3"/>
  <c r="Z320" i="3"/>
  <c r="Z318" i="3"/>
  <c r="Z316" i="3"/>
  <c r="Z314" i="3"/>
  <c r="Y312" i="3"/>
  <c r="Y308" i="3"/>
  <c r="Y304" i="3"/>
  <c r="AA297" i="3"/>
  <c r="AA289" i="3"/>
  <c r="AA281" i="3"/>
  <c r="AA273" i="3"/>
  <c r="W263" i="3"/>
  <c r="Y252" i="3"/>
  <c r="Y244" i="3"/>
  <c r="Y236" i="3"/>
  <c r="Y228" i="3"/>
  <c r="AA189" i="3"/>
  <c r="Z2" i="3"/>
  <c r="Y2" i="3"/>
  <c r="Y4" i="3"/>
  <c r="Y6" i="3"/>
  <c r="Y8" i="3"/>
  <c r="Y10" i="3"/>
  <c r="Y12" i="3"/>
  <c r="Y14" i="3"/>
  <c r="Y16" i="3"/>
  <c r="Y18" i="3"/>
  <c r="Y20" i="3"/>
  <c r="Y22" i="3"/>
  <c r="Y24" i="3"/>
  <c r="Y26" i="3"/>
  <c r="Y28" i="3"/>
  <c r="Y30" i="3"/>
  <c r="Y32" i="3"/>
  <c r="Y34" i="3"/>
  <c r="Y36" i="3"/>
  <c r="Y38" i="3"/>
  <c r="Y40" i="3"/>
  <c r="Y42" i="3"/>
  <c r="Y44" i="3"/>
  <c r="Y46" i="3"/>
  <c r="Y48" i="3"/>
  <c r="Y50" i="3"/>
  <c r="Y52" i="3"/>
  <c r="Y54" i="3"/>
  <c r="Y56" i="3"/>
  <c r="Y58" i="3"/>
  <c r="Y3" i="3"/>
  <c r="Y11" i="3"/>
  <c r="Y19" i="3"/>
  <c r="Y27" i="3"/>
  <c r="Y31" i="3"/>
  <c r="Y39" i="3"/>
  <c r="Y47" i="3"/>
  <c r="Y55" i="3"/>
  <c r="Y60" i="3"/>
  <c r="Y62" i="3"/>
  <c r="Y64" i="3"/>
  <c r="Y66" i="3"/>
  <c r="Y68" i="3"/>
  <c r="Y70" i="3"/>
  <c r="Y72" i="3"/>
  <c r="Y74" i="3"/>
  <c r="Y76" i="3"/>
  <c r="Y78" i="3"/>
  <c r="Y80" i="3"/>
  <c r="Y82" i="3"/>
  <c r="Y84" i="3"/>
  <c r="Y86" i="3"/>
  <c r="Y9" i="3"/>
  <c r="Y17" i="3"/>
  <c r="Y25" i="3"/>
  <c r="Y33" i="3"/>
  <c r="Y41" i="3"/>
  <c r="Y49" i="3"/>
  <c r="Y57" i="3"/>
  <c r="Y7" i="3"/>
  <c r="Y15" i="3"/>
  <c r="Y23" i="3"/>
  <c r="Y35" i="3"/>
  <c r="Y43" i="3"/>
  <c r="Y51" i="3"/>
  <c r="Y59" i="3"/>
  <c r="Y61" i="3"/>
  <c r="Y63" i="3"/>
  <c r="Y65" i="3"/>
  <c r="Y67" i="3"/>
  <c r="Y69" i="3"/>
  <c r="Y71" i="3"/>
  <c r="Y73" i="3"/>
  <c r="Y75" i="3"/>
  <c r="Y77" i="3"/>
  <c r="Y79" i="3"/>
  <c r="Y81" i="3"/>
  <c r="Y83" i="3"/>
  <c r="Y85" i="3"/>
  <c r="Y87" i="3"/>
  <c r="Y5" i="3"/>
  <c r="Y89" i="3"/>
  <c r="Y91" i="3"/>
  <c r="Y93" i="3"/>
  <c r="Y95" i="3"/>
  <c r="Y97" i="3"/>
  <c r="Y99" i="3"/>
  <c r="Y101" i="3"/>
  <c r="Y103" i="3"/>
  <c r="Y105" i="3"/>
  <c r="Y107" i="3"/>
  <c r="Y109" i="3"/>
  <c r="Y111" i="3"/>
  <c r="Y113" i="3"/>
  <c r="Y115" i="3"/>
  <c r="Y117" i="3"/>
  <c r="Y119" i="3"/>
  <c r="Y121" i="3"/>
  <c r="Y123" i="3"/>
  <c r="Y125" i="3"/>
  <c r="Y127" i="3"/>
  <c r="Y129" i="3"/>
  <c r="Y29" i="3"/>
  <c r="Y37" i="3"/>
  <c r="Y21" i="3"/>
  <c r="Y45" i="3"/>
  <c r="Y88" i="3"/>
  <c r="Y90" i="3"/>
  <c r="Y92" i="3"/>
  <c r="Y94" i="3"/>
  <c r="Y96" i="3"/>
  <c r="Y98" i="3"/>
  <c r="Y100" i="3"/>
  <c r="Y102" i="3"/>
  <c r="Y104" i="3"/>
  <c r="Y106" i="3"/>
  <c r="Y108" i="3"/>
  <c r="Y110" i="3"/>
  <c r="Y112" i="3"/>
  <c r="Y114" i="3"/>
  <c r="Y116" i="3"/>
  <c r="Y118" i="3"/>
  <c r="Y120" i="3"/>
  <c r="Y122" i="3"/>
  <c r="Y124" i="3"/>
  <c r="Y126" i="3"/>
  <c r="Y128" i="3"/>
  <c r="Y13" i="3"/>
  <c r="Y53" i="3"/>
  <c r="Y131" i="3"/>
  <c r="Y133" i="3"/>
  <c r="Y135" i="3"/>
  <c r="Y137" i="3"/>
  <c r="Y139" i="3"/>
  <c r="Y141" i="3"/>
  <c r="Y143" i="3"/>
  <c r="Y145" i="3"/>
  <c r="Y147" i="3"/>
  <c r="Y149" i="3"/>
  <c r="Y151" i="3"/>
  <c r="Y153" i="3"/>
  <c r="Y155" i="3"/>
  <c r="Y157" i="3"/>
  <c r="Y159" i="3"/>
  <c r="Y161" i="3"/>
  <c r="Y163" i="3"/>
  <c r="Y165" i="3"/>
  <c r="Y167" i="3"/>
  <c r="Y169" i="3"/>
  <c r="Y171" i="3"/>
  <c r="Y173" i="3"/>
  <c r="Y175" i="3"/>
  <c r="Y177" i="3"/>
  <c r="Y179" i="3"/>
  <c r="Y181" i="3"/>
  <c r="Y183" i="3"/>
  <c r="Y185" i="3"/>
  <c r="Y187" i="3"/>
  <c r="Y189" i="3"/>
  <c r="Y191" i="3"/>
  <c r="Y193" i="3"/>
  <c r="Y195" i="3"/>
  <c r="Y197" i="3"/>
  <c r="Y199" i="3"/>
  <c r="Y201" i="3"/>
  <c r="Y203" i="3"/>
  <c r="Y205" i="3"/>
  <c r="Y207" i="3"/>
  <c r="Y209" i="3"/>
  <c r="Y211" i="3"/>
  <c r="Y213" i="3"/>
  <c r="Y215" i="3"/>
  <c r="Y217" i="3"/>
  <c r="Y219" i="3"/>
  <c r="Y221" i="3"/>
  <c r="Y223" i="3"/>
  <c r="Y134" i="3"/>
  <c r="Y142" i="3"/>
  <c r="Y150" i="3"/>
  <c r="Y158" i="3"/>
  <c r="Y166" i="3"/>
  <c r="Y174" i="3"/>
  <c r="Y182" i="3"/>
  <c r="Y190" i="3"/>
  <c r="Y198" i="3"/>
  <c r="Y206" i="3"/>
  <c r="Y214" i="3"/>
  <c r="Y222" i="3"/>
  <c r="Y227" i="3"/>
  <c r="Y132" i="3"/>
  <c r="Y140" i="3"/>
  <c r="Y148" i="3"/>
  <c r="Y156" i="3"/>
  <c r="Y164" i="3"/>
  <c r="Y172" i="3"/>
  <c r="Y180" i="3"/>
  <c r="Y188" i="3"/>
  <c r="Y196" i="3"/>
  <c r="Y204" i="3"/>
  <c r="Y212" i="3"/>
  <c r="Y220" i="3"/>
  <c r="Y226" i="3"/>
  <c r="Y229" i="3"/>
  <c r="Y231" i="3"/>
  <c r="Y233" i="3"/>
  <c r="Y235" i="3"/>
  <c r="Y237" i="3"/>
  <c r="Y239" i="3"/>
  <c r="Y241" i="3"/>
  <c r="Y243" i="3"/>
  <c r="Y245" i="3"/>
  <c r="Y247" i="3"/>
  <c r="Y249" i="3"/>
  <c r="Y251" i="3"/>
  <c r="Y253" i="3"/>
  <c r="Y255" i="3"/>
  <c r="Y257" i="3"/>
  <c r="Y259" i="3"/>
  <c r="Y261" i="3"/>
  <c r="Y263" i="3"/>
  <c r="Y265" i="3"/>
  <c r="Y267" i="3"/>
  <c r="Y269" i="3"/>
  <c r="Y271" i="3"/>
  <c r="Y273" i="3"/>
  <c r="Y275" i="3"/>
  <c r="Y277" i="3"/>
  <c r="Y279" i="3"/>
  <c r="Y281" i="3"/>
  <c r="Y283" i="3"/>
  <c r="Y285" i="3"/>
  <c r="Y287" i="3"/>
  <c r="Y289" i="3"/>
  <c r="Y291" i="3"/>
  <c r="Y293" i="3"/>
  <c r="Y295" i="3"/>
  <c r="Y297" i="3"/>
  <c r="Y299" i="3"/>
  <c r="Y301" i="3"/>
  <c r="Y130" i="3"/>
  <c r="Y138" i="3"/>
  <c r="Y146" i="3"/>
  <c r="Y154" i="3"/>
  <c r="Y162" i="3"/>
  <c r="Y170" i="3"/>
  <c r="Y178" i="3"/>
  <c r="Y186" i="3"/>
  <c r="Y194" i="3"/>
  <c r="Y202" i="3"/>
  <c r="Y210" i="3"/>
  <c r="Y218" i="3"/>
  <c r="Y225" i="3"/>
  <c r="Z339" i="3"/>
  <c r="V339" i="3"/>
  <c r="X338" i="3"/>
  <c r="Z337" i="3"/>
  <c r="V337" i="3"/>
  <c r="X336" i="3"/>
  <c r="Z335" i="3"/>
  <c r="V335" i="3"/>
  <c r="X334" i="3"/>
  <c r="Z333" i="3"/>
  <c r="V333" i="3"/>
  <c r="X332" i="3"/>
  <c r="Z331" i="3"/>
  <c r="V331" i="3"/>
  <c r="X330" i="3"/>
  <c r="Z329" i="3"/>
  <c r="V329" i="3"/>
  <c r="X328" i="3"/>
  <c r="Z327" i="3"/>
  <c r="V327" i="3"/>
  <c r="X326" i="3"/>
  <c r="Z325" i="3"/>
  <c r="V325" i="3"/>
  <c r="X324" i="3"/>
  <c r="Z323" i="3"/>
  <c r="V323" i="3"/>
  <c r="X322" i="3"/>
  <c r="Z321" i="3"/>
  <c r="V321" i="3"/>
  <c r="X320" i="3"/>
  <c r="Z319" i="3"/>
  <c r="V319" i="3"/>
  <c r="X318" i="3"/>
  <c r="Z317" i="3"/>
  <c r="V317" i="3"/>
  <c r="X316" i="3"/>
  <c r="Z315" i="3"/>
  <c r="V315" i="3"/>
  <c r="Z313" i="3"/>
  <c r="V313" i="3"/>
  <c r="AA311" i="3"/>
  <c r="Y310" i="3"/>
  <c r="W309" i="3"/>
  <c r="AA307" i="3"/>
  <c r="Y306" i="3"/>
  <c r="W305" i="3"/>
  <c r="AA303" i="3"/>
  <c r="AA301" i="3"/>
  <c r="W299" i="3"/>
  <c r="Y296" i="3"/>
  <c r="AA293" i="3"/>
  <c r="W291" i="3"/>
  <c r="Y288" i="3"/>
  <c r="AA285" i="3"/>
  <c r="W283" i="3"/>
  <c r="Y280" i="3"/>
  <c r="AA277" i="3"/>
  <c r="W275" i="3"/>
  <c r="Y272" i="3"/>
  <c r="AA269" i="3"/>
  <c r="W267" i="3"/>
  <c r="Y264" i="3"/>
  <c r="AA261" i="3"/>
  <c r="W259" i="3"/>
  <c r="Y256" i="3"/>
  <c r="AA253" i="3"/>
  <c r="W251" i="3"/>
  <c r="Y248" i="3"/>
  <c r="AA245" i="3"/>
  <c r="W243" i="3"/>
  <c r="Y240" i="3"/>
  <c r="AA237" i="3"/>
  <c r="W235" i="3"/>
  <c r="Y232" i="3"/>
  <c r="AA229" i="3"/>
  <c r="AA225" i="3"/>
  <c r="Y216" i="3"/>
  <c r="AA205" i="3"/>
  <c r="W195" i="3"/>
  <c r="Y184" i="3"/>
  <c r="AA173" i="3"/>
  <c r="W163" i="3"/>
  <c r="Y152" i="3"/>
  <c r="AA141" i="3"/>
  <c r="W131" i="3"/>
  <c r="V94" i="3"/>
  <c r="X339" i="3"/>
  <c r="X337" i="3"/>
  <c r="X335" i="3"/>
  <c r="X333" i="3"/>
  <c r="X331" i="3"/>
  <c r="X329" i="3"/>
  <c r="X327" i="3"/>
  <c r="X325" i="3"/>
  <c r="X323" i="3"/>
  <c r="X321" i="3"/>
  <c r="X319" i="3"/>
  <c r="X317" i="3"/>
  <c r="X315" i="3"/>
  <c r="AA309" i="3"/>
  <c r="AA305" i="3"/>
  <c r="Y300" i="3"/>
  <c r="Y292" i="3"/>
  <c r="W279" i="3"/>
  <c r="W271" i="3"/>
  <c r="AA265" i="3"/>
  <c r="AA257" i="3"/>
  <c r="AA249" i="3"/>
  <c r="AA241" i="3"/>
  <c r="AA233" i="3"/>
  <c r="AA221" i="3"/>
  <c r="W179" i="3"/>
  <c r="X2" i="3"/>
  <c r="X4" i="3"/>
  <c r="X6" i="3"/>
  <c r="X8" i="3"/>
  <c r="X10" i="3"/>
  <c r="X12" i="3"/>
  <c r="X14" i="3"/>
  <c r="X16" i="3"/>
  <c r="X18" i="3"/>
  <c r="X20" i="3"/>
  <c r="X22" i="3"/>
  <c r="X24" i="3"/>
  <c r="X26" i="3"/>
  <c r="X28" i="3"/>
  <c r="X30" i="3"/>
  <c r="X3" i="3"/>
  <c r="X5" i="3"/>
  <c r="X7" i="3"/>
  <c r="X9" i="3"/>
  <c r="X11" i="3"/>
  <c r="X13" i="3"/>
  <c r="X15" i="3"/>
  <c r="X17" i="3"/>
  <c r="X19" i="3"/>
  <c r="X21" i="3"/>
  <c r="X23" i="3"/>
  <c r="X25" i="3"/>
  <c r="X27" i="3"/>
  <c r="X29" i="3"/>
  <c r="X32" i="3"/>
  <c r="X33" i="3"/>
  <c r="X40" i="3"/>
  <c r="X41" i="3"/>
  <c r="X48" i="3"/>
  <c r="X49" i="3"/>
  <c r="X56" i="3"/>
  <c r="X57" i="3"/>
  <c r="X34" i="3"/>
  <c r="X35" i="3"/>
  <c r="X42" i="3"/>
  <c r="X43" i="3"/>
  <c r="X50" i="3"/>
  <c r="X51" i="3"/>
  <c r="X58" i="3"/>
  <c r="X59" i="3"/>
  <c r="X61" i="3"/>
  <c r="X63" i="3"/>
  <c r="X65" i="3"/>
  <c r="X67" i="3"/>
  <c r="X69" i="3"/>
  <c r="X71" i="3"/>
  <c r="X73" i="3"/>
  <c r="X75" i="3"/>
  <c r="X77" i="3"/>
  <c r="X79" i="3"/>
  <c r="X81" i="3"/>
  <c r="X83" i="3"/>
  <c r="X36" i="3"/>
  <c r="X37" i="3"/>
  <c r="X44" i="3"/>
  <c r="X45" i="3"/>
  <c r="X52" i="3"/>
  <c r="X53" i="3"/>
  <c r="X47" i="3"/>
  <c r="X54" i="3"/>
  <c r="X66" i="3"/>
  <c r="X74" i="3"/>
  <c r="X82" i="3"/>
  <c r="X87" i="3"/>
  <c r="X55" i="3"/>
  <c r="X64" i="3"/>
  <c r="X72" i="3"/>
  <c r="X80" i="3"/>
  <c r="X86" i="3"/>
  <c r="X88" i="3"/>
  <c r="X90" i="3"/>
  <c r="X92" i="3"/>
  <c r="X94" i="3"/>
  <c r="X96" i="3"/>
  <c r="X98" i="3"/>
  <c r="X100" i="3"/>
  <c r="X102" i="3"/>
  <c r="X104" i="3"/>
  <c r="X106" i="3"/>
  <c r="X108" i="3"/>
  <c r="X110" i="3"/>
  <c r="X112" i="3"/>
  <c r="X114" i="3"/>
  <c r="X116" i="3"/>
  <c r="X118" i="3"/>
  <c r="X120" i="3"/>
  <c r="X122" i="3"/>
  <c r="X124" i="3"/>
  <c r="X126" i="3"/>
  <c r="X128" i="3"/>
  <c r="X31" i="3"/>
  <c r="X38" i="3"/>
  <c r="X62" i="3"/>
  <c r="X70" i="3"/>
  <c r="X78" i="3"/>
  <c r="X85" i="3"/>
  <c r="X39" i="3"/>
  <c r="X76" i="3"/>
  <c r="X89" i="3"/>
  <c r="X97" i="3"/>
  <c r="X105" i="3"/>
  <c r="X113" i="3"/>
  <c r="X121" i="3"/>
  <c r="X131" i="3"/>
  <c r="X133" i="3"/>
  <c r="X135" i="3"/>
  <c r="X137" i="3"/>
  <c r="X139" i="3"/>
  <c r="X141" i="3"/>
  <c r="X143" i="3"/>
  <c r="X145" i="3"/>
  <c r="X147" i="3"/>
  <c r="X149" i="3"/>
  <c r="X151" i="3"/>
  <c r="X153" i="3"/>
  <c r="X155" i="3"/>
  <c r="X157" i="3"/>
  <c r="X159" i="3"/>
  <c r="X161" i="3"/>
  <c r="X163" i="3"/>
  <c r="X165" i="3"/>
  <c r="X167" i="3"/>
  <c r="X169" i="3"/>
  <c r="X171" i="3"/>
  <c r="X173" i="3"/>
  <c r="X175" i="3"/>
  <c r="X177" i="3"/>
  <c r="X179" i="3"/>
  <c r="X181" i="3"/>
  <c r="X183" i="3"/>
  <c r="X185" i="3"/>
  <c r="X187" i="3"/>
  <c r="X189" i="3"/>
  <c r="X191" i="3"/>
  <c r="X193" i="3"/>
  <c r="X195" i="3"/>
  <c r="X197" i="3"/>
  <c r="X199" i="3"/>
  <c r="X201" i="3"/>
  <c r="X203" i="3"/>
  <c r="X205" i="3"/>
  <c r="X207" i="3"/>
  <c r="X209" i="3"/>
  <c r="X211" i="3"/>
  <c r="X213" i="3"/>
  <c r="X215" i="3"/>
  <c r="X217" i="3"/>
  <c r="X219" i="3"/>
  <c r="X221" i="3"/>
  <c r="X223" i="3"/>
  <c r="X225" i="3"/>
  <c r="X227" i="3"/>
  <c r="X68" i="3"/>
  <c r="X95" i="3"/>
  <c r="X103" i="3"/>
  <c r="X111" i="3"/>
  <c r="X119" i="3"/>
  <c r="X127" i="3"/>
  <c r="X129" i="3"/>
  <c r="X46" i="3"/>
  <c r="X60" i="3"/>
  <c r="X93" i="3"/>
  <c r="X101" i="3"/>
  <c r="X109" i="3"/>
  <c r="X117" i="3"/>
  <c r="X125" i="3"/>
  <c r="X130" i="3"/>
  <c r="X132" i="3"/>
  <c r="X134" i="3"/>
  <c r="X136" i="3"/>
  <c r="X138" i="3"/>
  <c r="X140" i="3"/>
  <c r="X142" i="3"/>
  <c r="X144" i="3"/>
  <c r="X146" i="3"/>
  <c r="X148" i="3"/>
  <c r="X150" i="3"/>
  <c r="X152" i="3"/>
  <c r="X154" i="3"/>
  <c r="X156" i="3"/>
  <c r="X158" i="3"/>
  <c r="X160" i="3"/>
  <c r="X162" i="3"/>
  <c r="X164" i="3"/>
  <c r="X166" i="3"/>
  <c r="X168" i="3"/>
  <c r="X170" i="3"/>
  <c r="X172" i="3"/>
  <c r="X174" i="3"/>
  <c r="X176" i="3"/>
  <c r="X178" i="3"/>
  <c r="X180" i="3"/>
  <c r="X182" i="3"/>
  <c r="X184" i="3"/>
  <c r="X186" i="3"/>
  <c r="X188" i="3"/>
  <c r="X190" i="3"/>
  <c r="X192" i="3"/>
  <c r="X194" i="3"/>
  <c r="X196" i="3"/>
  <c r="X198" i="3"/>
  <c r="X200" i="3"/>
  <c r="X202" i="3"/>
  <c r="X204" i="3"/>
  <c r="X206" i="3"/>
  <c r="X208" i="3"/>
  <c r="X210" i="3"/>
  <c r="X212" i="3"/>
  <c r="X214" i="3"/>
  <c r="X216" i="3"/>
  <c r="X218" i="3"/>
  <c r="X220" i="3"/>
  <c r="X222" i="3"/>
  <c r="X224" i="3"/>
  <c r="X226" i="3"/>
  <c r="X228" i="3"/>
  <c r="X84" i="3"/>
  <c r="X107" i="3"/>
  <c r="X229" i="3"/>
  <c r="X231" i="3"/>
  <c r="X233" i="3"/>
  <c r="X235" i="3"/>
  <c r="X237" i="3"/>
  <c r="X239" i="3"/>
  <c r="X241" i="3"/>
  <c r="X243" i="3"/>
  <c r="X245" i="3"/>
  <c r="X247" i="3"/>
  <c r="X249" i="3"/>
  <c r="X251" i="3"/>
  <c r="X253" i="3"/>
  <c r="X255" i="3"/>
  <c r="X257" i="3"/>
  <c r="X259" i="3"/>
  <c r="X261" i="3"/>
  <c r="X263" i="3"/>
  <c r="X265" i="3"/>
  <c r="X267" i="3"/>
  <c r="X269" i="3"/>
  <c r="X271" i="3"/>
  <c r="X273" i="3"/>
  <c r="X275" i="3"/>
  <c r="X277" i="3"/>
  <c r="X279" i="3"/>
  <c r="X281" i="3"/>
  <c r="X283" i="3"/>
  <c r="X285" i="3"/>
  <c r="X287" i="3"/>
  <c r="X289" i="3"/>
  <c r="X291" i="3"/>
  <c r="X293" i="3"/>
  <c r="X295" i="3"/>
  <c r="X297" i="3"/>
  <c r="X299" i="3"/>
  <c r="X301" i="3"/>
  <c r="X303" i="3"/>
  <c r="X305" i="3"/>
  <c r="X307" i="3"/>
  <c r="X309" i="3"/>
  <c r="X311" i="3"/>
  <c r="X99" i="3"/>
  <c r="X91" i="3"/>
  <c r="X123" i="3"/>
  <c r="X230" i="3"/>
  <c r="X232" i="3"/>
  <c r="X234" i="3"/>
  <c r="X236" i="3"/>
  <c r="X238" i="3"/>
  <c r="X240" i="3"/>
  <c r="X242" i="3"/>
  <c r="X244" i="3"/>
  <c r="X246" i="3"/>
  <c r="X248" i="3"/>
  <c r="X250" i="3"/>
  <c r="X252" i="3"/>
  <c r="X254" i="3"/>
  <c r="X256" i="3"/>
  <c r="X258" i="3"/>
  <c r="X260" i="3"/>
  <c r="X262" i="3"/>
  <c r="X264" i="3"/>
  <c r="X266" i="3"/>
  <c r="X268" i="3"/>
  <c r="X270" i="3"/>
  <c r="X272" i="3"/>
  <c r="X274" i="3"/>
  <c r="X276" i="3"/>
  <c r="X278" i="3"/>
  <c r="X280" i="3"/>
  <c r="X282" i="3"/>
  <c r="X284" i="3"/>
  <c r="X286" i="3"/>
  <c r="X288" i="3"/>
  <c r="X290" i="3"/>
  <c r="X292" i="3"/>
  <c r="X294" i="3"/>
  <c r="X296" i="3"/>
  <c r="X298" i="3"/>
  <c r="X300" i="3"/>
  <c r="X302" i="3"/>
  <c r="X304" i="3"/>
  <c r="X306" i="3"/>
  <c r="X308" i="3"/>
  <c r="X310" i="3"/>
  <c r="X312" i="3"/>
  <c r="Y341" i="3"/>
  <c r="AA340" i="3"/>
  <c r="W340" i="3"/>
  <c r="Y339" i="3"/>
  <c r="AA338" i="3"/>
  <c r="W338" i="3"/>
  <c r="Y337" i="3"/>
  <c r="AA336" i="3"/>
  <c r="W336" i="3"/>
  <c r="Y335" i="3"/>
  <c r="AA334" i="3"/>
  <c r="W334" i="3"/>
  <c r="Y333" i="3"/>
  <c r="AA332" i="3"/>
  <c r="W332" i="3"/>
  <c r="Y331" i="3"/>
  <c r="AA330" i="3"/>
  <c r="W330" i="3"/>
  <c r="Y329" i="3"/>
  <c r="AA328" i="3"/>
  <c r="W328" i="3"/>
  <c r="Y327" i="3"/>
  <c r="AA326" i="3"/>
  <c r="W326" i="3"/>
  <c r="Y325" i="3"/>
  <c r="AA324" i="3"/>
  <c r="W324" i="3"/>
  <c r="Y323" i="3"/>
  <c r="AA322" i="3"/>
  <c r="W322" i="3"/>
  <c r="Y321" i="3"/>
  <c r="AA320" i="3"/>
  <c r="W320" i="3"/>
  <c r="Y319" i="3"/>
  <c r="AA318" i="3"/>
  <c r="W318" i="3"/>
  <c r="Y317" i="3"/>
  <c r="AA316" i="3"/>
  <c r="W316" i="3"/>
  <c r="Y315" i="3"/>
  <c r="AA314" i="3"/>
  <c r="W314" i="3"/>
  <c r="Y313" i="3"/>
  <c r="AA312" i="3"/>
  <c r="Y311" i="3"/>
  <c r="W310" i="3"/>
  <c r="AA308" i="3"/>
  <c r="Y307" i="3"/>
  <c r="W306" i="3"/>
  <c r="AA304" i="3"/>
  <c r="Y303" i="3"/>
  <c r="W301" i="3"/>
  <c r="Y298" i="3"/>
  <c r="AA295" i="3"/>
  <c r="W293" i="3"/>
  <c r="Y290" i="3"/>
  <c r="AA287" i="3"/>
  <c r="W285" i="3"/>
  <c r="Y282" i="3"/>
  <c r="AA279" i="3"/>
  <c r="W277" i="3"/>
  <c r="Y274" i="3"/>
  <c r="AA271" i="3"/>
  <c r="W269" i="3"/>
  <c r="Y266" i="3"/>
  <c r="AA263" i="3"/>
  <c r="W261" i="3"/>
  <c r="Y258" i="3"/>
  <c r="AA255" i="3"/>
  <c r="W253" i="3"/>
  <c r="Y250" i="3"/>
  <c r="AA247" i="3"/>
  <c r="W245" i="3"/>
  <c r="Y242" i="3"/>
  <c r="AA239" i="3"/>
  <c r="W237" i="3"/>
  <c r="Y234" i="3"/>
  <c r="AA231" i="3"/>
  <c r="W229" i="3"/>
  <c r="Y224" i="3"/>
  <c r="AA213" i="3"/>
  <c r="W203" i="3"/>
  <c r="Y192" i="3"/>
  <c r="AA181" i="3"/>
  <c r="W171" i="3"/>
  <c r="Y160" i="3"/>
  <c r="AA149" i="3"/>
  <c r="W139" i="3"/>
  <c r="V126" i="3"/>
  <c r="Z73" i="3"/>
  <c r="V2" i="3"/>
  <c r="AB2" i="3" l="1"/>
  <c r="AC2" i="3" s="1"/>
  <c r="AB126" i="3"/>
  <c r="AC126" i="3" s="1"/>
  <c r="AB110" i="3"/>
  <c r="AC110" i="3" s="1"/>
  <c r="AB300" i="3"/>
  <c r="AC300" i="3" s="1"/>
  <c r="AB292" i="3"/>
  <c r="AC292" i="3" s="1"/>
  <c r="AB284" i="3"/>
  <c r="AC284" i="3" s="1"/>
  <c r="AB276" i="3"/>
  <c r="AC276" i="3" s="1"/>
  <c r="AB268" i="3"/>
  <c r="AC268" i="3" s="1"/>
  <c r="AB260" i="3"/>
  <c r="AC260" i="3" s="1"/>
  <c r="AB252" i="3"/>
  <c r="AC252" i="3" s="1"/>
  <c r="AB236" i="3"/>
  <c r="AC236" i="3" s="1"/>
  <c r="AB118" i="3"/>
  <c r="AC118" i="3" s="1"/>
  <c r="AB205" i="3"/>
  <c r="AC205" i="3" s="1"/>
  <c r="AB197" i="3"/>
  <c r="AC197" i="3" s="1"/>
  <c r="AB189" i="3"/>
  <c r="AC189" i="3" s="1"/>
  <c r="AB181" i="3"/>
  <c r="AC181" i="3" s="1"/>
  <c r="AB165" i="3"/>
  <c r="AC165" i="3" s="1"/>
  <c r="AB157" i="3"/>
  <c r="AC157" i="3" s="1"/>
  <c r="AB141" i="3"/>
  <c r="AC141" i="3" s="1"/>
  <c r="AB222" i="3"/>
  <c r="AC222" i="3" s="1"/>
  <c r="AB214" i="3"/>
  <c r="AC214" i="3" s="1"/>
  <c r="AB206" i="3"/>
  <c r="AC206" i="3" s="1"/>
  <c r="AB190" i="3"/>
  <c r="AC190" i="3" s="1"/>
  <c r="AB182" i="3"/>
  <c r="AC182" i="3" s="1"/>
  <c r="AB174" i="3"/>
  <c r="AC174" i="3" s="1"/>
  <c r="AB158" i="3"/>
  <c r="AC158" i="3" s="1"/>
  <c r="AB150" i="3"/>
  <c r="AC150" i="3" s="1"/>
  <c r="AB142" i="3"/>
  <c r="AC142" i="3" s="1"/>
  <c r="AB58" i="3"/>
  <c r="AC58" i="3" s="1"/>
  <c r="AB44" i="3"/>
  <c r="AC44" i="3" s="1"/>
  <c r="AB213" i="3"/>
  <c r="AC213" i="3" s="1"/>
  <c r="AB112" i="3"/>
  <c r="AC112" i="3" s="1"/>
  <c r="AB49" i="3"/>
  <c r="AC49" i="3" s="1"/>
  <c r="AB37" i="3"/>
  <c r="AC37" i="3" s="1"/>
  <c r="AB341" i="3"/>
  <c r="AC341" i="3" s="1"/>
  <c r="AB221" i="3"/>
  <c r="AC221" i="3" s="1"/>
  <c r="AB71" i="3"/>
  <c r="AC71" i="3" s="1"/>
  <c r="AB321" i="3"/>
  <c r="AC321" i="3" s="1"/>
  <c r="AB329" i="3"/>
  <c r="AC329" i="3" s="1"/>
  <c r="AB337" i="3"/>
  <c r="AC337" i="3" s="1"/>
  <c r="AB295" i="3"/>
  <c r="AC295" i="3" s="1"/>
  <c r="AB271" i="3"/>
  <c r="AC271" i="3" s="1"/>
  <c r="AB247" i="3"/>
  <c r="AC247" i="3" s="1"/>
  <c r="AB173" i="3"/>
  <c r="AC173" i="3" s="1"/>
  <c r="AB124" i="3"/>
  <c r="AC124" i="3" s="1"/>
  <c r="AB115" i="3"/>
  <c r="AC115" i="3" s="1"/>
  <c r="AB99" i="3"/>
  <c r="AC99" i="3" s="1"/>
  <c r="AB75" i="3"/>
  <c r="AC75" i="3" s="1"/>
  <c r="AB32" i="3"/>
  <c r="AC32" i="3" s="1"/>
  <c r="AB72" i="3"/>
  <c r="AC72" i="3" s="1"/>
  <c r="AB53" i="3"/>
  <c r="AC53" i="3" s="1"/>
  <c r="AB22" i="3"/>
  <c r="AC22" i="3" s="1"/>
  <c r="AB6" i="3"/>
  <c r="AC6" i="3" s="1"/>
  <c r="AB17" i="3"/>
  <c r="AC17" i="3" s="1"/>
  <c r="AB316" i="3"/>
  <c r="AC316" i="3" s="1"/>
  <c r="AB332" i="3"/>
  <c r="AC332" i="3" s="1"/>
  <c r="AB303" i="3"/>
  <c r="AC303" i="3" s="1"/>
  <c r="AB279" i="3"/>
  <c r="AC279" i="3" s="1"/>
  <c r="AB255" i="3"/>
  <c r="AC255" i="3" s="1"/>
  <c r="AB231" i="3"/>
  <c r="AC231" i="3" s="1"/>
  <c r="AB149" i="3"/>
  <c r="AC149" i="3" s="1"/>
  <c r="AB133" i="3"/>
  <c r="AC133" i="3" s="1"/>
  <c r="AB57" i="3"/>
  <c r="AC57" i="3" s="1"/>
  <c r="AB198" i="3"/>
  <c r="AC198" i="3" s="1"/>
  <c r="AB166" i="3"/>
  <c r="AC166" i="3" s="1"/>
  <c r="AB134" i="3"/>
  <c r="AC134" i="3" s="1"/>
  <c r="AB92" i="3"/>
  <c r="AC92" i="3" s="1"/>
  <c r="AB123" i="3"/>
  <c r="AC123" i="3" s="1"/>
  <c r="AB107" i="3"/>
  <c r="AC107" i="3" s="1"/>
  <c r="AB91" i="3"/>
  <c r="AC91" i="3" s="1"/>
  <c r="AB86" i="3"/>
  <c r="AC86" i="3" s="1"/>
  <c r="AB48" i="3"/>
  <c r="AC48" i="3" s="1"/>
  <c r="AB80" i="3"/>
  <c r="AC80" i="3" s="1"/>
  <c r="AB64" i="3"/>
  <c r="AC64" i="3" s="1"/>
  <c r="AB30" i="3"/>
  <c r="AC30" i="3" s="1"/>
  <c r="AB14" i="3"/>
  <c r="AC14" i="3" s="1"/>
  <c r="AB25" i="3"/>
  <c r="AC25" i="3" s="1"/>
  <c r="AB9" i="3"/>
  <c r="AC9" i="3" s="1"/>
  <c r="AB324" i="3"/>
  <c r="AC324" i="3" s="1"/>
  <c r="AB340" i="3"/>
  <c r="AC340" i="3" s="1"/>
  <c r="AB311" i="3"/>
  <c r="AC311" i="3" s="1"/>
  <c r="AB287" i="3"/>
  <c r="AC287" i="3" s="1"/>
  <c r="AB263" i="3"/>
  <c r="AC263" i="3" s="1"/>
  <c r="AB239" i="3"/>
  <c r="AC239" i="3" s="1"/>
  <c r="AB308" i="3"/>
  <c r="AC308" i="3" s="1"/>
  <c r="AB244" i="3"/>
  <c r="AC244" i="3" s="1"/>
  <c r="AB98" i="3"/>
  <c r="AC98" i="3" s="1"/>
  <c r="AB94" i="3"/>
  <c r="AC94" i="3" s="1"/>
  <c r="AB313" i="3"/>
  <c r="AC313" i="3" s="1"/>
  <c r="AB319" i="3"/>
  <c r="AC319" i="3" s="1"/>
  <c r="AB327" i="3"/>
  <c r="AC327" i="3" s="1"/>
  <c r="AB335" i="3"/>
  <c r="AC335" i="3" s="1"/>
  <c r="AB309" i="3"/>
  <c r="AC309" i="3" s="1"/>
  <c r="AB301" i="3"/>
  <c r="AC301" i="3" s="1"/>
  <c r="AB293" i="3"/>
  <c r="AC293" i="3" s="1"/>
  <c r="AB285" i="3"/>
  <c r="AC285" i="3" s="1"/>
  <c r="AB277" i="3"/>
  <c r="AC277" i="3" s="1"/>
  <c r="AB269" i="3"/>
  <c r="AC269" i="3" s="1"/>
  <c r="AB261" i="3"/>
  <c r="AC261" i="3" s="1"/>
  <c r="AB253" i="3"/>
  <c r="AC253" i="3" s="1"/>
  <c r="AB245" i="3"/>
  <c r="AC245" i="3" s="1"/>
  <c r="AB237" i="3"/>
  <c r="AC237" i="3" s="1"/>
  <c r="AB229" i="3"/>
  <c r="AC229" i="3" s="1"/>
  <c r="AB50" i="3"/>
  <c r="AC50" i="3" s="1"/>
  <c r="AB306" i="3"/>
  <c r="AC306" i="3" s="1"/>
  <c r="AB298" i="3"/>
  <c r="AC298" i="3" s="1"/>
  <c r="AB290" i="3"/>
  <c r="AC290" i="3" s="1"/>
  <c r="AB282" i="3"/>
  <c r="AC282" i="3" s="1"/>
  <c r="AB274" i="3"/>
  <c r="AC274" i="3" s="1"/>
  <c r="AB266" i="3"/>
  <c r="AC266" i="3" s="1"/>
  <c r="AB258" i="3"/>
  <c r="AC258" i="3" s="1"/>
  <c r="AB250" i="3"/>
  <c r="AC250" i="3" s="1"/>
  <c r="AB242" i="3"/>
  <c r="AC242" i="3" s="1"/>
  <c r="AB234" i="3"/>
  <c r="AC234" i="3" s="1"/>
  <c r="AB227" i="3"/>
  <c r="AC227" i="3" s="1"/>
  <c r="AB219" i="3"/>
  <c r="AC219" i="3" s="1"/>
  <c r="AB211" i="3"/>
  <c r="AC211" i="3" s="1"/>
  <c r="AB203" i="3"/>
  <c r="AC203" i="3" s="1"/>
  <c r="AB195" i="3"/>
  <c r="AC195" i="3" s="1"/>
  <c r="AB187" i="3"/>
  <c r="AC187" i="3" s="1"/>
  <c r="AB179" i="3"/>
  <c r="AC179" i="3" s="1"/>
  <c r="AB171" i="3"/>
  <c r="AC171" i="3" s="1"/>
  <c r="AB163" i="3"/>
  <c r="AC163" i="3" s="1"/>
  <c r="AB155" i="3"/>
  <c r="AC155" i="3" s="1"/>
  <c r="AB147" i="3"/>
  <c r="AC147" i="3" s="1"/>
  <c r="AB139" i="3"/>
  <c r="AC139" i="3" s="1"/>
  <c r="AB131" i="3"/>
  <c r="AC131" i="3" s="1"/>
  <c r="AB104" i="3"/>
  <c r="AC104" i="3" s="1"/>
  <c r="AB122" i="3"/>
  <c r="AC122" i="3" s="1"/>
  <c r="AB90" i="3"/>
  <c r="AC90" i="3" s="1"/>
  <c r="AB228" i="3"/>
  <c r="AC228" i="3" s="1"/>
  <c r="AB220" i="3"/>
  <c r="AC220" i="3" s="1"/>
  <c r="AB212" i="3"/>
  <c r="AC212" i="3" s="1"/>
  <c r="AB204" i="3"/>
  <c r="AC204" i="3" s="1"/>
  <c r="AB196" i="3"/>
  <c r="AC196" i="3" s="1"/>
  <c r="AB188" i="3"/>
  <c r="AC188" i="3" s="1"/>
  <c r="AB180" i="3"/>
  <c r="AC180" i="3" s="1"/>
  <c r="AB172" i="3"/>
  <c r="AC172" i="3" s="1"/>
  <c r="AB164" i="3"/>
  <c r="AC164" i="3" s="1"/>
  <c r="AB156" i="3"/>
  <c r="AC156" i="3" s="1"/>
  <c r="AB148" i="3"/>
  <c r="AC148" i="3" s="1"/>
  <c r="AB140" i="3"/>
  <c r="AC140" i="3" s="1"/>
  <c r="AB132" i="3"/>
  <c r="AC132" i="3" s="1"/>
  <c r="AB116" i="3"/>
  <c r="AC116" i="3" s="1"/>
  <c r="AB81" i="3"/>
  <c r="AC81" i="3" s="1"/>
  <c r="AB42" i="3"/>
  <c r="AC42" i="3" s="1"/>
  <c r="AB121" i="3"/>
  <c r="AC121" i="3" s="1"/>
  <c r="AB113" i="3"/>
  <c r="AC113" i="3" s="1"/>
  <c r="AB105" i="3"/>
  <c r="AC105" i="3" s="1"/>
  <c r="AB97" i="3"/>
  <c r="AC97" i="3" s="1"/>
  <c r="AB89" i="3"/>
  <c r="AC89" i="3" s="1"/>
  <c r="AB67" i="3"/>
  <c r="AC67" i="3" s="1"/>
  <c r="AB77" i="3"/>
  <c r="AC77" i="3" s="1"/>
  <c r="AB33" i="3"/>
  <c r="AC33" i="3" s="1"/>
  <c r="AB47" i="3"/>
  <c r="AC47" i="3" s="1"/>
  <c r="AB31" i="3"/>
  <c r="AC31" i="3" s="1"/>
  <c r="AB78" i="3"/>
  <c r="AC78" i="3" s="1"/>
  <c r="AB70" i="3"/>
  <c r="AC70" i="3" s="1"/>
  <c r="AB62" i="3"/>
  <c r="AC62" i="3" s="1"/>
  <c r="AB46" i="3"/>
  <c r="AC46" i="3" s="1"/>
  <c r="AB59" i="3"/>
  <c r="AC59" i="3" s="1"/>
  <c r="AB43" i="3"/>
  <c r="AC43" i="3" s="1"/>
  <c r="AB28" i="3"/>
  <c r="AC28" i="3" s="1"/>
  <c r="AB20" i="3"/>
  <c r="AC20" i="3" s="1"/>
  <c r="AB12" i="3"/>
  <c r="AC12" i="3" s="1"/>
  <c r="AB4" i="3"/>
  <c r="AC4" i="3" s="1"/>
  <c r="AB23" i="3"/>
  <c r="AC23" i="3" s="1"/>
  <c r="AB15" i="3"/>
  <c r="AC15" i="3" s="1"/>
  <c r="AB7" i="3"/>
  <c r="AC7" i="3" s="1"/>
  <c r="AB318" i="3"/>
  <c r="AC318" i="3" s="1"/>
  <c r="AB326" i="3"/>
  <c r="AC326" i="3" s="1"/>
  <c r="AB334" i="3"/>
  <c r="AC334" i="3" s="1"/>
  <c r="AB317" i="3"/>
  <c r="AC317" i="3" s="1"/>
  <c r="AB325" i="3"/>
  <c r="AC325" i="3" s="1"/>
  <c r="AB333" i="3"/>
  <c r="AC333" i="3" s="1"/>
  <c r="AB307" i="3"/>
  <c r="AC307" i="3" s="1"/>
  <c r="AB299" i="3"/>
  <c r="AC299" i="3" s="1"/>
  <c r="AB291" i="3"/>
  <c r="AC291" i="3" s="1"/>
  <c r="AB283" i="3"/>
  <c r="AC283" i="3" s="1"/>
  <c r="AB275" i="3"/>
  <c r="AC275" i="3" s="1"/>
  <c r="AB267" i="3"/>
  <c r="AC267" i="3" s="1"/>
  <c r="AB259" i="3"/>
  <c r="AC259" i="3" s="1"/>
  <c r="AB251" i="3"/>
  <c r="AC251" i="3" s="1"/>
  <c r="AB243" i="3"/>
  <c r="AC243" i="3" s="1"/>
  <c r="AB235" i="3"/>
  <c r="AC235" i="3" s="1"/>
  <c r="AB102" i="3"/>
  <c r="AC102" i="3" s="1"/>
  <c r="AB312" i="3"/>
  <c r="AC312" i="3" s="1"/>
  <c r="AB304" i="3"/>
  <c r="AC304" i="3" s="1"/>
  <c r="AB296" i="3"/>
  <c r="AC296" i="3" s="1"/>
  <c r="AB288" i="3"/>
  <c r="AC288" i="3" s="1"/>
  <c r="AB280" i="3"/>
  <c r="AC280" i="3" s="1"/>
  <c r="AB272" i="3"/>
  <c r="AC272" i="3" s="1"/>
  <c r="AB264" i="3"/>
  <c r="AC264" i="3" s="1"/>
  <c r="AB256" i="3"/>
  <c r="AC256" i="3" s="1"/>
  <c r="AB248" i="3"/>
  <c r="AC248" i="3" s="1"/>
  <c r="AB240" i="3"/>
  <c r="AC240" i="3" s="1"/>
  <c r="AB232" i="3"/>
  <c r="AC232" i="3" s="1"/>
  <c r="AB225" i="3"/>
  <c r="AC225" i="3" s="1"/>
  <c r="AB217" i="3"/>
  <c r="AC217" i="3" s="1"/>
  <c r="AB209" i="3"/>
  <c r="AC209" i="3" s="1"/>
  <c r="AB201" i="3"/>
  <c r="AC201" i="3" s="1"/>
  <c r="AB193" i="3"/>
  <c r="AC193" i="3" s="1"/>
  <c r="AB185" i="3"/>
  <c r="AC185" i="3" s="1"/>
  <c r="AB177" i="3"/>
  <c r="AC177" i="3" s="1"/>
  <c r="AB169" i="3"/>
  <c r="AC169" i="3" s="1"/>
  <c r="AB161" i="3"/>
  <c r="AC161" i="3" s="1"/>
  <c r="AB153" i="3"/>
  <c r="AC153" i="3" s="1"/>
  <c r="AB145" i="3"/>
  <c r="AC145" i="3" s="1"/>
  <c r="AB137" i="3"/>
  <c r="AC137" i="3" s="1"/>
  <c r="AB128" i="3"/>
  <c r="AC128" i="3" s="1"/>
  <c r="AB96" i="3"/>
  <c r="AC96" i="3" s="1"/>
  <c r="AB114" i="3"/>
  <c r="AC114" i="3" s="1"/>
  <c r="AB87" i="3"/>
  <c r="AC87" i="3" s="1"/>
  <c r="AB226" i="3"/>
  <c r="AC226" i="3" s="1"/>
  <c r="AB218" i="3"/>
  <c r="AC218" i="3" s="1"/>
  <c r="AB210" i="3"/>
  <c r="AC210" i="3" s="1"/>
  <c r="AB202" i="3"/>
  <c r="AC202" i="3" s="1"/>
  <c r="AB194" i="3"/>
  <c r="AC194" i="3" s="1"/>
  <c r="AB186" i="3"/>
  <c r="AC186" i="3" s="1"/>
  <c r="AB178" i="3"/>
  <c r="AC178" i="3" s="1"/>
  <c r="AB170" i="3"/>
  <c r="AC170" i="3" s="1"/>
  <c r="AB162" i="3"/>
  <c r="AC162" i="3" s="1"/>
  <c r="AB154" i="3"/>
  <c r="AC154" i="3" s="1"/>
  <c r="AB146" i="3"/>
  <c r="AC146" i="3" s="1"/>
  <c r="AB138" i="3"/>
  <c r="AC138" i="3" s="1"/>
  <c r="AB130" i="3"/>
  <c r="AC130" i="3" s="1"/>
  <c r="AB108" i="3"/>
  <c r="AC108" i="3" s="1"/>
  <c r="AB73" i="3"/>
  <c r="AC73" i="3" s="1"/>
  <c r="AB127" i="3"/>
  <c r="AC127" i="3" s="1"/>
  <c r="AB119" i="3"/>
  <c r="AC119" i="3" s="1"/>
  <c r="AB111" i="3"/>
  <c r="AC111" i="3" s="1"/>
  <c r="AB103" i="3"/>
  <c r="AC103" i="3" s="1"/>
  <c r="AB95" i="3"/>
  <c r="AC95" i="3" s="1"/>
  <c r="AB85" i="3"/>
  <c r="AC85" i="3" s="1"/>
  <c r="AB41" i="3"/>
  <c r="AC41" i="3" s="1"/>
  <c r="AB69" i="3"/>
  <c r="AC69" i="3" s="1"/>
  <c r="AB56" i="3"/>
  <c r="AC56" i="3" s="1"/>
  <c r="AB40" i="3"/>
  <c r="AC40" i="3" s="1"/>
  <c r="AB84" i="3"/>
  <c r="AC84" i="3" s="1"/>
  <c r="AB76" i="3"/>
  <c r="AC76" i="3" s="1"/>
  <c r="AB68" i="3"/>
  <c r="AC68" i="3" s="1"/>
  <c r="AB60" i="3"/>
  <c r="AC60" i="3" s="1"/>
  <c r="AB45" i="3"/>
  <c r="AC45" i="3" s="1"/>
  <c r="AB52" i="3"/>
  <c r="AC52" i="3" s="1"/>
  <c r="AB36" i="3"/>
  <c r="AC36" i="3" s="1"/>
  <c r="AB26" i="3"/>
  <c r="AC26" i="3" s="1"/>
  <c r="AB18" i="3"/>
  <c r="AC18" i="3" s="1"/>
  <c r="AB10" i="3"/>
  <c r="AC10" i="3" s="1"/>
  <c r="AB29" i="3"/>
  <c r="AC29" i="3" s="1"/>
  <c r="AB21" i="3"/>
  <c r="AC21" i="3" s="1"/>
  <c r="AB13" i="3"/>
  <c r="AC13" i="3" s="1"/>
  <c r="AB5" i="3"/>
  <c r="AC5" i="3" s="1"/>
  <c r="AB320" i="3"/>
  <c r="AC320" i="3" s="1"/>
  <c r="AB328" i="3"/>
  <c r="AC328" i="3" s="1"/>
  <c r="AB336" i="3"/>
  <c r="AC336" i="3" s="1"/>
  <c r="AB315" i="3"/>
  <c r="AC315" i="3" s="1"/>
  <c r="AB323" i="3"/>
  <c r="AC323" i="3" s="1"/>
  <c r="AB331" i="3"/>
  <c r="AC331" i="3" s="1"/>
  <c r="AB339" i="3"/>
  <c r="AC339" i="3" s="1"/>
  <c r="AB305" i="3"/>
  <c r="AC305" i="3" s="1"/>
  <c r="AB297" i="3"/>
  <c r="AC297" i="3" s="1"/>
  <c r="AB289" i="3"/>
  <c r="AC289" i="3" s="1"/>
  <c r="AB281" i="3"/>
  <c r="AC281" i="3" s="1"/>
  <c r="AB273" i="3"/>
  <c r="AC273" i="3" s="1"/>
  <c r="AB265" i="3"/>
  <c r="AC265" i="3" s="1"/>
  <c r="AB257" i="3"/>
  <c r="AC257" i="3" s="1"/>
  <c r="AB249" i="3"/>
  <c r="AC249" i="3" s="1"/>
  <c r="AB241" i="3"/>
  <c r="AC241" i="3" s="1"/>
  <c r="AB233" i="3"/>
  <c r="AC233" i="3" s="1"/>
  <c r="AB63" i="3"/>
  <c r="AC63" i="3" s="1"/>
  <c r="AB310" i="3"/>
  <c r="AC310" i="3" s="1"/>
  <c r="AB302" i="3"/>
  <c r="AC302" i="3" s="1"/>
  <c r="AB294" i="3"/>
  <c r="AC294" i="3" s="1"/>
  <c r="AB286" i="3"/>
  <c r="AC286" i="3" s="1"/>
  <c r="AB278" i="3"/>
  <c r="AC278" i="3" s="1"/>
  <c r="AB270" i="3"/>
  <c r="AC270" i="3" s="1"/>
  <c r="AB262" i="3"/>
  <c r="AC262" i="3" s="1"/>
  <c r="AB254" i="3"/>
  <c r="AC254" i="3" s="1"/>
  <c r="AB246" i="3"/>
  <c r="AC246" i="3" s="1"/>
  <c r="AB238" i="3"/>
  <c r="AC238" i="3" s="1"/>
  <c r="AB230" i="3"/>
  <c r="AC230" i="3" s="1"/>
  <c r="AB223" i="3"/>
  <c r="AC223" i="3" s="1"/>
  <c r="AB215" i="3"/>
  <c r="AC215" i="3" s="1"/>
  <c r="AB207" i="3"/>
  <c r="AC207" i="3" s="1"/>
  <c r="AB199" i="3"/>
  <c r="AC199" i="3" s="1"/>
  <c r="AB191" i="3"/>
  <c r="AC191" i="3" s="1"/>
  <c r="AB183" i="3"/>
  <c r="AC183" i="3" s="1"/>
  <c r="AB175" i="3"/>
  <c r="AC175" i="3" s="1"/>
  <c r="AB167" i="3"/>
  <c r="AC167" i="3" s="1"/>
  <c r="AB159" i="3"/>
  <c r="AC159" i="3" s="1"/>
  <c r="AB151" i="3"/>
  <c r="AC151" i="3" s="1"/>
  <c r="AB143" i="3"/>
  <c r="AC143" i="3" s="1"/>
  <c r="AB135" i="3"/>
  <c r="AC135" i="3" s="1"/>
  <c r="AB120" i="3"/>
  <c r="AC120" i="3" s="1"/>
  <c r="AB88" i="3"/>
  <c r="AC88" i="3" s="1"/>
  <c r="AB106" i="3"/>
  <c r="AC106" i="3" s="1"/>
  <c r="AB79" i="3"/>
  <c r="AC79" i="3" s="1"/>
  <c r="AB224" i="3"/>
  <c r="AC224" i="3" s="1"/>
  <c r="AB216" i="3"/>
  <c r="AC216" i="3" s="1"/>
  <c r="AB208" i="3"/>
  <c r="AC208" i="3" s="1"/>
  <c r="AB200" i="3"/>
  <c r="AC200" i="3" s="1"/>
  <c r="AB192" i="3"/>
  <c r="AC192" i="3" s="1"/>
  <c r="AB184" i="3"/>
  <c r="AC184" i="3" s="1"/>
  <c r="AB176" i="3"/>
  <c r="AC176" i="3" s="1"/>
  <c r="AB168" i="3"/>
  <c r="AC168" i="3" s="1"/>
  <c r="AB160" i="3"/>
  <c r="AC160" i="3" s="1"/>
  <c r="AB152" i="3"/>
  <c r="AC152" i="3" s="1"/>
  <c r="AB144" i="3"/>
  <c r="AC144" i="3" s="1"/>
  <c r="AB136" i="3"/>
  <c r="AC136" i="3" s="1"/>
  <c r="AB129" i="3"/>
  <c r="AC129" i="3" s="1"/>
  <c r="AB100" i="3"/>
  <c r="AC100" i="3" s="1"/>
  <c r="AB65" i="3"/>
  <c r="AC65" i="3" s="1"/>
  <c r="AB125" i="3"/>
  <c r="AC125" i="3" s="1"/>
  <c r="AB117" i="3"/>
  <c r="AC117" i="3" s="1"/>
  <c r="AB109" i="3"/>
  <c r="AC109" i="3" s="1"/>
  <c r="AB101" i="3"/>
  <c r="AC101" i="3" s="1"/>
  <c r="AB93" i="3"/>
  <c r="AC93" i="3" s="1"/>
  <c r="AB83" i="3"/>
  <c r="AC83" i="3" s="1"/>
  <c r="AB34" i="3"/>
  <c r="AC34" i="3" s="1"/>
  <c r="AB61" i="3"/>
  <c r="AC61" i="3" s="1"/>
  <c r="AB55" i="3"/>
  <c r="AC55" i="3" s="1"/>
  <c r="AB39" i="3"/>
  <c r="AC39" i="3" s="1"/>
  <c r="AB82" i="3"/>
  <c r="AC82" i="3" s="1"/>
  <c r="AB74" i="3"/>
  <c r="AC74" i="3" s="1"/>
  <c r="AB66" i="3"/>
  <c r="AC66" i="3" s="1"/>
  <c r="AB54" i="3"/>
  <c r="AC54" i="3" s="1"/>
  <c r="AB38" i="3"/>
  <c r="AC38" i="3" s="1"/>
  <c r="AB51" i="3"/>
  <c r="AC51" i="3" s="1"/>
  <c r="AB35" i="3"/>
  <c r="AC35" i="3" s="1"/>
  <c r="AB24" i="3"/>
  <c r="AC24" i="3" s="1"/>
  <c r="AB16" i="3"/>
  <c r="AC16" i="3" s="1"/>
  <c r="AB8" i="3"/>
  <c r="AC8" i="3" s="1"/>
  <c r="AB27" i="3"/>
  <c r="AC27" i="3" s="1"/>
  <c r="AB19" i="3"/>
  <c r="AC19" i="3" s="1"/>
  <c r="AB11" i="3"/>
  <c r="AC11" i="3" s="1"/>
  <c r="AB3" i="3"/>
  <c r="AC3" i="3" s="1"/>
  <c r="AB314" i="3"/>
  <c r="AC314" i="3" s="1"/>
  <c r="AB322" i="3"/>
  <c r="AC322" i="3" s="1"/>
  <c r="AB330" i="3"/>
  <c r="AC330" i="3" s="1"/>
  <c r="AB338" i="3"/>
  <c r="AC338" i="3" s="1"/>
  <c r="AL22" i="3" l="1"/>
  <c r="AH22" i="3"/>
  <c r="AK22" i="3"/>
  <c r="AG22" i="3"/>
  <c r="AJ22" i="3"/>
  <c r="AI22" i="3"/>
  <c r="AD2" i="3"/>
</calcChain>
</file>

<file path=xl/sharedStrings.xml><?xml version="1.0" encoding="utf-8"?>
<sst xmlns="http://schemas.openxmlformats.org/spreadsheetml/2006/main" count="195" uniqueCount="73">
  <si>
    <t>D1</t>
    <phoneticPr fontId="1" type="noConversion"/>
  </si>
  <si>
    <t>D2</t>
    <phoneticPr fontId="1" type="noConversion"/>
  </si>
  <si>
    <t>D3</t>
    <phoneticPr fontId="1" type="noConversion"/>
  </si>
  <si>
    <t>Min D</t>
    <phoneticPr fontId="1" type="noConversion"/>
  </si>
  <si>
    <r>
      <t>1</t>
    </r>
    <r>
      <rPr>
        <sz val="12"/>
        <color indexed="8"/>
        <rFont val="標楷體"/>
        <family val="4"/>
        <charset val="136"/>
      </rPr>
      <t>□</t>
    </r>
    <r>
      <rPr>
        <sz val="12"/>
        <color indexed="8"/>
        <rFont val="Times New Roman"/>
        <family val="1"/>
      </rPr>
      <t xml:space="preserve">    2</t>
    </r>
    <r>
      <rPr>
        <sz val="12"/>
        <color indexed="8"/>
        <rFont val="標楷體"/>
        <family val="4"/>
        <charset val="136"/>
      </rPr>
      <t>□</t>
    </r>
    <r>
      <rPr>
        <sz val="12"/>
        <color indexed="8"/>
        <rFont val="Times New Roman"/>
        <family val="1"/>
      </rPr>
      <t xml:space="preserve">    3</t>
    </r>
    <r>
      <rPr>
        <sz val="12"/>
        <color indexed="8"/>
        <rFont val="標楷體"/>
        <family val="4"/>
        <charset val="136"/>
      </rPr>
      <t>□</t>
    </r>
    <r>
      <rPr>
        <sz val="12"/>
        <color indexed="8"/>
        <rFont val="Times New Roman"/>
        <family val="1"/>
      </rPr>
      <t xml:space="preserve">    4</t>
    </r>
    <r>
      <rPr>
        <sz val="12"/>
        <color indexed="8"/>
        <rFont val="標楷體"/>
        <family val="4"/>
        <charset val="136"/>
      </rPr>
      <t>□</t>
    </r>
    <r>
      <rPr>
        <sz val="12"/>
        <color indexed="8"/>
        <rFont val="Times New Roman"/>
        <family val="1"/>
      </rPr>
      <t xml:space="preserve">    5</t>
    </r>
    <r>
      <rPr>
        <sz val="12"/>
        <color indexed="8"/>
        <rFont val="標楷體"/>
        <family val="4"/>
        <charset val="136"/>
      </rPr>
      <t>□</t>
    </r>
  </si>
  <si>
    <r>
      <t>20.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細明體"/>
        <family val="3"/>
        <charset val="136"/>
      </rPr>
      <t>請問您贊成鞭刑嗎？</t>
    </r>
  </si>
  <si>
    <r>
      <t>19.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請問您贊成興建蘇花高嗎？</t>
    </r>
  </si>
  <si>
    <r>
      <t>18.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請問您贊成學校教師體罰學生嗎？</t>
    </r>
  </si>
  <si>
    <r>
      <t>17.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細明體"/>
        <family val="3"/>
        <charset val="136"/>
      </rPr>
      <t>請問您贊成調降遺產稅及贈與稅嗎？</t>
    </r>
  </si>
  <si>
    <r>
      <t>16.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請問您贊成採取募兵制嗎？</t>
    </r>
  </si>
  <si>
    <r>
      <t>15.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請問您贊成國中基測採用一綱多本嗎？</t>
    </r>
  </si>
  <si>
    <r>
      <t>14.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請問您贊成健保只保大病嗎？</t>
    </r>
  </si>
  <si>
    <r>
      <t>13.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請問您贊成高等教育普及化嗎？</t>
    </r>
  </si>
  <si>
    <r>
      <t>12.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請問您贊成降低個人所得稅嗎？</t>
    </r>
  </si>
  <si>
    <r>
      <t>11.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請問您贊成限制各級選舉的經費上限嗎？</t>
    </r>
  </si>
  <si>
    <r>
      <t>10.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細明體"/>
        <family val="3"/>
        <charset val="136"/>
      </rPr>
      <t>請問您贊成政府編列赤字預算嗎？</t>
    </r>
  </si>
  <si>
    <r>
      <t>9.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請問您贊成政府補助生育嗎？</t>
    </r>
  </si>
  <si>
    <r>
      <t>8.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請問您贊成政府訂定基本薪資嗎？</t>
    </r>
  </si>
  <si>
    <r>
      <t>7.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請問您贊成政府改成內閣制嗎？</t>
    </r>
  </si>
  <si>
    <r>
      <t>6.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請問您贊成承認中國大陸高等教育學歷嗎？</t>
    </r>
  </si>
  <si>
    <r>
      <t>5.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請問您贊成性交易合法化嗎？</t>
    </r>
  </si>
  <si>
    <r>
      <t>4.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請問您贊成走向高福利、高稅率的社會嗎？</t>
    </r>
  </si>
  <si>
    <r>
      <t>3.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請問您贊成死刑嗎？</t>
    </r>
  </si>
  <si>
    <r>
      <t>2.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請問您贊成安樂死嗎？</t>
    </r>
  </si>
  <si>
    <r>
      <t>1.</t>
    </r>
    <r>
      <rPr>
        <sz val="7"/>
        <color indexed="8"/>
        <rFont val="Times New Roman"/>
        <family val="1"/>
      </rPr>
      <t xml:space="preserve">       </t>
    </r>
    <r>
      <rPr>
        <sz val="10"/>
        <color indexed="8"/>
        <rFont val="細明體"/>
        <family val="3"/>
        <charset val="136"/>
      </rPr>
      <t>請問您贊成同性別伴侶結婚或認養子女嗎？</t>
    </r>
  </si>
  <si>
    <r>
      <t>1</t>
    </r>
    <r>
      <rPr>
        <sz val="12"/>
        <color indexed="8"/>
        <rFont val="標楷體"/>
        <family val="4"/>
        <charset val="136"/>
      </rPr>
      <t>非常同意、</t>
    </r>
    <r>
      <rPr>
        <sz val="12"/>
        <color indexed="8"/>
        <rFont val="Georgia"/>
        <family val="1"/>
      </rPr>
      <t>2</t>
    </r>
    <r>
      <rPr>
        <sz val="12"/>
        <color indexed="8"/>
        <rFont val="標楷體"/>
        <family val="4"/>
        <charset val="136"/>
      </rPr>
      <t>同意、</t>
    </r>
    <r>
      <rPr>
        <sz val="12"/>
        <color indexed="8"/>
        <rFont val="Georgia"/>
        <family val="1"/>
      </rPr>
      <t>3</t>
    </r>
    <r>
      <rPr>
        <sz val="12"/>
        <color indexed="8"/>
        <rFont val="標楷體"/>
        <family val="4"/>
        <charset val="136"/>
      </rPr>
      <t>沒意見、</t>
    </r>
    <r>
      <rPr>
        <sz val="12"/>
        <color indexed="8"/>
        <rFont val="Georgia"/>
        <family val="1"/>
      </rPr>
      <t>4</t>
    </r>
    <r>
      <rPr>
        <sz val="12"/>
        <color indexed="8"/>
        <rFont val="標楷體"/>
        <family val="4"/>
        <charset val="136"/>
      </rPr>
      <t>不同意、</t>
    </r>
    <r>
      <rPr>
        <sz val="12"/>
        <color indexed="8"/>
        <rFont val="Georgia"/>
        <family val="1"/>
      </rPr>
      <t>5</t>
    </r>
    <r>
      <rPr>
        <sz val="12"/>
        <color indexed="8"/>
        <rFont val="標楷體"/>
        <family val="4"/>
        <charset val="136"/>
      </rPr>
      <t>非常不同意</t>
    </r>
  </si>
  <si>
    <t>x20</t>
  </si>
  <si>
    <t>x19</t>
  </si>
  <si>
    <t>x18</t>
  </si>
  <si>
    <t>x17</t>
  </si>
  <si>
    <t>x16</t>
  </si>
  <si>
    <t>x15</t>
  </si>
  <si>
    <t>x14</t>
  </si>
  <si>
    <t>x13</t>
  </si>
  <si>
    <t>x12</t>
  </si>
  <si>
    <t>x11</t>
  </si>
  <si>
    <t>x10</t>
  </si>
  <si>
    <t>x9</t>
  </si>
  <si>
    <t>x8</t>
  </si>
  <si>
    <t>x7</t>
  </si>
  <si>
    <t>x6</t>
  </si>
  <si>
    <t>x5</t>
  </si>
  <si>
    <t>x4</t>
  </si>
  <si>
    <t>x3</t>
  </si>
  <si>
    <t>x2</t>
  </si>
  <si>
    <t>x1</t>
  </si>
  <si>
    <t>D4</t>
    <phoneticPr fontId="1" type="noConversion"/>
  </si>
  <si>
    <t>D5</t>
    <phoneticPr fontId="1" type="noConversion"/>
  </si>
  <si>
    <t>D6</t>
    <phoneticPr fontId="1" type="noConversion"/>
  </si>
  <si>
    <t>X1</t>
    <phoneticPr fontId="1" type="noConversion"/>
  </si>
  <si>
    <t>X2</t>
    <phoneticPr fontId="1" type="noConversion"/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</si>
  <si>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</si>
  <si>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</si>
  <si>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</si>
  <si>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</si>
  <si>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</si>
  <si>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</si>
  <si>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</si>
  <si>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</si>
  <si>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</si>
  <si>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</si>
  <si>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</si>
  <si>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</si>
  <si>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</si>
  <si>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</si>
  <si>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</si>
  <si>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</si>
  <si>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</si>
  <si>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</si>
  <si>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Total</t>
    <phoneticPr fontId="1" type="noConversion"/>
  </si>
  <si>
    <t>Cluster</t>
    <phoneticPr fontId="1" type="noConversion"/>
  </si>
  <si>
    <t>N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</si>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</sst>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_ "/>
  </numFmts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sz val="10"/>
      <color indexed="8"/>
      <name val="Georgia"/>
      <family val="1"/>
    </font>
    <font>
      <sz val="7"/>
      <color indexed="8"/>
      <name val="Times New Roman"/>
      <family val="1"/>
    </font>
    <font>
      <sz val="10"/>
      <color indexed="8"/>
      <name val="細明體"/>
      <family val="3"/>
      <charset val="136"/>
    </font>
    <font>
      <sz val="12"/>
      <color indexed="8"/>
      <name val="Georgia"/>
      <family val="1"/>
    </font>
    <font>
      <sz val="12"/>
      <name val="新細明體"/>
      <family val="1"/>
      <charset val="136"/>
    </font>
    <font>
      <sz val="10"/>
      <name val="Arial"/>
      <family val="2"/>
    </font>
    <font>
      <sz val="8"/>
      <color indexed="62"/>
      <name val="Arial"/>
      <family val="2"/>
    </font>
    <font>
      <b/>
      <sz val="8"/>
      <color indexed="62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0" fillId="0" borderId="0"/>
    <xf numFmtId="9" fontId="13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1" xfId="1" applyFont="1" applyBorder="1" applyAlignment="1">
      <alignment vertical="top" wrapText="1"/>
    </xf>
    <xf numFmtId="0" fontId="5" fillId="0" borderId="2" xfId="1" applyFont="1" applyBorder="1" applyAlignment="1">
      <alignment horizontal="left" vertical="top" wrapText="1" indent="1"/>
    </xf>
    <xf numFmtId="0" fontId="5" fillId="0" borderId="3" xfId="1" applyFont="1" applyBorder="1" applyAlignment="1">
      <alignment horizontal="left" vertical="top" wrapText="1" indent="1"/>
    </xf>
    <xf numFmtId="0" fontId="8" fillId="0" borderId="4" xfId="1" applyFont="1" applyBorder="1" applyAlignment="1">
      <alignment vertical="top" wrapText="1"/>
    </xf>
    <xf numFmtId="0" fontId="9" fillId="0" borderId="0" xfId="2">
      <alignment vertical="center"/>
    </xf>
    <xf numFmtId="0" fontId="11" fillId="0" borderId="5" xfId="3" applyNumberFormat="1" applyFont="1" applyBorder="1" applyAlignment="1">
      <alignment horizontal="right" vertical="center"/>
    </xf>
    <xf numFmtId="0" fontId="11" fillId="0" borderId="6" xfId="3" applyNumberFormat="1" applyFont="1" applyBorder="1" applyAlignment="1">
      <alignment horizontal="right" vertical="center"/>
    </xf>
    <xf numFmtId="0" fontId="11" fillId="0" borderId="7" xfId="3" applyNumberFormat="1" applyFont="1" applyBorder="1" applyAlignment="1">
      <alignment horizontal="right" vertical="center"/>
    </xf>
    <xf numFmtId="0" fontId="11" fillId="0" borderId="8" xfId="3" applyNumberFormat="1" applyFont="1" applyBorder="1" applyAlignment="1">
      <alignment horizontal="right" vertical="center"/>
    </xf>
    <xf numFmtId="0" fontId="11" fillId="0" borderId="9" xfId="3" applyNumberFormat="1" applyFont="1" applyBorder="1" applyAlignment="1">
      <alignment horizontal="right" vertical="center"/>
    </xf>
    <xf numFmtId="0" fontId="11" fillId="0" borderId="0" xfId="3" applyNumberFormat="1" applyFont="1" applyBorder="1" applyAlignment="1">
      <alignment horizontal="right" vertical="center"/>
    </xf>
    <xf numFmtId="0" fontId="11" fillId="0" borderId="10" xfId="3" applyNumberFormat="1" applyFont="1" applyBorder="1" applyAlignment="1">
      <alignment horizontal="right" vertical="center"/>
    </xf>
    <xf numFmtId="0" fontId="11" fillId="0" borderId="11" xfId="3" applyNumberFormat="1" applyFont="1" applyBorder="1" applyAlignment="1">
      <alignment horizontal="right" vertical="center"/>
    </xf>
    <xf numFmtId="0" fontId="11" fillId="0" borderId="12" xfId="3" applyNumberFormat="1" applyFont="1" applyBorder="1" applyAlignment="1">
      <alignment horizontal="right" vertical="center"/>
    </xf>
    <xf numFmtId="0" fontId="12" fillId="2" borderId="10" xfId="3" applyNumberFormat="1" applyFont="1" applyFill="1" applyBorder="1" applyAlignment="1">
      <alignment horizontal="right" vertical="center" wrapText="1"/>
    </xf>
    <xf numFmtId="0" fontId="9" fillId="0" borderId="13" xfId="2" applyBorder="1">
      <alignment vertical="center"/>
    </xf>
    <xf numFmtId="9" fontId="9" fillId="0" borderId="13" xfId="4" applyFont="1" applyBorder="1">
      <alignment vertical="center"/>
    </xf>
    <xf numFmtId="2" fontId="9" fillId="0" borderId="13" xfId="2" applyNumberFormat="1" applyBorder="1">
      <alignment vertical="center"/>
    </xf>
    <xf numFmtId="176" fontId="9" fillId="0" borderId="13" xfId="2" applyNumberFormat="1" applyBorder="1">
      <alignment vertical="center"/>
    </xf>
    <xf numFmtId="177" fontId="9" fillId="0" borderId="0" xfId="2" applyNumberFormat="1">
      <alignment vertical="center"/>
    </xf>
  </cellXfs>
  <cellStyles count="5">
    <cellStyle name="一般" xfId="0" builtinId="0"/>
    <cellStyle name="一般 2" xfId="2"/>
    <cellStyle name="一般_XLMiner" xfId="3"/>
    <cellStyle name="一般_問卷調查(樣本聚類)" xfId="1"/>
    <cellStyle name="百分比" xfId="4" builtinId="5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(優化前)'!$AG$1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(優化前)'!$AF$2:$AF$21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(優化前)'!$AG$2:$AG$21</c:f>
              <c:numCache>
                <c:formatCode>0.00</c:formatCode>
                <c:ptCount val="20"/>
                <c:pt idx="0">
                  <c:v>2.9879232217259135</c:v>
                </c:pt>
                <c:pt idx="1">
                  <c:v>3.0383542648548083</c:v>
                </c:pt>
                <c:pt idx="2">
                  <c:v>2.9931168848468337</c:v>
                </c:pt>
                <c:pt idx="3">
                  <c:v>2.9761685285682815</c:v>
                </c:pt>
                <c:pt idx="4">
                  <c:v>3.0134292306472159</c:v>
                </c:pt>
                <c:pt idx="5">
                  <c:v>3.0287162696246992</c:v>
                </c:pt>
                <c:pt idx="6">
                  <c:v>2.9847919379627204</c:v>
                </c:pt>
                <c:pt idx="7">
                  <c:v>3.0092175368667546</c:v>
                </c:pt>
                <c:pt idx="8">
                  <c:v>2.9828433637240486</c:v>
                </c:pt>
                <c:pt idx="9">
                  <c:v>2.9969575814666327</c:v>
                </c:pt>
                <c:pt idx="10">
                  <c:v>2.9544840563849735</c:v>
                </c:pt>
                <c:pt idx="11">
                  <c:v>3.031708597412154</c:v>
                </c:pt>
                <c:pt idx="12">
                  <c:v>2.9952228513958485</c:v>
                </c:pt>
                <c:pt idx="13">
                  <c:v>2.9565340901758344</c:v>
                </c:pt>
                <c:pt idx="14">
                  <c:v>2.9855484053708228</c:v>
                </c:pt>
                <c:pt idx="15">
                  <c:v>3.0470520497755196</c:v>
                </c:pt>
                <c:pt idx="16">
                  <c:v>2.9668280926681727</c:v>
                </c:pt>
                <c:pt idx="17">
                  <c:v>2.9594701041812743</c:v>
                </c:pt>
                <c:pt idx="18">
                  <c:v>3.0050931633291529</c:v>
                </c:pt>
                <c:pt idx="19">
                  <c:v>3.048264134610279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D-465F-8BB4-6B3C3733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(優化前)'!$AH$1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(優化前)'!$AF$2:$AF$21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(優化前)'!$AH$2:$AH$21</c:f>
              <c:numCache>
                <c:formatCode>0.00</c:formatCode>
                <c:ptCount val="20"/>
                <c:pt idx="0">
                  <c:v>2.9836388374429519</c:v>
                </c:pt>
                <c:pt idx="1">
                  <c:v>2.964063205053161</c:v>
                </c:pt>
                <c:pt idx="2">
                  <c:v>3.0346839756235373</c:v>
                </c:pt>
                <c:pt idx="3">
                  <c:v>2.995053643571973</c:v>
                </c:pt>
                <c:pt idx="4">
                  <c:v>3.0006254426540822</c:v>
                </c:pt>
                <c:pt idx="5">
                  <c:v>3.0298428722463422</c:v>
                </c:pt>
                <c:pt idx="6">
                  <c:v>3.0363767909567394</c:v>
                </c:pt>
                <c:pt idx="7">
                  <c:v>3.0390004701880762</c:v>
                </c:pt>
                <c:pt idx="8">
                  <c:v>2.9546502960557546</c:v>
                </c:pt>
                <c:pt idx="9">
                  <c:v>2.990753585083493</c:v>
                </c:pt>
                <c:pt idx="10">
                  <c:v>2.965897556597652</c:v>
                </c:pt>
                <c:pt idx="11">
                  <c:v>2.9945997415331997</c:v>
                </c:pt>
                <c:pt idx="12">
                  <c:v>2.9641644544640049</c:v>
                </c:pt>
                <c:pt idx="13">
                  <c:v>2.995240362190156</c:v>
                </c:pt>
                <c:pt idx="14">
                  <c:v>3.0263610732387236</c:v>
                </c:pt>
                <c:pt idx="15">
                  <c:v>2.9548368256182669</c:v>
                </c:pt>
                <c:pt idx="16">
                  <c:v>3.0399700476604514</c:v>
                </c:pt>
                <c:pt idx="17">
                  <c:v>3.0415580883582272</c:v>
                </c:pt>
                <c:pt idx="18">
                  <c:v>2.9765912820391072</c:v>
                </c:pt>
                <c:pt idx="19">
                  <c:v>3.0287832573419124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C-403C-A1E5-673578CAB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(優化前)'!$AI$1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(優化前)'!$AF$2:$AF$21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(優化前)'!$AI$2:$AI$21</c:f>
              <c:numCache>
                <c:formatCode>0.00</c:formatCode>
                <c:ptCount val="20"/>
                <c:pt idx="0">
                  <c:v>3.0260777087815289</c:v>
                </c:pt>
                <c:pt idx="1">
                  <c:v>3.0274573022760585</c:v>
                </c:pt>
                <c:pt idx="2">
                  <c:v>3.0260210968434582</c:v>
                </c:pt>
                <c:pt idx="3">
                  <c:v>3.0124048555497134</c:v>
                </c:pt>
                <c:pt idx="4">
                  <c:v>2.9642898254095931</c:v>
                </c:pt>
                <c:pt idx="5">
                  <c:v>3.0314917695803953</c:v>
                </c:pt>
                <c:pt idx="6">
                  <c:v>2.982311134249195</c:v>
                </c:pt>
                <c:pt idx="7">
                  <c:v>2.9878327881616848</c:v>
                </c:pt>
                <c:pt idx="8">
                  <c:v>2.9610087200217348</c:v>
                </c:pt>
                <c:pt idx="9">
                  <c:v>2.9793225789568667</c:v>
                </c:pt>
                <c:pt idx="10">
                  <c:v>2.9784372722664574</c:v>
                </c:pt>
                <c:pt idx="11">
                  <c:v>2.9714899732397702</c:v>
                </c:pt>
                <c:pt idx="12">
                  <c:v>3.0037864768440663</c:v>
                </c:pt>
                <c:pt idx="13">
                  <c:v>2.9876115317226772</c:v>
                </c:pt>
                <c:pt idx="14">
                  <c:v>2.9778630873326213</c:v>
                </c:pt>
                <c:pt idx="15">
                  <c:v>2.9868461868055363</c:v>
                </c:pt>
                <c:pt idx="16">
                  <c:v>3.0061186046869728</c:v>
                </c:pt>
                <c:pt idx="17">
                  <c:v>3.0243114262766158</c:v>
                </c:pt>
                <c:pt idx="18">
                  <c:v>3.0271933099910027</c:v>
                </c:pt>
                <c:pt idx="19">
                  <c:v>3.039379873869998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E-4CE3-9E95-9148898B3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(優化前)'!$AJ$1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'data(min) (優化前)'!$AF$2:$AF$21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(優化前)'!$AJ$2:$AJ$21</c:f>
              <c:numCache>
                <c:formatCode>0.00</c:formatCode>
                <c:ptCount val="20"/>
                <c:pt idx="0">
                  <c:v>2.9929590789256943</c:v>
                </c:pt>
                <c:pt idx="1">
                  <c:v>2.9921672749102401</c:v>
                </c:pt>
                <c:pt idx="2">
                  <c:v>2.9852386911414217</c:v>
                </c:pt>
                <c:pt idx="3">
                  <c:v>2.9651427440330647</c:v>
                </c:pt>
                <c:pt idx="4">
                  <c:v>3.0020455945965216</c:v>
                </c:pt>
                <c:pt idx="5">
                  <c:v>3.0067410996818151</c:v>
                </c:pt>
                <c:pt idx="6">
                  <c:v>2.9937506607900537</c:v>
                </c:pt>
                <c:pt idx="7">
                  <c:v>3.0379614889255553</c:v>
                </c:pt>
                <c:pt idx="8">
                  <c:v>2.9523179635978591</c:v>
                </c:pt>
                <c:pt idx="9">
                  <c:v>2.9745027888400566</c:v>
                </c:pt>
                <c:pt idx="10">
                  <c:v>2.9943194308927992</c:v>
                </c:pt>
                <c:pt idx="11">
                  <c:v>2.9896026635769228</c:v>
                </c:pt>
                <c:pt idx="12">
                  <c:v>2.9701795441729537</c:v>
                </c:pt>
                <c:pt idx="13">
                  <c:v>3.0061241393280604</c:v>
                </c:pt>
                <c:pt idx="14">
                  <c:v>2.9821326616321153</c:v>
                </c:pt>
                <c:pt idx="15">
                  <c:v>3.0273358582710013</c:v>
                </c:pt>
                <c:pt idx="16">
                  <c:v>2.995404717640672</c:v>
                </c:pt>
                <c:pt idx="17">
                  <c:v>3.0057052064982495</c:v>
                </c:pt>
                <c:pt idx="18">
                  <c:v>3.015483552344949</c:v>
                </c:pt>
                <c:pt idx="19">
                  <c:v>2.9992019744201057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7-4DD0-A004-C992334BA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(優化前)'!$AK$1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(優化前)'!$AF$2:$AF$21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(優化前)'!$AK$2:$AK$21</c:f>
              <c:numCache>
                <c:formatCode>0.00</c:formatCode>
                <c:ptCount val="20"/>
                <c:pt idx="0">
                  <c:v>3.0360580614583119</c:v>
                </c:pt>
                <c:pt idx="1">
                  <c:v>3.0171422205192098</c:v>
                </c:pt>
                <c:pt idx="2">
                  <c:v>3.0072263423729289</c:v>
                </c:pt>
                <c:pt idx="3">
                  <c:v>2.9927688207728993</c:v>
                </c:pt>
                <c:pt idx="4">
                  <c:v>3.0262108716755369</c:v>
                </c:pt>
                <c:pt idx="5">
                  <c:v>2.9818221084669929</c:v>
                </c:pt>
                <c:pt idx="6">
                  <c:v>3.0420167209407074</c:v>
                </c:pt>
                <c:pt idx="7">
                  <c:v>3.0185519874800231</c:v>
                </c:pt>
                <c:pt idx="8">
                  <c:v>3.0113112096001422</c:v>
                </c:pt>
                <c:pt idx="9">
                  <c:v>3.0448015284366288</c:v>
                </c:pt>
                <c:pt idx="10">
                  <c:v>3.0382086136865762</c:v>
                </c:pt>
                <c:pt idx="11">
                  <c:v>2.9963745825679049</c:v>
                </c:pt>
                <c:pt idx="12">
                  <c:v>3.024137737893287</c:v>
                </c:pt>
                <c:pt idx="13">
                  <c:v>3.0240139630165079</c:v>
                </c:pt>
                <c:pt idx="14">
                  <c:v>3.0245650397382802</c:v>
                </c:pt>
                <c:pt idx="15">
                  <c:v>2.9837978582754232</c:v>
                </c:pt>
                <c:pt idx="16">
                  <c:v>3.044840068379131</c:v>
                </c:pt>
                <c:pt idx="17">
                  <c:v>3.0248324621585234</c:v>
                </c:pt>
                <c:pt idx="18">
                  <c:v>2.9593319792441353</c:v>
                </c:pt>
                <c:pt idx="19">
                  <c:v>3.0214652861068507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9-467C-9C44-2F16CF6F9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(優化前)'!$AL$1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'data(min) (優化前)'!$AF$2:$AF$21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(優化前)'!$AL$2:$AL$21</c:f>
              <c:numCache>
                <c:formatCode>0.00</c:formatCode>
                <c:ptCount val="20"/>
                <c:pt idx="0">
                  <c:v>2.9522389933871014</c:v>
                </c:pt>
                <c:pt idx="1">
                  <c:v>2.9998349926646162</c:v>
                </c:pt>
                <c:pt idx="2">
                  <c:v>3.0218877893118443</c:v>
                </c:pt>
                <c:pt idx="3">
                  <c:v>2.9887084578560157</c:v>
                </c:pt>
                <c:pt idx="4">
                  <c:v>2.9663861001966385</c:v>
                </c:pt>
                <c:pt idx="5">
                  <c:v>2.9702111770279931</c:v>
                </c:pt>
                <c:pt idx="6">
                  <c:v>3.0071417004280563</c:v>
                </c:pt>
                <c:pt idx="7">
                  <c:v>3.0320931029414253</c:v>
                </c:pt>
                <c:pt idx="8">
                  <c:v>3.0364544971596965</c:v>
                </c:pt>
                <c:pt idx="9">
                  <c:v>3.0497400892584721</c:v>
                </c:pt>
                <c:pt idx="10">
                  <c:v>3.0257971347179429</c:v>
                </c:pt>
                <c:pt idx="11">
                  <c:v>3.029688290620328</c:v>
                </c:pt>
                <c:pt idx="12">
                  <c:v>2.9690695671484746</c:v>
                </c:pt>
                <c:pt idx="13">
                  <c:v>2.9705266043424143</c:v>
                </c:pt>
                <c:pt idx="14">
                  <c:v>3.0200857342667677</c:v>
                </c:pt>
                <c:pt idx="15">
                  <c:v>2.9944760330796161</c:v>
                </c:pt>
                <c:pt idx="16">
                  <c:v>2.9723163091617284</c:v>
                </c:pt>
                <c:pt idx="17">
                  <c:v>2.972850699056877</c:v>
                </c:pt>
                <c:pt idx="18">
                  <c:v>2.9556806227797106</c:v>
                </c:pt>
                <c:pt idx="19">
                  <c:v>2.960495289289296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9-41D8-B4DD-2D18EAA16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(優化後)'!$AG$1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(優化後)'!$AF$2:$AF$21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(優化後)'!$AG$2:$AG$21</c:f>
              <c:numCache>
                <c:formatCode>0.0</c:formatCode>
                <c:ptCount val="20"/>
                <c:pt idx="0">
                  <c:v>3.3636329169806283</c:v>
                </c:pt>
                <c:pt idx="1">
                  <c:v>3.2727140710365794</c:v>
                </c:pt>
                <c:pt idx="2">
                  <c:v>3.9090923308035928</c:v>
                </c:pt>
                <c:pt idx="3">
                  <c:v>3.8636365818898333</c:v>
                </c:pt>
                <c:pt idx="4">
                  <c:v>4.2727162286334375</c:v>
                </c:pt>
                <c:pt idx="5">
                  <c:v>3.8636340252392105</c:v>
                </c:pt>
                <c:pt idx="6">
                  <c:v>3.6818111150615871</c:v>
                </c:pt>
                <c:pt idx="7">
                  <c:v>3.1363857346330724</c:v>
                </c:pt>
                <c:pt idx="8">
                  <c:v>3.6818125075265318</c:v>
                </c:pt>
                <c:pt idx="9">
                  <c:v>3.3181750051743215</c:v>
                </c:pt>
                <c:pt idx="10">
                  <c:v>3.0908957185159789</c:v>
                </c:pt>
                <c:pt idx="11">
                  <c:v>2.9999947572829333</c:v>
                </c:pt>
                <c:pt idx="12">
                  <c:v>3.3636321357726531</c:v>
                </c:pt>
                <c:pt idx="13">
                  <c:v>2.8181784290826943</c:v>
                </c:pt>
                <c:pt idx="14">
                  <c:v>3.3181751880382384</c:v>
                </c:pt>
                <c:pt idx="15">
                  <c:v>2.8636282157361816</c:v>
                </c:pt>
                <c:pt idx="16">
                  <c:v>3.2727290425925117</c:v>
                </c:pt>
                <c:pt idx="17">
                  <c:v>3.590892304924326</c:v>
                </c:pt>
                <c:pt idx="18">
                  <c:v>3.590899633312628</c:v>
                </c:pt>
                <c:pt idx="19">
                  <c:v>3.6363717724292002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F-4A9C-B714-ACEFB77A4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(優化後)'!$AH$1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(優化後)'!$AF$2:$AF$21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(優化後)'!$AH$2:$AH$21</c:f>
              <c:numCache>
                <c:formatCode>0.0</c:formatCode>
                <c:ptCount val="20"/>
                <c:pt idx="0">
                  <c:v>2.9076889304078084</c:v>
                </c:pt>
                <c:pt idx="1">
                  <c:v>2.3999932072907004</c:v>
                </c:pt>
                <c:pt idx="2">
                  <c:v>2.6923016916614193</c:v>
                </c:pt>
                <c:pt idx="3">
                  <c:v>2.7384583952146819</c:v>
                </c:pt>
                <c:pt idx="4">
                  <c:v>2.9384561569797976</c:v>
                </c:pt>
                <c:pt idx="5">
                  <c:v>2.7692309721585766</c:v>
                </c:pt>
                <c:pt idx="6">
                  <c:v>2.8153798442748488</c:v>
                </c:pt>
                <c:pt idx="7">
                  <c:v>2.0615394404558192</c:v>
                </c:pt>
                <c:pt idx="8">
                  <c:v>1.8769129602361982</c:v>
                </c:pt>
                <c:pt idx="9">
                  <c:v>2.1846112363282058</c:v>
                </c:pt>
                <c:pt idx="10">
                  <c:v>1.9692288089671617</c:v>
                </c:pt>
                <c:pt idx="11">
                  <c:v>2.6615368427795891</c:v>
                </c:pt>
                <c:pt idx="12">
                  <c:v>2.4923096397916842</c:v>
                </c:pt>
                <c:pt idx="13">
                  <c:v>2.7846161861086647</c:v>
                </c:pt>
                <c:pt idx="14">
                  <c:v>2.8923076920431248</c:v>
                </c:pt>
                <c:pt idx="15">
                  <c:v>2.7076804980800495</c:v>
                </c:pt>
                <c:pt idx="16">
                  <c:v>2.4153817574963785</c:v>
                </c:pt>
                <c:pt idx="17">
                  <c:v>2.5846049062031859</c:v>
                </c:pt>
                <c:pt idx="18">
                  <c:v>2.153842939037856</c:v>
                </c:pt>
                <c:pt idx="19">
                  <c:v>3.8615268341496245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F-4DF9-A58B-415C306C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(優化後)'!$AI$1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(優化後)'!$AF$2:$AF$21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(優化後)'!$AI$2:$AI$21</c:f>
              <c:numCache>
                <c:formatCode>0.0</c:formatCode>
                <c:ptCount val="20"/>
                <c:pt idx="0">
                  <c:v>2.4166710018700828</c:v>
                </c:pt>
                <c:pt idx="1">
                  <c:v>2.5833317963253202</c:v>
                </c:pt>
                <c:pt idx="2">
                  <c:v>2.2916634610471682</c:v>
                </c:pt>
                <c:pt idx="3">
                  <c:v>2.7708357285492462</c:v>
                </c:pt>
                <c:pt idx="4">
                  <c:v>3.1875040268019528</c:v>
                </c:pt>
                <c:pt idx="5">
                  <c:v>2.5416623098856919</c:v>
                </c:pt>
                <c:pt idx="6">
                  <c:v>2.8541708246252435</c:v>
                </c:pt>
                <c:pt idx="7">
                  <c:v>3.2499929709019075</c:v>
                </c:pt>
                <c:pt idx="8">
                  <c:v>2.9583323366933132</c:v>
                </c:pt>
                <c:pt idx="9">
                  <c:v>3.3333300366390541</c:v>
                </c:pt>
                <c:pt idx="10">
                  <c:v>2.6249989686571844</c:v>
                </c:pt>
                <c:pt idx="11">
                  <c:v>2.3333337114492734</c:v>
                </c:pt>
                <c:pt idx="12">
                  <c:v>2.666664352158532</c:v>
                </c:pt>
                <c:pt idx="13">
                  <c:v>3.0416636271154234</c:v>
                </c:pt>
                <c:pt idx="14">
                  <c:v>3.8124932567561993</c:v>
                </c:pt>
                <c:pt idx="15">
                  <c:v>2.6666614981142165</c:v>
                </c:pt>
                <c:pt idx="16">
                  <c:v>2.9999867370545119</c:v>
                </c:pt>
                <c:pt idx="17">
                  <c:v>3.2916611209827913</c:v>
                </c:pt>
                <c:pt idx="18">
                  <c:v>3.562498955478858</c:v>
                </c:pt>
                <c:pt idx="19">
                  <c:v>3.2708346227658165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D-47AC-BD7A-11B1F3589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(優化後)'!$AJ$1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'data(min) (優化後)'!$AF$2:$AF$21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(優化後)'!$AJ$2:$AJ$21</c:f>
              <c:numCache>
                <c:formatCode>0.0</c:formatCode>
                <c:ptCount val="20"/>
                <c:pt idx="0">
                  <c:v>2.0444191415325861</c:v>
                </c:pt>
                <c:pt idx="1">
                  <c:v>1.5332683037718229</c:v>
                </c:pt>
                <c:pt idx="2">
                  <c:v>1.7555920466077115</c:v>
                </c:pt>
                <c:pt idx="3">
                  <c:v>1.777810092842868</c:v>
                </c:pt>
                <c:pt idx="4">
                  <c:v>1.8888903849466134</c:v>
                </c:pt>
                <c:pt idx="5">
                  <c:v>2.6888861868559966</c:v>
                </c:pt>
                <c:pt idx="6">
                  <c:v>2.9111179137085386</c:v>
                </c:pt>
                <c:pt idx="7">
                  <c:v>1.9555531829384598</c:v>
                </c:pt>
                <c:pt idx="8">
                  <c:v>1.8888880708252005</c:v>
                </c:pt>
                <c:pt idx="9">
                  <c:v>2.1555449283346362</c:v>
                </c:pt>
                <c:pt idx="10">
                  <c:v>1.6888684553274695</c:v>
                </c:pt>
                <c:pt idx="11">
                  <c:v>2.8222239070144819</c:v>
                </c:pt>
                <c:pt idx="12">
                  <c:v>2.9555495025524356</c:v>
                </c:pt>
                <c:pt idx="13">
                  <c:v>3.222219898012991</c:v>
                </c:pt>
                <c:pt idx="14">
                  <c:v>3.4222293968511019</c:v>
                </c:pt>
                <c:pt idx="15">
                  <c:v>1.6888822131335808</c:v>
                </c:pt>
                <c:pt idx="16">
                  <c:v>2.6888866724790592</c:v>
                </c:pt>
                <c:pt idx="17">
                  <c:v>2.7333293192923191</c:v>
                </c:pt>
                <c:pt idx="18">
                  <c:v>3.4000057519265572</c:v>
                </c:pt>
                <c:pt idx="19">
                  <c:v>3.6666493040487476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2-4FA3-842B-BF648F861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(優化後)'!$AK$1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(優化後)'!$AF$2:$AF$21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(優化後)'!$AK$2:$AK$21</c:f>
              <c:numCache>
                <c:formatCode>0.0</c:formatCode>
                <c:ptCount val="20"/>
                <c:pt idx="0">
                  <c:v>2.8571564512725813</c:v>
                </c:pt>
                <c:pt idx="1">
                  <c:v>2.5142828115520208</c:v>
                </c:pt>
                <c:pt idx="2">
                  <c:v>2.0142987641324148</c:v>
                </c:pt>
                <c:pt idx="3">
                  <c:v>3.3142961746866888</c:v>
                </c:pt>
                <c:pt idx="4">
                  <c:v>3.5142933930910796</c:v>
                </c:pt>
                <c:pt idx="5">
                  <c:v>3.5857100971675449</c:v>
                </c:pt>
                <c:pt idx="6">
                  <c:v>3.028561823255687</c:v>
                </c:pt>
                <c:pt idx="7">
                  <c:v>1.9999993700781311</c:v>
                </c:pt>
                <c:pt idx="8">
                  <c:v>1.5428688157009565</c:v>
                </c:pt>
                <c:pt idx="9">
                  <c:v>3.1285684905742754</c:v>
                </c:pt>
                <c:pt idx="10">
                  <c:v>1.7571418395929383</c:v>
                </c:pt>
                <c:pt idx="11">
                  <c:v>1.6428606412036482</c:v>
                </c:pt>
                <c:pt idx="12">
                  <c:v>2.1571449429814527</c:v>
                </c:pt>
                <c:pt idx="13">
                  <c:v>4.3856890318884849</c:v>
                </c:pt>
                <c:pt idx="14">
                  <c:v>3.7142774367309443</c:v>
                </c:pt>
                <c:pt idx="15">
                  <c:v>2.4571388944392143</c:v>
                </c:pt>
                <c:pt idx="16">
                  <c:v>1.7714334121202191</c:v>
                </c:pt>
                <c:pt idx="17">
                  <c:v>3.4285648687680901</c:v>
                </c:pt>
                <c:pt idx="18">
                  <c:v>2.6142784608402181</c:v>
                </c:pt>
                <c:pt idx="19">
                  <c:v>3.6857132371453525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B-4B6B-A8D7-418497C99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(優化後)'!$AL$1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'data(min) (優化後)'!$AF$2:$AF$21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(優化後)'!$AL$2:$AL$21</c:f>
              <c:numCache>
                <c:formatCode>0.0</c:formatCode>
                <c:ptCount val="20"/>
                <c:pt idx="0">
                  <c:v>3.2444441277184577</c:v>
                </c:pt>
                <c:pt idx="1">
                  <c:v>2.0666693812223924</c:v>
                </c:pt>
                <c:pt idx="2">
                  <c:v>1.4444322761962514</c:v>
                </c:pt>
                <c:pt idx="3">
                  <c:v>2.6888840471716153</c:v>
                </c:pt>
                <c:pt idx="4">
                  <c:v>2.7111086767844785</c:v>
                </c:pt>
                <c:pt idx="5">
                  <c:v>3.155541228311078</c:v>
                </c:pt>
                <c:pt idx="6">
                  <c:v>2.7666643563692173</c:v>
                </c:pt>
                <c:pt idx="7">
                  <c:v>1.9444407606273095</c:v>
                </c:pt>
                <c:pt idx="8">
                  <c:v>1.7666660841752371</c:v>
                </c:pt>
                <c:pt idx="9">
                  <c:v>2.9999974465902337</c:v>
                </c:pt>
                <c:pt idx="10">
                  <c:v>1.8444448826746711</c:v>
                </c:pt>
                <c:pt idx="11">
                  <c:v>2.0888915033819662</c:v>
                </c:pt>
                <c:pt idx="12">
                  <c:v>2.7444407291378639</c:v>
                </c:pt>
                <c:pt idx="13">
                  <c:v>3.7333493589716116</c:v>
                </c:pt>
                <c:pt idx="14">
                  <c:v>4.0444501070682168</c:v>
                </c:pt>
                <c:pt idx="15">
                  <c:v>2.3444421423364621</c:v>
                </c:pt>
                <c:pt idx="16">
                  <c:v>2.5666646092462191</c:v>
                </c:pt>
                <c:pt idx="17">
                  <c:v>1.9444428846533801</c:v>
                </c:pt>
                <c:pt idx="18">
                  <c:v>2.8555613150858847</c:v>
                </c:pt>
                <c:pt idx="19">
                  <c:v>1.7999942500432633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4-4952-BBB6-71BF198B9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126879"/>
        <c:axId val="1005130623"/>
      </c:radarChart>
      <c:catAx>
        <c:axId val="1005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30623"/>
        <c:crosses val="autoZero"/>
        <c:auto val="1"/>
        <c:lblAlgn val="ctr"/>
        <c:lblOffset val="100"/>
        <c:noMultiLvlLbl val="0"/>
      </c:catAx>
      <c:valAx>
        <c:axId val="10051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512687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1059180</xdr:colOff>
      <xdr:row>47</xdr:row>
      <xdr:rowOff>38100</xdr:rowOff>
    </xdr:from>
    <xdr:to>
      <xdr:col>38</xdr:col>
      <xdr:colOff>2819400</xdr:colOff>
      <xdr:row>69</xdr:row>
      <xdr:rowOff>140970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47</xdr:row>
      <xdr:rowOff>0</xdr:rowOff>
    </xdr:from>
    <xdr:to>
      <xdr:col>46</xdr:col>
      <xdr:colOff>304800</xdr:colOff>
      <xdr:row>69</xdr:row>
      <xdr:rowOff>102870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594360</xdr:colOff>
      <xdr:row>47</xdr:row>
      <xdr:rowOff>0</xdr:rowOff>
    </xdr:from>
    <xdr:to>
      <xdr:col>54</xdr:col>
      <xdr:colOff>289560</xdr:colOff>
      <xdr:row>69</xdr:row>
      <xdr:rowOff>102870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1066800</xdr:colOff>
      <xdr:row>69</xdr:row>
      <xdr:rowOff>175260</xdr:rowOff>
    </xdr:from>
    <xdr:to>
      <xdr:col>38</xdr:col>
      <xdr:colOff>2827020</xdr:colOff>
      <xdr:row>92</xdr:row>
      <xdr:rowOff>72390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70</xdr:row>
      <xdr:rowOff>0</xdr:rowOff>
    </xdr:from>
    <xdr:to>
      <xdr:col>46</xdr:col>
      <xdr:colOff>297180</xdr:colOff>
      <xdr:row>92</xdr:row>
      <xdr:rowOff>102870</xdr:rowOff>
    </xdr:to>
    <xdr:graphicFrame macro="">
      <xdr:nvGraphicFramePr>
        <xdr:cNvPr id="6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601980</xdr:colOff>
      <xdr:row>70</xdr:row>
      <xdr:rowOff>22860</xdr:rowOff>
    </xdr:from>
    <xdr:to>
      <xdr:col>54</xdr:col>
      <xdr:colOff>297180</xdr:colOff>
      <xdr:row>92</xdr:row>
      <xdr:rowOff>125730</xdr:rowOff>
    </xdr:to>
    <xdr:graphicFrame macro="">
      <xdr:nvGraphicFramePr>
        <xdr:cNvPr id="7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457200</xdr:colOff>
      <xdr:row>22</xdr:row>
      <xdr:rowOff>68580</xdr:rowOff>
    </xdr:from>
    <xdr:to>
      <xdr:col>37</xdr:col>
      <xdr:colOff>220980</xdr:colOff>
      <xdr:row>32</xdr:row>
      <xdr:rowOff>76200</xdr:rowOff>
    </xdr:to>
    <xdr:sp macro="" textlink="">
      <xdr:nvSpPr>
        <xdr:cNvPr id="8" name="向上箭號圖說文字 7"/>
        <xdr:cNvSpPr/>
      </xdr:nvSpPr>
      <xdr:spPr>
        <a:xfrm>
          <a:off x="20886420" y="4297680"/>
          <a:ext cx="2773680" cy="2065020"/>
        </a:xfrm>
        <a:prstGeom prst="upArrow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藍色代表數字小於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為強烈贊成</a:t>
          </a:r>
          <a:endParaRPr lang="zh-TW" altLang="zh-TW" sz="14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綠色代表數字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2~2.5,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為贊成</a:t>
          </a:r>
          <a:endParaRPr lang="zh-TW" altLang="zh-TW" sz="14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紅色代表數字大於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3.5,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為反對</a:t>
          </a:r>
          <a:endParaRPr lang="zh-TW" altLang="zh-TW" sz="1400">
            <a:solidFill>
              <a:schemeClr val="tx1"/>
            </a:solidFill>
            <a:effectLst/>
          </a:endParaRPr>
        </a:p>
        <a:p>
          <a:pPr marL="0" indent="0" algn="l"/>
          <a:endParaRPr lang="zh-TW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1059180</xdr:colOff>
      <xdr:row>47</xdr:row>
      <xdr:rowOff>38100</xdr:rowOff>
    </xdr:from>
    <xdr:to>
      <xdr:col>38</xdr:col>
      <xdr:colOff>2819400</xdr:colOff>
      <xdr:row>69</xdr:row>
      <xdr:rowOff>140970</xdr:rowOff>
    </xdr:to>
    <xdr:graphicFrame macro="">
      <xdr:nvGraphicFramePr>
        <xdr:cNvPr id="8" name="圖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47</xdr:row>
      <xdr:rowOff>0</xdr:rowOff>
    </xdr:from>
    <xdr:to>
      <xdr:col>46</xdr:col>
      <xdr:colOff>304800</xdr:colOff>
      <xdr:row>69</xdr:row>
      <xdr:rowOff>102870</xdr:rowOff>
    </xdr:to>
    <xdr:graphicFrame macro="">
      <xdr:nvGraphicFramePr>
        <xdr:cNvPr id="10" name="圖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594360</xdr:colOff>
      <xdr:row>47</xdr:row>
      <xdr:rowOff>0</xdr:rowOff>
    </xdr:from>
    <xdr:to>
      <xdr:col>54</xdr:col>
      <xdr:colOff>289560</xdr:colOff>
      <xdr:row>69</xdr:row>
      <xdr:rowOff>102870</xdr:rowOff>
    </xdr:to>
    <xdr:graphicFrame macro="">
      <xdr:nvGraphicFramePr>
        <xdr:cNvPr id="11" name="圖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1066800</xdr:colOff>
      <xdr:row>69</xdr:row>
      <xdr:rowOff>175260</xdr:rowOff>
    </xdr:from>
    <xdr:to>
      <xdr:col>38</xdr:col>
      <xdr:colOff>2827020</xdr:colOff>
      <xdr:row>92</xdr:row>
      <xdr:rowOff>72390</xdr:rowOff>
    </xdr:to>
    <xdr:graphicFrame macro="">
      <xdr:nvGraphicFramePr>
        <xdr:cNvPr id="12" name="圖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70</xdr:row>
      <xdr:rowOff>0</xdr:rowOff>
    </xdr:from>
    <xdr:to>
      <xdr:col>46</xdr:col>
      <xdr:colOff>297180</xdr:colOff>
      <xdr:row>92</xdr:row>
      <xdr:rowOff>102870</xdr:rowOff>
    </xdr:to>
    <xdr:graphicFrame macro="">
      <xdr:nvGraphicFramePr>
        <xdr:cNvPr id="13" name="圖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601980</xdr:colOff>
      <xdr:row>70</xdr:row>
      <xdr:rowOff>22860</xdr:rowOff>
    </xdr:from>
    <xdr:to>
      <xdr:col>54</xdr:col>
      <xdr:colOff>297180</xdr:colOff>
      <xdr:row>92</xdr:row>
      <xdr:rowOff>125730</xdr:rowOff>
    </xdr:to>
    <xdr:graphicFrame macro="">
      <xdr:nvGraphicFramePr>
        <xdr:cNvPr id="14" name="圖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457200</xdr:colOff>
      <xdr:row>22</xdr:row>
      <xdr:rowOff>68580</xdr:rowOff>
    </xdr:from>
    <xdr:to>
      <xdr:col>37</xdr:col>
      <xdr:colOff>220980</xdr:colOff>
      <xdr:row>32</xdr:row>
      <xdr:rowOff>76200</xdr:rowOff>
    </xdr:to>
    <xdr:sp macro="" textlink="">
      <xdr:nvSpPr>
        <xdr:cNvPr id="3" name="向上箭號圖說文字 2"/>
        <xdr:cNvSpPr/>
      </xdr:nvSpPr>
      <xdr:spPr>
        <a:xfrm>
          <a:off x="20886420" y="4297680"/>
          <a:ext cx="2773680" cy="2065020"/>
        </a:xfrm>
        <a:prstGeom prst="upArrow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藍色代表數字小於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為強烈贊成</a:t>
          </a:r>
          <a:endParaRPr lang="zh-TW" altLang="zh-TW" sz="14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綠色代表數字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2~2.5,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為贊成</a:t>
          </a:r>
          <a:endParaRPr lang="zh-TW" altLang="zh-TW" sz="14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紅色代表數字大於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3.5,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為反對</a:t>
          </a:r>
          <a:endParaRPr lang="zh-TW" altLang="zh-TW" sz="1400">
            <a:solidFill>
              <a:schemeClr val="tx1"/>
            </a:solidFill>
            <a:effectLst/>
          </a:endParaRPr>
        </a:p>
        <a:p>
          <a:pPr marL="0" indent="0" algn="l"/>
          <a:endParaRPr lang="zh-TW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5</xdr:row>
      <xdr:rowOff>91440</xdr:rowOff>
    </xdr:from>
    <xdr:to>
      <xdr:col>14</xdr:col>
      <xdr:colOff>289560</xdr:colOff>
      <xdr:row>21</xdr:row>
      <xdr:rowOff>121920</xdr:rowOff>
    </xdr:to>
    <xdr:sp macro="" textlink="">
      <xdr:nvSpPr>
        <xdr:cNvPr id="2" name="文字方塊 1"/>
        <xdr:cNvSpPr txBox="1"/>
      </xdr:nvSpPr>
      <xdr:spPr>
        <a:xfrm>
          <a:off x="2423160" y="1120140"/>
          <a:ext cx="6400800" cy="33223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zh-TW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本題的所有變數的尺度均為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1~5</a:t>
          </a:r>
          <a:r>
            <a:rPr lang="zh-TW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，平均值為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zh-TW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左右，不需要做標準正規劃，因此優化前採用 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=3+(rand()-0.5)*0.1, </a:t>
          </a:r>
          <a:r>
            <a:rPr lang="zh-TW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此函數會產生 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(2.95~3.05)</a:t>
          </a:r>
          <a:r>
            <a:rPr lang="zh-TW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之間的均佈亂數。</a:t>
          </a:r>
        </a:p>
        <a:p>
          <a:pPr>
            <a:lnSpc>
              <a:spcPct val="150000"/>
            </a:lnSpc>
          </a:pPr>
          <a:r>
            <a:rPr lang="en-US" altLang="zh-TW" sz="1400"/>
            <a:t>(2) </a:t>
          </a:r>
          <a:r>
            <a:rPr lang="zh-TW" altLang="en-US" sz="1400"/>
            <a:t>本試算表採用六個聚類，以</a:t>
          </a:r>
          <a:r>
            <a:rPr lang="en-US" altLang="zh-TW" sz="1400"/>
            <a:t>min</a:t>
          </a:r>
          <a:r>
            <a:rPr lang="zh-TW" altLang="en-US" sz="1400"/>
            <a:t>函數來估計樣本距離各聚類中心的最小距離，雖然</a:t>
          </a:r>
          <a:r>
            <a:rPr lang="en-US" altLang="zh-TW" sz="1400"/>
            <a:t>min</a:t>
          </a:r>
          <a:r>
            <a:rPr lang="zh-TW" altLang="en-US" sz="1400"/>
            <a:t>函數是非連續函數，但對大型問題而言</a:t>
          </a:r>
          <a:r>
            <a:rPr lang="en-US" altLang="zh-TW" sz="1400"/>
            <a:t>(</a:t>
          </a:r>
          <a:r>
            <a:rPr lang="zh-TW" alt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自變數多、樣本多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zh-TW" alt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的例題而言，仍適合用傳統的非線性規劃方法，例如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Excel</a:t>
          </a:r>
          <a:r>
            <a:rPr lang="zh-TW" alt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畫求解的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GRG</a:t>
          </a:r>
          <a:r>
            <a:rPr lang="zh-TW" alt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求解。</a:t>
          </a:r>
          <a:endParaRPr lang="en-US" altLang="zh-TW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lnSpc>
              <a:spcPct val="150000"/>
            </a:lnSpc>
          </a:pP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(3) </a:t>
          </a:r>
          <a:r>
            <a:rPr lang="zh-TW" alt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本題目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Run</a:t>
          </a:r>
          <a:r>
            <a:rPr lang="zh-TW" alt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優所需時間可能超過</a:t>
          </a:r>
          <a:r>
            <a:rPr lang="en-US" altLang="zh-TW" sz="1400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  <a:r>
            <a:rPr lang="zh-TW" alt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分鐘。</a:t>
          </a:r>
          <a:endParaRPr lang="en-US" altLang="zh-TW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21"/>
  <sheetViews>
    <sheetView workbookViewId="0">
      <selection activeCell="G18" sqref="G18"/>
    </sheetView>
  </sheetViews>
  <sheetFormatPr defaultColWidth="9" defaultRowHeight="16.2"/>
  <cols>
    <col min="1" max="1" width="48.21875" style="1" customWidth="1"/>
    <col min="2" max="2" width="39.21875" style="1" customWidth="1"/>
    <col min="3" max="16384" width="9" style="1"/>
  </cols>
  <sheetData>
    <row r="1" spans="1:2" ht="33" thickBot="1">
      <c r="B1" s="5" t="s">
        <v>25</v>
      </c>
    </row>
    <row r="2" spans="1:2" ht="16.8" thickBot="1">
      <c r="A2" s="4" t="s">
        <v>24</v>
      </c>
      <c r="B2" s="2" t="s">
        <v>4</v>
      </c>
    </row>
    <row r="3" spans="1:2" ht="16.8" thickBot="1">
      <c r="A3" s="3" t="s">
        <v>23</v>
      </c>
      <c r="B3" s="2" t="s">
        <v>4</v>
      </c>
    </row>
    <row r="4" spans="1:2" ht="16.8" thickBot="1">
      <c r="A4" s="3" t="s">
        <v>22</v>
      </c>
      <c r="B4" s="2" t="s">
        <v>4</v>
      </c>
    </row>
    <row r="5" spans="1:2" ht="16.8" thickBot="1">
      <c r="A5" s="3" t="s">
        <v>21</v>
      </c>
      <c r="B5" s="2" t="s">
        <v>4</v>
      </c>
    </row>
    <row r="6" spans="1:2" ht="16.8" thickBot="1">
      <c r="A6" s="3" t="s">
        <v>20</v>
      </c>
      <c r="B6" s="2" t="s">
        <v>4</v>
      </c>
    </row>
    <row r="7" spans="1:2" ht="16.8" thickBot="1">
      <c r="A7" s="3" t="s">
        <v>19</v>
      </c>
      <c r="B7" s="2" t="s">
        <v>4</v>
      </c>
    </row>
    <row r="8" spans="1:2" ht="16.8" thickBot="1">
      <c r="A8" s="3" t="s">
        <v>18</v>
      </c>
      <c r="B8" s="2" t="s">
        <v>4</v>
      </c>
    </row>
    <row r="9" spans="1:2" ht="16.8" thickBot="1">
      <c r="A9" s="3" t="s">
        <v>17</v>
      </c>
      <c r="B9" s="2" t="s">
        <v>4</v>
      </c>
    </row>
    <row r="10" spans="1:2" ht="16.8" thickBot="1">
      <c r="A10" s="3" t="s">
        <v>16</v>
      </c>
      <c r="B10" s="2" t="s">
        <v>4</v>
      </c>
    </row>
    <row r="11" spans="1:2" ht="16.8" thickBot="1">
      <c r="A11" s="3" t="s">
        <v>15</v>
      </c>
      <c r="B11" s="2" t="s">
        <v>4</v>
      </c>
    </row>
    <row r="12" spans="1:2" ht="16.8" thickBot="1">
      <c r="A12" s="3" t="s">
        <v>14</v>
      </c>
      <c r="B12" s="2" t="s">
        <v>4</v>
      </c>
    </row>
    <row r="13" spans="1:2" ht="16.8" thickBot="1">
      <c r="A13" s="3" t="s">
        <v>13</v>
      </c>
      <c r="B13" s="2" t="s">
        <v>4</v>
      </c>
    </row>
    <row r="14" spans="1:2" ht="16.8" thickBot="1">
      <c r="A14" s="3" t="s">
        <v>12</v>
      </c>
      <c r="B14" s="2" t="s">
        <v>4</v>
      </c>
    </row>
    <row r="15" spans="1:2" ht="16.8" thickBot="1">
      <c r="A15" s="3" t="s">
        <v>11</v>
      </c>
      <c r="B15" s="2" t="s">
        <v>4</v>
      </c>
    </row>
    <row r="16" spans="1:2" ht="16.8" thickBot="1">
      <c r="A16" s="3" t="s">
        <v>10</v>
      </c>
      <c r="B16" s="2" t="s">
        <v>4</v>
      </c>
    </row>
    <row r="17" spans="1:2" ht="16.8" thickBot="1">
      <c r="A17" s="3" t="s">
        <v>9</v>
      </c>
      <c r="B17" s="2" t="s">
        <v>4</v>
      </c>
    </row>
    <row r="18" spans="1:2" ht="16.8" thickBot="1">
      <c r="A18" s="3" t="s">
        <v>8</v>
      </c>
      <c r="B18" s="2" t="s">
        <v>4</v>
      </c>
    </row>
    <row r="19" spans="1:2" ht="16.8" thickBot="1">
      <c r="A19" s="3" t="s">
        <v>7</v>
      </c>
      <c r="B19" s="2" t="s">
        <v>4</v>
      </c>
    </row>
    <row r="20" spans="1:2" ht="16.8" thickBot="1">
      <c r="A20" s="3" t="s">
        <v>6</v>
      </c>
      <c r="B20" s="2" t="s">
        <v>4</v>
      </c>
    </row>
    <row r="21" spans="1:2" ht="16.8" thickBot="1">
      <c r="A21" s="3" t="s">
        <v>5</v>
      </c>
      <c r="B21" s="2" t="s">
        <v>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1"/>
  <sheetViews>
    <sheetView zoomScaleNormal="100" workbookViewId="0">
      <selection activeCell="I7" sqref="I7"/>
    </sheetView>
  </sheetViews>
  <sheetFormatPr defaultRowHeight="16.2"/>
  <cols>
    <col min="1" max="21" width="3.77734375" style="6" customWidth="1"/>
    <col min="22" max="28" width="8.88671875" style="6"/>
    <col min="29" max="29" width="10.33203125" style="6" bestFit="1" customWidth="1"/>
    <col min="30" max="31" width="8.88671875" style="6"/>
    <col min="32" max="32" width="20.88671875" style="6" customWidth="1"/>
    <col min="33" max="38" width="8.77734375" style="6" customWidth="1"/>
    <col min="39" max="39" width="46.5546875" style="6" customWidth="1"/>
    <col min="40" max="16384" width="8.88671875" style="6"/>
  </cols>
  <sheetData>
    <row r="1" spans="1:39" ht="16.8" thickBot="1">
      <c r="A1" s="16" t="s">
        <v>72</v>
      </c>
      <c r="B1" s="16" t="s">
        <v>45</v>
      </c>
      <c r="C1" s="16" t="s">
        <v>44</v>
      </c>
      <c r="D1" s="16" t="s">
        <v>43</v>
      </c>
      <c r="E1" s="16" t="s">
        <v>42</v>
      </c>
      <c r="F1" s="16" t="s">
        <v>41</v>
      </c>
      <c r="G1" s="16" t="s">
        <v>40</v>
      </c>
      <c r="H1" s="16" t="s">
        <v>39</v>
      </c>
      <c r="I1" s="16" t="s">
        <v>38</v>
      </c>
      <c r="J1" s="16" t="s">
        <v>37</v>
      </c>
      <c r="K1" s="16" t="s">
        <v>36</v>
      </c>
      <c r="L1" s="16" t="s">
        <v>35</v>
      </c>
      <c r="M1" s="16" t="s">
        <v>34</v>
      </c>
      <c r="N1" s="16" t="s">
        <v>33</v>
      </c>
      <c r="O1" s="16" t="s">
        <v>32</v>
      </c>
      <c r="P1" s="16" t="s">
        <v>31</v>
      </c>
      <c r="Q1" s="16" t="s">
        <v>30</v>
      </c>
      <c r="R1" s="16" t="s">
        <v>29</v>
      </c>
      <c r="S1" s="16" t="s">
        <v>28</v>
      </c>
      <c r="T1" s="16" t="s">
        <v>27</v>
      </c>
      <c r="U1" s="16" t="s">
        <v>26</v>
      </c>
      <c r="V1" s="6" t="s">
        <v>0</v>
      </c>
      <c r="W1" s="6" t="s">
        <v>1</v>
      </c>
      <c r="X1" s="6" t="s">
        <v>2</v>
      </c>
      <c r="Y1" s="6" t="s">
        <v>46</v>
      </c>
      <c r="Z1" s="6" t="s">
        <v>47</v>
      </c>
      <c r="AA1" s="6" t="s">
        <v>48</v>
      </c>
      <c r="AB1" s="6" t="s">
        <v>3</v>
      </c>
      <c r="AC1" s="6" t="s">
        <v>70</v>
      </c>
      <c r="AD1" s="6" t="s">
        <v>69</v>
      </c>
      <c r="AF1" s="17"/>
      <c r="AG1" s="17" t="s">
        <v>0</v>
      </c>
      <c r="AH1" s="17" t="s">
        <v>1</v>
      </c>
      <c r="AI1" s="17" t="s">
        <v>2</v>
      </c>
      <c r="AJ1" s="17" t="s">
        <v>46</v>
      </c>
      <c r="AK1" s="17" t="s">
        <v>47</v>
      </c>
      <c r="AL1" s="17" t="s">
        <v>48</v>
      </c>
    </row>
    <row r="2" spans="1:39" ht="15" customHeight="1" thickBot="1">
      <c r="A2" s="14">
        <v>1</v>
      </c>
      <c r="B2" s="15">
        <v>1</v>
      </c>
      <c r="C2" s="14">
        <v>1</v>
      </c>
      <c r="D2" s="14">
        <v>1</v>
      </c>
      <c r="E2" s="14">
        <v>1</v>
      </c>
      <c r="F2" s="14">
        <v>1</v>
      </c>
      <c r="G2" s="14">
        <v>3</v>
      </c>
      <c r="H2" s="14">
        <v>3</v>
      </c>
      <c r="I2" s="14">
        <v>3</v>
      </c>
      <c r="J2" s="14">
        <v>5</v>
      </c>
      <c r="K2" s="14">
        <v>1</v>
      </c>
      <c r="L2" s="14">
        <v>1</v>
      </c>
      <c r="M2" s="14">
        <v>3</v>
      </c>
      <c r="N2" s="14">
        <v>1</v>
      </c>
      <c r="O2" s="14">
        <v>1</v>
      </c>
      <c r="P2" s="14">
        <v>3</v>
      </c>
      <c r="Q2" s="14">
        <v>1</v>
      </c>
      <c r="R2" s="14">
        <v>1</v>
      </c>
      <c r="S2" s="14">
        <v>5</v>
      </c>
      <c r="T2" s="14">
        <v>5</v>
      </c>
      <c r="U2" s="13">
        <v>1</v>
      </c>
      <c r="V2" s="6">
        <f t="shared" ref="V2:AA17" ca="1" si="0">SUMXMY2($B2:$U2,AG$2:AG$21)</f>
        <v>60.124080862654317</v>
      </c>
      <c r="W2" s="6">
        <f t="shared" ca="1" si="0"/>
        <v>59.798244802320461</v>
      </c>
      <c r="X2" s="6">
        <f t="shared" ca="1" si="0"/>
        <v>60.112927503406929</v>
      </c>
      <c r="Y2" s="6">
        <f t="shared" ca="1" si="0"/>
        <v>59.73288542205264</v>
      </c>
      <c r="Z2" s="6">
        <f t="shared" ca="1" si="0"/>
        <v>61.075983805409578</v>
      </c>
      <c r="AA2" s="6">
        <f t="shared" ca="1" si="0"/>
        <v>59.64458963817944</v>
      </c>
      <c r="AB2" s="6">
        <f ca="1">MIN(V2:AA2)</f>
        <v>59.64458963817944</v>
      </c>
      <c r="AC2" s="6">
        <f ca="1">IF(AB2=V2,1,IF(AB2=W2,2,IF(AB2=X2,3,IF(AB2=Y2,4,IF(AB2=Z2,5,6)))))</f>
        <v>6</v>
      </c>
      <c r="AD2" s="6">
        <f ca="1">SUM(AB2:AB341)</f>
        <v>9890.3853015002987</v>
      </c>
      <c r="AF2" s="17" t="s">
        <v>49</v>
      </c>
      <c r="AG2" s="19">
        <f ca="1">3+(RAND()-0.5)*0.1</f>
        <v>2.9879232217259135</v>
      </c>
      <c r="AH2" s="19">
        <f t="shared" ref="AH2:AK2" ca="1" si="1">3+(RAND()-0.5)*0.1</f>
        <v>2.9836388374429519</v>
      </c>
      <c r="AI2" s="19">
        <f t="shared" ca="1" si="1"/>
        <v>3.0260777087815289</v>
      </c>
      <c r="AJ2" s="19">
        <f t="shared" ca="1" si="1"/>
        <v>2.9929590789256943</v>
      </c>
      <c r="AK2" s="19">
        <f t="shared" ca="1" si="1"/>
        <v>3.0360580614583119</v>
      </c>
      <c r="AL2" s="19">
        <f ca="1">3+(RAND()-0.5)*0.1</f>
        <v>2.9522389933871014</v>
      </c>
      <c r="AM2" s="4" t="s">
        <v>24</v>
      </c>
    </row>
    <row r="3" spans="1:39" ht="15" customHeight="1" thickBot="1">
      <c r="A3" s="11">
        <v>2</v>
      </c>
      <c r="B3" s="12">
        <v>2</v>
      </c>
      <c r="C3" s="11">
        <v>4</v>
      </c>
      <c r="D3" s="11">
        <v>4</v>
      </c>
      <c r="E3" s="11">
        <v>4</v>
      </c>
      <c r="F3" s="11">
        <v>2</v>
      </c>
      <c r="G3" s="11">
        <v>2</v>
      </c>
      <c r="H3" s="11">
        <v>3</v>
      </c>
      <c r="I3" s="11">
        <v>2</v>
      </c>
      <c r="J3" s="11">
        <v>2</v>
      </c>
      <c r="K3" s="11">
        <v>2</v>
      </c>
      <c r="L3" s="11">
        <v>2</v>
      </c>
      <c r="M3" s="11">
        <v>2</v>
      </c>
      <c r="N3" s="11">
        <v>2</v>
      </c>
      <c r="O3" s="11">
        <v>2</v>
      </c>
      <c r="P3" s="11">
        <v>4</v>
      </c>
      <c r="Q3" s="11">
        <v>2</v>
      </c>
      <c r="R3" s="11">
        <v>2</v>
      </c>
      <c r="S3" s="11">
        <v>3</v>
      </c>
      <c r="T3" s="11">
        <v>3</v>
      </c>
      <c r="U3" s="10">
        <v>3</v>
      </c>
      <c r="V3" s="6">
        <f t="shared" ca="1" si="0"/>
        <v>15.971825155565009</v>
      </c>
      <c r="W3" s="6">
        <f t="shared" ca="1" si="0"/>
        <v>15.804715883420322</v>
      </c>
      <c r="X3" s="6">
        <f t="shared" ca="1" si="0"/>
        <v>15.693102261463501</v>
      </c>
      <c r="Y3" s="6">
        <f t="shared" ca="1" si="0"/>
        <v>16.058050956592655</v>
      </c>
      <c r="Z3" s="6">
        <f t="shared" ca="1" si="0"/>
        <v>16.392053254113911</v>
      </c>
      <c r="AA3" s="6">
        <f t="shared" ca="1" si="0"/>
        <v>15.895585322393107</v>
      </c>
      <c r="AB3" s="6">
        <f t="shared" ref="AB3:AB66" ca="1" si="2">MIN(V3:AA3)</f>
        <v>15.693102261463501</v>
      </c>
      <c r="AC3" s="6">
        <f t="shared" ref="AC3:AC66" ca="1" si="3">IF(AB3=V3,1,IF(AB3=W3,2,IF(AB3=X3,3,IF(AB3=Y3,4,IF(AB3=Z3,5,6)))))</f>
        <v>3</v>
      </c>
      <c r="AF3" s="17" t="s">
        <v>50</v>
      </c>
      <c r="AG3" s="19">
        <f t="shared" ref="AG3:AL21" ca="1" si="4">3+(RAND()-0.5)*0.1</f>
        <v>3.0383542648548083</v>
      </c>
      <c r="AH3" s="19">
        <f t="shared" ca="1" si="4"/>
        <v>2.964063205053161</v>
      </c>
      <c r="AI3" s="19">
        <f t="shared" ca="1" si="4"/>
        <v>3.0274573022760585</v>
      </c>
      <c r="AJ3" s="19">
        <f t="shared" ca="1" si="4"/>
        <v>2.9921672749102401</v>
      </c>
      <c r="AK3" s="19">
        <f t="shared" ca="1" si="4"/>
        <v>3.0171422205192098</v>
      </c>
      <c r="AL3" s="19">
        <f t="shared" ca="1" si="4"/>
        <v>2.9998349926646162</v>
      </c>
      <c r="AM3" s="3" t="s">
        <v>23</v>
      </c>
    </row>
    <row r="4" spans="1:39" ht="15" customHeight="1" thickBot="1">
      <c r="A4" s="11">
        <v>3</v>
      </c>
      <c r="B4" s="12">
        <v>2</v>
      </c>
      <c r="C4" s="11">
        <v>2</v>
      </c>
      <c r="D4" s="11">
        <v>2</v>
      </c>
      <c r="E4" s="11">
        <v>4</v>
      </c>
      <c r="F4" s="11">
        <v>3</v>
      </c>
      <c r="G4" s="11">
        <v>2</v>
      </c>
      <c r="H4" s="11">
        <v>2</v>
      </c>
      <c r="I4" s="11">
        <v>1</v>
      </c>
      <c r="J4" s="11">
        <v>2</v>
      </c>
      <c r="K4" s="11">
        <v>2</v>
      </c>
      <c r="L4" s="11">
        <v>1</v>
      </c>
      <c r="M4" s="11">
        <v>3</v>
      </c>
      <c r="N4" s="11">
        <v>3</v>
      </c>
      <c r="O4" s="11">
        <v>4</v>
      </c>
      <c r="P4" s="11">
        <v>5</v>
      </c>
      <c r="Q4" s="11">
        <v>5</v>
      </c>
      <c r="R4" s="11">
        <v>3</v>
      </c>
      <c r="S4" s="11">
        <v>2</v>
      </c>
      <c r="T4" s="11">
        <v>4</v>
      </c>
      <c r="U4" s="10">
        <v>2</v>
      </c>
      <c r="V4" s="6">
        <f t="shared" ca="1" si="0"/>
        <v>27.906055953380395</v>
      </c>
      <c r="W4" s="6">
        <f t="shared" ca="1" si="0"/>
        <v>28.308330447362966</v>
      </c>
      <c r="X4" s="6">
        <f t="shared" ca="1" si="0"/>
        <v>28.158555044857493</v>
      </c>
      <c r="Y4" s="6">
        <f t="shared" ca="1" si="0"/>
        <v>27.931343168986309</v>
      </c>
      <c r="Z4" s="6">
        <f t="shared" ca="1" si="0"/>
        <v>28.629914085712699</v>
      </c>
      <c r="AA4" s="6">
        <f t="shared" ca="1" si="0"/>
        <v>28.303816438971502</v>
      </c>
      <c r="AB4" s="6">
        <f t="shared" ca="1" si="2"/>
        <v>27.906055953380395</v>
      </c>
      <c r="AC4" s="6">
        <f t="shared" ca="1" si="3"/>
        <v>1</v>
      </c>
      <c r="AF4" s="17" t="s">
        <v>51</v>
      </c>
      <c r="AG4" s="19">
        <f t="shared" ca="1" si="4"/>
        <v>2.9931168848468337</v>
      </c>
      <c r="AH4" s="19">
        <f t="shared" ca="1" si="4"/>
        <v>3.0346839756235373</v>
      </c>
      <c r="AI4" s="19">
        <f t="shared" ca="1" si="4"/>
        <v>3.0260210968434582</v>
      </c>
      <c r="AJ4" s="19">
        <f t="shared" ca="1" si="4"/>
        <v>2.9852386911414217</v>
      </c>
      <c r="AK4" s="19">
        <f t="shared" ca="1" si="4"/>
        <v>3.0072263423729289</v>
      </c>
      <c r="AL4" s="19">
        <f t="shared" ca="1" si="4"/>
        <v>3.0218877893118443</v>
      </c>
      <c r="AM4" s="3" t="s">
        <v>22</v>
      </c>
    </row>
    <row r="5" spans="1:39" ht="15" customHeight="1" thickBot="1">
      <c r="A5" s="11">
        <v>4</v>
      </c>
      <c r="B5" s="12">
        <v>2</v>
      </c>
      <c r="C5" s="11">
        <v>2</v>
      </c>
      <c r="D5" s="11">
        <v>2</v>
      </c>
      <c r="E5" s="11">
        <v>3</v>
      </c>
      <c r="F5" s="11">
        <v>3</v>
      </c>
      <c r="G5" s="11">
        <v>4</v>
      </c>
      <c r="H5" s="11">
        <v>3</v>
      </c>
      <c r="I5" s="11">
        <v>2</v>
      </c>
      <c r="J5" s="11">
        <v>2</v>
      </c>
      <c r="K5" s="11">
        <v>2</v>
      </c>
      <c r="L5" s="11">
        <v>3</v>
      </c>
      <c r="M5" s="11">
        <v>3</v>
      </c>
      <c r="N5" s="11">
        <v>1</v>
      </c>
      <c r="O5" s="11">
        <v>2</v>
      </c>
      <c r="P5" s="11">
        <v>2</v>
      </c>
      <c r="Q5" s="11">
        <v>3</v>
      </c>
      <c r="R5" s="11">
        <v>1</v>
      </c>
      <c r="S5" s="11">
        <v>2</v>
      </c>
      <c r="T5" s="11">
        <v>2</v>
      </c>
      <c r="U5" s="10">
        <v>4</v>
      </c>
      <c r="V5" s="6">
        <f t="shared" ca="1" si="0"/>
        <v>19.540727639981249</v>
      </c>
      <c r="W5" s="6">
        <f t="shared" ca="1" si="0"/>
        <v>19.930966794793939</v>
      </c>
      <c r="X5" s="6">
        <f t="shared" ca="1" si="0"/>
        <v>19.959244212464508</v>
      </c>
      <c r="Y5" s="6">
        <f t="shared" ca="1" si="0"/>
        <v>19.748061554465579</v>
      </c>
      <c r="Z5" s="6">
        <f t="shared" ca="1" si="0"/>
        <v>20.62020694303898</v>
      </c>
      <c r="AA5" s="6">
        <f t="shared" ca="1" si="0"/>
        <v>19.94554029545202</v>
      </c>
      <c r="AB5" s="6">
        <f t="shared" ca="1" si="2"/>
        <v>19.540727639981249</v>
      </c>
      <c r="AC5" s="6">
        <f t="shared" ca="1" si="3"/>
        <v>1</v>
      </c>
      <c r="AF5" s="17" t="s">
        <v>52</v>
      </c>
      <c r="AG5" s="19">
        <f t="shared" ca="1" si="4"/>
        <v>2.9761685285682815</v>
      </c>
      <c r="AH5" s="19">
        <f t="shared" ca="1" si="4"/>
        <v>2.995053643571973</v>
      </c>
      <c r="AI5" s="19">
        <f t="shared" ca="1" si="4"/>
        <v>3.0124048555497134</v>
      </c>
      <c r="AJ5" s="19">
        <f t="shared" ca="1" si="4"/>
        <v>2.9651427440330647</v>
      </c>
      <c r="AK5" s="19">
        <f t="shared" ca="1" si="4"/>
        <v>2.9927688207728993</v>
      </c>
      <c r="AL5" s="19">
        <f t="shared" ca="1" si="4"/>
        <v>2.9887084578560157</v>
      </c>
      <c r="AM5" s="3" t="s">
        <v>21</v>
      </c>
    </row>
    <row r="6" spans="1:39" ht="15" customHeight="1" thickBot="1">
      <c r="A6" s="11">
        <v>5</v>
      </c>
      <c r="B6" s="12">
        <v>2</v>
      </c>
      <c r="C6" s="11">
        <v>3</v>
      </c>
      <c r="D6" s="11">
        <v>2</v>
      </c>
      <c r="E6" s="11">
        <v>3</v>
      </c>
      <c r="F6" s="11">
        <v>1</v>
      </c>
      <c r="G6" s="11">
        <v>3</v>
      </c>
      <c r="H6" s="11">
        <v>3</v>
      </c>
      <c r="I6" s="11">
        <v>4</v>
      </c>
      <c r="J6" s="11">
        <v>4</v>
      </c>
      <c r="K6" s="11">
        <v>5</v>
      </c>
      <c r="L6" s="11">
        <v>3</v>
      </c>
      <c r="M6" s="11">
        <v>4</v>
      </c>
      <c r="N6" s="11">
        <v>4</v>
      </c>
      <c r="O6" s="11">
        <v>2</v>
      </c>
      <c r="P6" s="11">
        <v>2</v>
      </c>
      <c r="Q6" s="11">
        <v>2</v>
      </c>
      <c r="R6" s="11">
        <v>4</v>
      </c>
      <c r="S6" s="11">
        <v>5</v>
      </c>
      <c r="T6" s="11">
        <v>2</v>
      </c>
      <c r="U6" s="10">
        <v>2</v>
      </c>
      <c r="V6" s="6">
        <f t="shared" ca="1" si="0"/>
        <v>24.319796634642959</v>
      </c>
      <c r="W6" s="6">
        <f t="shared" ca="1" si="0"/>
        <v>23.907354978962033</v>
      </c>
      <c r="X6" s="6">
        <f t="shared" ca="1" si="0"/>
        <v>24.136103818002269</v>
      </c>
      <c r="Y6" s="6">
        <f t="shared" ca="1" si="0"/>
        <v>24.221794516458147</v>
      </c>
      <c r="Z6" s="6">
        <f t="shared" ca="1" si="0"/>
        <v>23.76399433195305</v>
      </c>
      <c r="AA6" s="6">
        <f t="shared" ca="1" si="0"/>
        <v>23.465343318883285</v>
      </c>
      <c r="AB6" s="6">
        <f t="shared" ca="1" si="2"/>
        <v>23.465343318883285</v>
      </c>
      <c r="AC6" s="6">
        <f t="shared" ca="1" si="3"/>
        <v>6</v>
      </c>
      <c r="AF6" s="17" t="s">
        <v>53</v>
      </c>
      <c r="AG6" s="19">
        <f t="shared" ca="1" si="4"/>
        <v>3.0134292306472159</v>
      </c>
      <c r="AH6" s="19">
        <f t="shared" ca="1" si="4"/>
        <v>3.0006254426540822</v>
      </c>
      <c r="AI6" s="19">
        <f t="shared" ca="1" si="4"/>
        <v>2.9642898254095931</v>
      </c>
      <c r="AJ6" s="19">
        <f t="shared" ca="1" si="4"/>
        <v>3.0020455945965216</v>
      </c>
      <c r="AK6" s="19">
        <f t="shared" ca="1" si="4"/>
        <v>3.0262108716755369</v>
      </c>
      <c r="AL6" s="19">
        <f t="shared" ca="1" si="4"/>
        <v>2.9663861001966385</v>
      </c>
      <c r="AM6" s="3" t="s">
        <v>20</v>
      </c>
    </row>
    <row r="7" spans="1:39" ht="15" customHeight="1" thickBot="1">
      <c r="A7" s="11">
        <v>6</v>
      </c>
      <c r="B7" s="12">
        <v>2</v>
      </c>
      <c r="C7" s="11">
        <v>2</v>
      </c>
      <c r="D7" s="11">
        <v>2</v>
      </c>
      <c r="E7" s="11">
        <v>2</v>
      </c>
      <c r="F7" s="11">
        <v>5</v>
      </c>
      <c r="G7" s="11">
        <v>3</v>
      </c>
      <c r="H7" s="11">
        <v>4</v>
      </c>
      <c r="I7" s="11">
        <v>3</v>
      </c>
      <c r="J7" s="11">
        <v>1</v>
      </c>
      <c r="K7" s="11">
        <v>2</v>
      </c>
      <c r="L7" s="11">
        <v>1</v>
      </c>
      <c r="M7" s="11">
        <v>2</v>
      </c>
      <c r="N7" s="11">
        <v>1</v>
      </c>
      <c r="O7" s="11">
        <v>5</v>
      </c>
      <c r="P7" s="11">
        <v>1</v>
      </c>
      <c r="Q7" s="11">
        <v>3</v>
      </c>
      <c r="R7" s="11">
        <v>1</v>
      </c>
      <c r="S7" s="11">
        <v>2</v>
      </c>
      <c r="T7" s="11">
        <v>2</v>
      </c>
      <c r="U7" s="10">
        <v>2</v>
      </c>
      <c r="V7" s="6">
        <f t="shared" ca="1" si="0"/>
        <v>37.780750320059454</v>
      </c>
      <c r="W7" s="6">
        <f t="shared" ca="1" si="0"/>
        <v>37.786006837797288</v>
      </c>
      <c r="X7" s="6">
        <f t="shared" ca="1" si="0"/>
        <v>38.2159132716626</v>
      </c>
      <c r="Y7" s="6">
        <f t="shared" ca="1" si="0"/>
        <v>37.405669926975087</v>
      </c>
      <c r="Z7" s="6">
        <f t="shared" ca="1" si="0"/>
        <v>38.502521382862476</v>
      </c>
      <c r="AA7" s="6">
        <f t="shared" ca="1" si="0"/>
        <v>38.213832671762574</v>
      </c>
      <c r="AB7" s="6">
        <f t="shared" ca="1" si="2"/>
        <v>37.405669926975087</v>
      </c>
      <c r="AC7" s="6">
        <f t="shared" ca="1" si="3"/>
        <v>4</v>
      </c>
      <c r="AF7" s="17" t="s">
        <v>54</v>
      </c>
      <c r="AG7" s="19">
        <f t="shared" ca="1" si="4"/>
        <v>3.0287162696246992</v>
      </c>
      <c r="AH7" s="19">
        <f t="shared" ca="1" si="4"/>
        <v>3.0298428722463422</v>
      </c>
      <c r="AI7" s="19">
        <f t="shared" ca="1" si="4"/>
        <v>3.0314917695803953</v>
      </c>
      <c r="AJ7" s="19">
        <f t="shared" ca="1" si="4"/>
        <v>3.0067410996818151</v>
      </c>
      <c r="AK7" s="19">
        <f t="shared" ca="1" si="4"/>
        <v>2.9818221084669929</v>
      </c>
      <c r="AL7" s="19">
        <f t="shared" ca="1" si="4"/>
        <v>2.9702111770279931</v>
      </c>
      <c r="AM7" s="3" t="s">
        <v>19</v>
      </c>
    </row>
    <row r="8" spans="1:39" ht="15" customHeight="1" thickBot="1">
      <c r="A8" s="11">
        <v>7</v>
      </c>
      <c r="B8" s="12">
        <v>5</v>
      </c>
      <c r="C8" s="11">
        <v>1</v>
      </c>
      <c r="D8" s="11">
        <v>1</v>
      </c>
      <c r="E8" s="11">
        <v>2</v>
      </c>
      <c r="F8" s="11">
        <v>5</v>
      </c>
      <c r="G8" s="11">
        <v>3</v>
      </c>
      <c r="H8" s="11">
        <v>3</v>
      </c>
      <c r="I8" s="11">
        <v>3</v>
      </c>
      <c r="J8" s="11">
        <v>1</v>
      </c>
      <c r="K8" s="11">
        <v>5</v>
      </c>
      <c r="L8" s="11">
        <v>1</v>
      </c>
      <c r="M8" s="11">
        <v>1</v>
      </c>
      <c r="N8" s="11">
        <v>1</v>
      </c>
      <c r="O8" s="11">
        <v>5</v>
      </c>
      <c r="P8" s="11">
        <v>1</v>
      </c>
      <c r="Q8" s="11">
        <v>3</v>
      </c>
      <c r="R8" s="11">
        <v>1</v>
      </c>
      <c r="S8" s="11">
        <v>3</v>
      </c>
      <c r="T8" s="11">
        <v>2</v>
      </c>
      <c r="U8" s="10">
        <v>2</v>
      </c>
      <c r="V8" s="6">
        <f t="shared" ca="1" si="0"/>
        <v>51.048468662694667</v>
      </c>
      <c r="W8" s="6">
        <f t="shared" ca="1" si="0"/>
        <v>50.91598355225544</v>
      </c>
      <c r="X8" s="6">
        <f t="shared" ca="1" si="0"/>
        <v>51.149447705895959</v>
      </c>
      <c r="Y8" s="6">
        <f t="shared" ca="1" si="0"/>
        <v>50.51100688822136</v>
      </c>
      <c r="Z8" s="6">
        <f t="shared" ca="1" si="0"/>
        <v>51.093218651977281</v>
      </c>
      <c r="AA8" s="6">
        <f t="shared" ca="1" si="0"/>
        <v>51.373362323825049</v>
      </c>
      <c r="AB8" s="6">
        <f t="shared" ca="1" si="2"/>
        <v>50.51100688822136</v>
      </c>
      <c r="AC8" s="6">
        <f t="shared" ca="1" si="3"/>
        <v>4</v>
      </c>
      <c r="AF8" s="17" t="s">
        <v>55</v>
      </c>
      <c r="AG8" s="19">
        <f t="shared" ca="1" si="4"/>
        <v>2.9847919379627204</v>
      </c>
      <c r="AH8" s="19">
        <f t="shared" ca="1" si="4"/>
        <v>3.0363767909567394</v>
      </c>
      <c r="AI8" s="19">
        <f t="shared" ca="1" si="4"/>
        <v>2.982311134249195</v>
      </c>
      <c r="AJ8" s="19">
        <f t="shared" ca="1" si="4"/>
        <v>2.9937506607900537</v>
      </c>
      <c r="AK8" s="19">
        <f t="shared" ca="1" si="4"/>
        <v>3.0420167209407074</v>
      </c>
      <c r="AL8" s="19">
        <f t="shared" ca="1" si="4"/>
        <v>3.0071417004280563</v>
      </c>
      <c r="AM8" s="3" t="s">
        <v>18</v>
      </c>
    </row>
    <row r="9" spans="1:39" ht="15" customHeight="1" thickBot="1">
      <c r="A9" s="11">
        <v>8</v>
      </c>
      <c r="B9" s="12">
        <v>2</v>
      </c>
      <c r="C9" s="11">
        <v>2</v>
      </c>
      <c r="D9" s="11">
        <v>3</v>
      </c>
      <c r="E9" s="11">
        <v>3</v>
      </c>
      <c r="F9" s="11">
        <v>2</v>
      </c>
      <c r="G9" s="11">
        <v>4</v>
      </c>
      <c r="H9" s="11">
        <v>3</v>
      </c>
      <c r="I9" s="11">
        <v>2</v>
      </c>
      <c r="J9" s="11">
        <v>2</v>
      </c>
      <c r="K9" s="11">
        <v>4</v>
      </c>
      <c r="L9" s="11">
        <v>2</v>
      </c>
      <c r="M9" s="11">
        <v>2</v>
      </c>
      <c r="N9" s="11">
        <v>2</v>
      </c>
      <c r="O9" s="11">
        <v>4</v>
      </c>
      <c r="P9" s="11">
        <v>4</v>
      </c>
      <c r="Q9" s="11">
        <v>4</v>
      </c>
      <c r="R9" s="11">
        <v>2</v>
      </c>
      <c r="S9" s="11">
        <v>2</v>
      </c>
      <c r="T9" s="11">
        <v>4</v>
      </c>
      <c r="U9" s="10">
        <v>4</v>
      </c>
      <c r="V9" s="6">
        <f t="shared" ca="1" si="0"/>
        <v>16.758998690127417</v>
      </c>
      <c r="W9" s="6">
        <f t="shared" ca="1" si="0"/>
        <v>16.910116459425371</v>
      </c>
      <c r="X9" s="6">
        <f t="shared" ca="1" si="0"/>
        <v>16.854171591923407</v>
      </c>
      <c r="Y9" s="6">
        <f t="shared" ca="1" si="0"/>
        <v>16.850706741565247</v>
      </c>
      <c r="Z9" s="6">
        <f t="shared" ca="1" si="0"/>
        <v>17.410941023315267</v>
      </c>
      <c r="AA9" s="6">
        <f t="shared" ca="1" si="0"/>
        <v>17.08965174652905</v>
      </c>
      <c r="AB9" s="6">
        <f t="shared" ca="1" si="2"/>
        <v>16.758998690127417</v>
      </c>
      <c r="AC9" s="6">
        <f t="shared" ca="1" si="3"/>
        <v>1</v>
      </c>
      <c r="AF9" s="17" t="s">
        <v>56</v>
      </c>
      <c r="AG9" s="19">
        <f t="shared" ca="1" si="4"/>
        <v>3.0092175368667546</v>
      </c>
      <c r="AH9" s="19">
        <f t="shared" ca="1" si="4"/>
        <v>3.0390004701880762</v>
      </c>
      <c r="AI9" s="19">
        <f t="shared" ca="1" si="4"/>
        <v>2.9878327881616848</v>
      </c>
      <c r="AJ9" s="19">
        <f t="shared" ca="1" si="4"/>
        <v>3.0379614889255553</v>
      </c>
      <c r="AK9" s="19">
        <f t="shared" ca="1" si="4"/>
        <v>3.0185519874800231</v>
      </c>
      <c r="AL9" s="19">
        <f t="shared" ca="1" si="4"/>
        <v>3.0320931029414253</v>
      </c>
      <c r="AM9" s="3" t="s">
        <v>17</v>
      </c>
    </row>
    <row r="10" spans="1:39" ht="15" customHeight="1" thickBot="1">
      <c r="A10" s="11">
        <v>9</v>
      </c>
      <c r="B10" s="12">
        <v>3</v>
      </c>
      <c r="C10" s="11">
        <v>3</v>
      </c>
      <c r="D10" s="11">
        <v>1</v>
      </c>
      <c r="E10" s="11">
        <v>2</v>
      </c>
      <c r="F10" s="11">
        <v>2</v>
      </c>
      <c r="G10" s="11">
        <v>4</v>
      </c>
      <c r="H10" s="11">
        <v>3</v>
      </c>
      <c r="I10" s="11">
        <v>2</v>
      </c>
      <c r="J10" s="11">
        <v>2</v>
      </c>
      <c r="K10" s="11">
        <v>3</v>
      </c>
      <c r="L10" s="11">
        <v>2</v>
      </c>
      <c r="M10" s="11">
        <v>3</v>
      </c>
      <c r="N10" s="11">
        <v>3</v>
      </c>
      <c r="O10" s="11">
        <v>3</v>
      </c>
      <c r="P10" s="11">
        <v>4</v>
      </c>
      <c r="Q10" s="11">
        <v>4</v>
      </c>
      <c r="R10" s="11">
        <v>3</v>
      </c>
      <c r="S10" s="11">
        <v>2</v>
      </c>
      <c r="T10" s="11">
        <v>3</v>
      </c>
      <c r="U10" s="10">
        <v>3</v>
      </c>
      <c r="V10" s="6">
        <f t="shared" ca="1" si="0"/>
        <v>12.657427169701315</v>
      </c>
      <c r="W10" s="6">
        <f t="shared" ca="1" si="0"/>
        <v>13.128824050065262</v>
      </c>
      <c r="X10" s="6">
        <f t="shared" ca="1" si="0"/>
        <v>12.980220147820964</v>
      </c>
      <c r="Y10" s="6">
        <f t="shared" ca="1" si="0"/>
        <v>12.831945345610437</v>
      </c>
      <c r="Z10" s="6">
        <f t="shared" ca="1" si="0"/>
        <v>13.287504206325337</v>
      </c>
      <c r="AA10" s="6">
        <f t="shared" ca="1" si="0"/>
        <v>13.181208724863748</v>
      </c>
      <c r="AB10" s="6">
        <f t="shared" ca="1" si="2"/>
        <v>12.657427169701315</v>
      </c>
      <c r="AC10" s="6">
        <f t="shared" ca="1" si="3"/>
        <v>1</v>
      </c>
      <c r="AF10" s="17" t="s">
        <v>57</v>
      </c>
      <c r="AG10" s="19">
        <f t="shared" ca="1" si="4"/>
        <v>2.9828433637240486</v>
      </c>
      <c r="AH10" s="19">
        <f t="shared" ca="1" si="4"/>
        <v>2.9546502960557546</v>
      </c>
      <c r="AI10" s="19">
        <f t="shared" ca="1" si="4"/>
        <v>2.9610087200217348</v>
      </c>
      <c r="AJ10" s="19">
        <f t="shared" ca="1" si="4"/>
        <v>2.9523179635978591</v>
      </c>
      <c r="AK10" s="19">
        <f t="shared" ca="1" si="4"/>
        <v>3.0113112096001422</v>
      </c>
      <c r="AL10" s="19">
        <f t="shared" ca="1" si="4"/>
        <v>3.0364544971596965</v>
      </c>
      <c r="AM10" s="3" t="s">
        <v>16</v>
      </c>
    </row>
    <row r="11" spans="1:39" ht="15" customHeight="1" thickBot="1">
      <c r="A11" s="11">
        <v>10</v>
      </c>
      <c r="B11" s="12">
        <v>1</v>
      </c>
      <c r="C11" s="11">
        <v>2</v>
      </c>
      <c r="D11" s="11">
        <v>5</v>
      </c>
      <c r="E11" s="11">
        <v>2</v>
      </c>
      <c r="F11" s="11">
        <v>5</v>
      </c>
      <c r="G11" s="11">
        <v>5</v>
      </c>
      <c r="H11" s="11">
        <v>3</v>
      </c>
      <c r="I11" s="11">
        <v>2</v>
      </c>
      <c r="J11" s="11">
        <v>3</v>
      </c>
      <c r="K11" s="11">
        <v>4</v>
      </c>
      <c r="L11" s="11">
        <v>5</v>
      </c>
      <c r="M11" s="11">
        <v>4</v>
      </c>
      <c r="N11" s="11">
        <v>2</v>
      </c>
      <c r="O11" s="11">
        <v>4</v>
      </c>
      <c r="P11" s="11">
        <v>1</v>
      </c>
      <c r="Q11" s="11">
        <v>2</v>
      </c>
      <c r="R11" s="11">
        <v>3</v>
      </c>
      <c r="S11" s="11">
        <v>3</v>
      </c>
      <c r="T11" s="11">
        <v>3</v>
      </c>
      <c r="U11" s="10">
        <v>3</v>
      </c>
      <c r="V11" s="6">
        <f t="shared" ca="1" si="0"/>
        <v>32.112898106296207</v>
      </c>
      <c r="W11" s="6">
        <f t="shared" ca="1" si="0"/>
        <v>31.807448769343758</v>
      </c>
      <c r="X11" s="6">
        <f t="shared" ca="1" si="0"/>
        <v>32.186578452005122</v>
      </c>
      <c r="Y11" s="6">
        <f t="shared" ca="1" si="0"/>
        <v>32.000527297243075</v>
      </c>
      <c r="Z11" s="6">
        <f t="shared" ca="1" si="0"/>
        <v>31.986238680865444</v>
      </c>
      <c r="AA11" s="6">
        <f t="shared" ca="1" si="0"/>
        <v>31.8392479170436</v>
      </c>
      <c r="AB11" s="6">
        <f t="shared" ca="1" si="2"/>
        <v>31.807448769343758</v>
      </c>
      <c r="AC11" s="6">
        <f t="shared" ca="1" si="3"/>
        <v>2</v>
      </c>
      <c r="AF11" s="17" t="s">
        <v>58</v>
      </c>
      <c r="AG11" s="19">
        <f t="shared" ca="1" si="4"/>
        <v>2.9969575814666327</v>
      </c>
      <c r="AH11" s="19">
        <f t="shared" ca="1" si="4"/>
        <v>2.990753585083493</v>
      </c>
      <c r="AI11" s="19">
        <f t="shared" ca="1" si="4"/>
        <v>2.9793225789568667</v>
      </c>
      <c r="AJ11" s="19">
        <f t="shared" ca="1" si="4"/>
        <v>2.9745027888400566</v>
      </c>
      <c r="AK11" s="19">
        <f t="shared" ca="1" si="4"/>
        <v>3.0448015284366288</v>
      </c>
      <c r="AL11" s="19">
        <f t="shared" ca="1" si="4"/>
        <v>3.0497400892584721</v>
      </c>
      <c r="AM11" s="3" t="s">
        <v>15</v>
      </c>
    </row>
    <row r="12" spans="1:39" ht="15" customHeight="1" thickBot="1">
      <c r="A12" s="11">
        <v>11</v>
      </c>
      <c r="B12" s="12">
        <v>3</v>
      </c>
      <c r="C12" s="11">
        <v>2</v>
      </c>
      <c r="D12" s="11">
        <v>1</v>
      </c>
      <c r="E12" s="11">
        <v>4</v>
      </c>
      <c r="F12" s="11">
        <v>2</v>
      </c>
      <c r="G12" s="11">
        <v>2</v>
      </c>
      <c r="H12" s="11">
        <v>4</v>
      </c>
      <c r="I12" s="11">
        <v>2</v>
      </c>
      <c r="J12" s="11">
        <v>2</v>
      </c>
      <c r="K12" s="11">
        <v>5</v>
      </c>
      <c r="L12" s="11">
        <v>4</v>
      </c>
      <c r="M12" s="11">
        <v>2</v>
      </c>
      <c r="N12" s="11">
        <v>2</v>
      </c>
      <c r="O12" s="11">
        <v>5</v>
      </c>
      <c r="P12" s="11">
        <v>3</v>
      </c>
      <c r="Q12" s="11">
        <v>3</v>
      </c>
      <c r="R12" s="11">
        <v>2</v>
      </c>
      <c r="S12" s="11">
        <v>3</v>
      </c>
      <c r="T12" s="11">
        <v>3</v>
      </c>
      <c r="U12" s="10">
        <v>3</v>
      </c>
      <c r="V12" s="6">
        <f t="shared" ca="1" si="0"/>
        <v>23.476619660483891</v>
      </c>
      <c r="W12" s="6">
        <f t="shared" ca="1" si="0"/>
        <v>23.192535885783219</v>
      </c>
      <c r="X12" s="6">
        <f t="shared" ca="1" si="0"/>
        <v>23.208960413478113</v>
      </c>
      <c r="Y12" s="6">
        <f t="shared" ca="1" si="0"/>
        <v>23.013287037792981</v>
      </c>
      <c r="Z12" s="6">
        <f t="shared" ca="1" si="0"/>
        <v>22.863637585090874</v>
      </c>
      <c r="AA12" s="6">
        <f t="shared" ca="1" si="0"/>
        <v>22.933921343189535</v>
      </c>
      <c r="AB12" s="6">
        <f t="shared" ca="1" si="2"/>
        <v>22.863637585090874</v>
      </c>
      <c r="AC12" s="6">
        <f t="shared" ca="1" si="3"/>
        <v>5</v>
      </c>
      <c r="AF12" s="17" t="s">
        <v>59</v>
      </c>
      <c r="AG12" s="19">
        <f t="shared" ca="1" si="4"/>
        <v>2.9544840563849735</v>
      </c>
      <c r="AH12" s="19">
        <f t="shared" ca="1" si="4"/>
        <v>2.965897556597652</v>
      </c>
      <c r="AI12" s="19">
        <f t="shared" ca="1" si="4"/>
        <v>2.9784372722664574</v>
      </c>
      <c r="AJ12" s="19">
        <f t="shared" ca="1" si="4"/>
        <v>2.9943194308927992</v>
      </c>
      <c r="AK12" s="19">
        <f t="shared" ca="1" si="4"/>
        <v>3.0382086136865762</v>
      </c>
      <c r="AL12" s="19">
        <f t="shared" ca="1" si="4"/>
        <v>3.0257971347179429</v>
      </c>
      <c r="AM12" s="3" t="s">
        <v>14</v>
      </c>
    </row>
    <row r="13" spans="1:39" ht="15" customHeight="1" thickBot="1">
      <c r="A13" s="11">
        <v>12</v>
      </c>
      <c r="B13" s="12">
        <v>4</v>
      </c>
      <c r="C13" s="11">
        <v>2</v>
      </c>
      <c r="D13" s="11">
        <v>2</v>
      </c>
      <c r="E13" s="11">
        <v>2</v>
      </c>
      <c r="F13" s="11">
        <v>3</v>
      </c>
      <c r="G13" s="11">
        <v>3</v>
      </c>
      <c r="H13" s="11">
        <v>3</v>
      </c>
      <c r="I13" s="11">
        <v>2</v>
      </c>
      <c r="J13" s="11">
        <v>2</v>
      </c>
      <c r="K13" s="11">
        <v>2</v>
      </c>
      <c r="L13" s="11">
        <v>1</v>
      </c>
      <c r="M13" s="11">
        <v>3</v>
      </c>
      <c r="N13" s="11">
        <v>2</v>
      </c>
      <c r="O13" s="11">
        <v>3</v>
      </c>
      <c r="P13" s="11">
        <v>4</v>
      </c>
      <c r="Q13" s="11">
        <v>3</v>
      </c>
      <c r="R13" s="11">
        <v>3</v>
      </c>
      <c r="S13" s="11">
        <v>2</v>
      </c>
      <c r="T13" s="11">
        <v>2</v>
      </c>
      <c r="U13" s="10">
        <v>3</v>
      </c>
      <c r="V13" s="6">
        <f t="shared" ca="1" si="0"/>
        <v>14.800248968924658</v>
      </c>
      <c r="W13" s="6">
        <f t="shared" ca="1" si="0"/>
        <v>14.783227100828173</v>
      </c>
      <c r="X13" s="6">
        <f t="shared" ca="1" si="0"/>
        <v>15.016512679192568</v>
      </c>
      <c r="Y13" s="6">
        <f t="shared" ca="1" si="0"/>
        <v>14.832917714510792</v>
      </c>
      <c r="Z13" s="6">
        <f t="shared" ca="1" si="0"/>
        <v>15.246997748356289</v>
      </c>
      <c r="AA13" s="6">
        <f t="shared" ca="1" si="0"/>
        <v>15.229802192426229</v>
      </c>
      <c r="AB13" s="6">
        <f t="shared" ca="1" si="2"/>
        <v>14.783227100828173</v>
      </c>
      <c r="AC13" s="6">
        <f t="shared" ca="1" si="3"/>
        <v>2</v>
      </c>
      <c r="AF13" s="17" t="s">
        <v>60</v>
      </c>
      <c r="AG13" s="19">
        <f t="shared" ca="1" si="4"/>
        <v>3.031708597412154</v>
      </c>
      <c r="AH13" s="19">
        <f t="shared" ca="1" si="4"/>
        <v>2.9945997415331997</v>
      </c>
      <c r="AI13" s="19">
        <f t="shared" ca="1" si="4"/>
        <v>2.9714899732397702</v>
      </c>
      <c r="AJ13" s="19">
        <f t="shared" ca="1" si="4"/>
        <v>2.9896026635769228</v>
      </c>
      <c r="AK13" s="19">
        <f t="shared" ca="1" si="4"/>
        <v>2.9963745825679049</v>
      </c>
      <c r="AL13" s="19">
        <f t="shared" ca="1" si="4"/>
        <v>3.029688290620328</v>
      </c>
      <c r="AM13" s="3" t="s">
        <v>13</v>
      </c>
    </row>
    <row r="14" spans="1:39" ht="15" customHeight="1" thickBot="1">
      <c r="A14" s="11">
        <v>13</v>
      </c>
      <c r="B14" s="12">
        <v>1</v>
      </c>
      <c r="C14" s="11">
        <v>3</v>
      </c>
      <c r="D14" s="11">
        <v>2</v>
      </c>
      <c r="E14" s="11">
        <v>4</v>
      </c>
      <c r="F14" s="11">
        <v>5</v>
      </c>
      <c r="G14" s="11">
        <v>5</v>
      </c>
      <c r="H14" s="11">
        <v>4</v>
      </c>
      <c r="I14" s="11">
        <v>3</v>
      </c>
      <c r="J14" s="11">
        <v>3</v>
      </c>
      <c r="K14" s="11">
        <v>4</v>
      </c>
      <c r="L14" s="11">
        <v>4</v>
      </c>
      <c r="M14" s="11">
        <v>4</v>
      </c>
      <c r="N14" s="11">
        <v>2</v>
      </c>
      <c r="O14" s="11">
        <v>4</v>
      </c>
      <c r="P14" s="11">
        <v>3</v>
      </c>
      <c r="Q14" s="11">
        <v>3</v>
      </c>
      <c r="R14" s="11">
        <v>4</v>
      </c>
      <c r="S14" s="11">
        <v>4</v>
      </c>
      <c r="T14" s="11">
        <v>3</v>
      </c>
      <c r="U14" s="10">
        <v>2</v>
      </c>
      <c r="V14" s="6">
        <f t="shared" ca="1" si="0"/>
        <v>23.218800088992793</v>
      </c>
      <c r="W14" s="6">
        <f t="shared" ca="1" si="0"/>
        <v>22.767644528051484</v>
      </c>
      <c r="X14" s="6">
        <f t="shared" ca="1" si="0"/>
        <v>23.387512668897305</v>
      </c>
      <c r="Y14" s="6">
        <f t="shared" ca="1" si="0"/>
        <v>23.005250217985154</v>
      </c>
      <c r="Z14" s="6">
        <f t="shared" ca="1" si="0"/>
        <v>22.817246457139113</v>
      </c>
      <c r="AA14" s="6">
        <f t="shared" ca="1" si="0"/>
        <v>22.950557057773374</v>
      </c>
      <c r="AB14" s="6">
        <f t="shared" ca="1" si="2"/>
        <v>22.767644528051484</v>
      </c>
      <c r="AC14" s="6">
        <f t="shared" ca="1" si="3"/>
        <v>2</v>
      </c>
      <c r="AF14" s="17" t="s">
        <v>61</v>
      </c>
      <c r="AG14" s="19">
        <f t="shared" ca="1" si="4"/>
        <v>2.9952228513958485</v>
      </c>
      <c r="AH14" s="19">
        <f t="shared" ca="1" si="4"/>
        <v>2.9641644544640049</v>
      </c>
      <c r="AI14" s="19">
        <f t="shared" ca="1" si="4"/>
        <v>3.0037864768440663</v>
      </c>
      <c r="AJ14" s="19">
        <f t="shared" ca="1" si="4"/>
        <v>2.9701795441729537</v>
      </c>
      <c r="AK14" s="19">
        <f t="shared" ca="1" si="4"/>
        <v>3.024137737893287</v>
      </c>
      <c r="AL14" s="19">
        <f t="shared" ca="1" si="4"/>
        <v>2.9690695671484746</v>
      </c>
      <c r="AM14" s="3" t="s">
        <v>12</v>
      </c>
    </row>
    <row r="15" spans="1:39" ht="15" customHeight="1" thickBot="1">
      <c r="A15" s="11">
        <v>14</v>
      </c>
      <c r="B15" s="12">
        <v>3</v>
      </c>
      <c r="C15" s="11">
        <v>5</v>
      </c>
      <c r="D15" s="11">
        <v>2</v>
      </c>
      <c r="E15" s="11">
        <v>3</v>
      </c>
      <c r="F15" s="11">
        <v>4</v>
      </c>
      <c r="G15" s="11">
        <v>4</v>
      </c>
      <c r="H15" s="11">
        <v>3</v>
      </c>
      <c r="I15" s="11">
        <v>2</v>
      </c>
      <c r="J15" s="11">
        <v>1</v>
      </c>
      <c r="K15" s="11">
        <v>3</v>
      </c>
      <c r="L15" s="11">
        <v>2</v>
      </c>
      <c r="M15" s="11">
        <v>2</v>
      </c>
      <c r="N15" s="11">
        <v>3</v>
      </c>
      <c r="O15" s="11">
        <v>5</v>
      </c>
      <c r="P15" s="11">
        <v>3</v>
      </c>
      <c r="Q15" s="11">
        <v>2</v>
      </c>
      <c r="R15" s="11">
        <v>3</v>
      </c>
      <c r="S15" s="11">
        <v>4</v>
      </c>
      <c r="T15" s="11">
        <v>2</v>
      </c>
      <c r="U15" s="10">
        <v>3</v>
      </c>
      <c r="V15" s="6">
        <f t="shared" ca="1" si="0"/>
        <v>21.046300842208993</v>
      </c>
      <c r="W15" s="6">
        <f t="shared" ca="1" si="0"/>
        <v>20.787152506858373</v>
      </c>
      <c r="X15" s="6">
        <f t="shared" ca="1" si="0"/>
        <v>20.711182828687242</v>
      </c>
      <c r="Y15" s="6">
        <f t="shared" ca="1" si="0"/>
        <v>20.895430729316875</v>
      </c>
      <c r="Z15" s="6">
        <f t="shared" ca="1" si="0"/>
        <v>20.837072865957182</v>
      </c>
      <c r="AA15" s="6">
        <f t="shared" ca="1" si="0"/>
        <v>21.583345067457316</v>
      </c>
      <c r="AB15" s="6">
        <f t="shared" ca="1" si="2"/>
        <v>20.711182828687242</v>
      </c>
      <c r="AC15" s="6">
        <f ca="1">IF(AB15=V15,1,IF(AB15=W15,2,IF(AB15=X15,3,IF(AB15=Y15,4,IF(AB15=Z15,5,6)))))</f>
        <v>3</v>
      </c>
      <c r="AF15" s="17" t="s">
        <v>62</v>
      </c>
      <c r="AG15" s="19">
        <f t="shared" ca="1" si="4"/>
        <v>2.9565340901758344</v>
      </c>
      <c r="AH15" s="19">
        <f t="shared" ca="1" si="4"/>
        <v>2.995240362190156</v>
      </c>
      <c r="AI15" s="19">
        <f t="shared" ca="1" si="4"/>
        <v>2.9876115317226772</v>
      </c>
      <c r="AJ15" s="19">
        <f t="shared" ca="1" si="4"/>
        <v>3.0061241393280604</v>
      </c>
      <c r="AK15" s="19">
        <f t="shared" ca="1" si="4"/>
        <v>3.0240139630165079</v>
      </c>
      <c r="AL15" s="19">
        <f t="shared" ca="1" si="4"/>
        <v>2.9705266043424143</v>
      </c>
      <c r="AM15" s="3" t="s">
        <v>11</v>
      </c>
    </row>
    <row r="16" spans="1:39" ht="15" customHeight="1" thickBot="1">
      <c r="A16" s="11">
        <v>15</v>
      </c>
      <c r="B16" s="12">
        <v>4</v>
      </c>
      <c r="C16" s="11">
        <v>4</v>
      </c>
      <c r="D16" s="11">
        <v>2</v>
      </c>
      <c r="E16" s="11">
        <v>2</v>
      </c>
      <c r="F16" s="11">
        <v>4</v>
      </c>
      <c r="G16" s="11">
        <v>3</v>
      </c>
      <c r="H16" s="11">
        <v>3</v>
      </c>
      <c r="I16" s="11">
        <v>2</v>
      </c>
      <c r="J16" s="11">
        <v>2</v>
      </c>
      <c r="K16" s="11">
        <v>3</v>
      </c>
      <c r="L16" s="11">
        <v>2</v>
      </c>
      <c r="M16" s="11">
        <v>2</v>
      </c>
      <c r="N16" s="11">
        <v>2</v>
      </c>
      <c r="O16" s="11">
        <v>2</v>
      </c>
      <c r="P16" s="11">
        <v>3</v>
      </c>
      <c r="Q16" s="11">
        <v>2</v>
      </c>
      <c r="R16" s="11">
        <v>2</v>
      </c>
      <c r="S16" s="11">
        <v>4</v>
      </c>
      <c r="T16" s="11">
        <v>3</v>
      </c>
      <c r="U16" s="10">
        <v>4</v>
      </c>
      <c r="V16" s="6">
        <f t="shared" ca="1" si="0"/>
        <v>14.747837630708826</v>
      </c>
      <c r="W16" s="6">
        <f t="shared" ca="1" si="0"/>
        <v>14.857455780231726</v>
      </c>
      <c r="X16" s="6">
        <f t="shared" ca="1" si="0"/>
        <v>14.692050811569191</v>
      </c>
      <c r="Y16" s="6">
        <f t="shared" ca="1" si="0"/>
        <v>14.871521187585511</v>
      </c>
      <c r="Z16" s="6">
        <f t="shared" ca="1" si="0"/>
        <v>15.046245483300396</v>
      </c>
      <c r="AA16" s="6">
        <f t="shared" ca="1" si="0"/>
        <v>15.397046895997844</v>
      </c>
      <c r="AB16" s="6">
        <f t="shared" ca="1" si="2"/>
        <v>14.692050811569191</v>
      </c>
      <c r="AC16" s="6">
        <f t="shared" ca="1" si="3"/>
        <v>3</v>
      </c>
      <c r="AF16" s="17" t="s">
        <v>63</v>
      </c>
      <c r="AG16" s="19">
        <f t="shared" ca="1" si="4"/>
        <v>2.9855484053708228</v>
      </c>
      <c r="AH16" s="19">
        <f t="shared" ca="1" si="4"/>
        <v>3.0263610732387236</v>
      </c>
      <c r="AI16" s="19">
        <f t="shared" ca="1" si="4"/>
        <v>2.9778630873326213</v>
      </c>
      <c r="AJ16" s="19">
        <f t="shared" ca="1" si="4"/>
        <v>2.9821326616321153</v>
      </c>
      <c r="AK16" s="19">
        <f t="shared" ca="1" si="4"/>
        <v>3.0245650397382802</v>
      </c>
      <c r="AL16" s="19">
        <f t="shared" ca="1" si="4"/>
        <v>3.0200857342667677</v>
      </c>
      <c r="AM16" s="3" t="s">
        <v>10</v>
      </c>
    </row>
    <row r="17" spans="1:39" ht="15" customHeight="1" thickBot="1">
      <c r="A17" s="11">
        <v>16</v>
      </c>
      <c r="B17" s="12">
        <v>2</v>
      </c>
      <c r="C17" s="11">
        <v>2</v>
      </c>
      <c r="D17" s="11">
        <v>1</v>
      </c>
      <c r="E17" s="11">
        <v>4</v>
      </c>
      <c r="F17" s="11">
        <v>3</v>
      </c>
      <c r="G17" s="11">
        <v>5</v>
      </c>
      <c r="H17" s="11">
        <v>4</v>
      </c>
      <c r="I17" s="11">
        <v>1</v>
      </c>
      <c r="J17" s="11">
        <v>1</v>
      </c>
      <c r="K17" s="11">
        <v>4</v>
      </c>
      <c r="L17" s="11">
        <v>1</v>
      </c>
      <c r="M17" s="11">
        <v>1</v>
      </c>
      <c r="N17" s="11">
        <v>2</v>
      </c>
      <c r="O17" s="11">
        <v>2</v>
      </c>
      <c r="P17" s="11">
        <v>5</v>
      </c>
      <c r="Q17" s="11">
        <v>1</v>
      </c>
      <c r="R17" s="11">
        <v>1</v>
      </c>
      <c r="S17" s="11">
        <v>2</v>
      </c>
      <c r="T17" s="11">
        <v>4</v>
      </c>
      <c r="U17" s="10">
        <v>5</v>
      </c>
      <c r="V17" s="6">
        <f t="shared" ca="1" si="0"/>
        <v>48.656241169415381</v>
      </c>
      <c r="W17" s="6">
        <f t="shared" ca="1" si="0"/>
        <v>48.512984828440466</v>
      </c>
      <c r="X17" s="6">
        <f t="shared" ca="1" si="0"/>
        <v>48.624072851791375</v>
      </c>
      <c r="Y17" s="6">
        <f t="shared" ca="1" si="0"/>
        <v>49.02135627202945</v>
      </c>
      <c r="Z17" s="6">
        <f t="shared" ca="1" si="0"/>
        <v>49.479564622550569</v>
      </c>
      <c r="AA17" s="6">
        <f t="shared" ca="1" si="0"/>
        <v>49.392807270696487</v>
      </c>
      <c r="AB17" s="6">
        <f t="shared" ca="1" si="2"/>
        <v>48.512984828440466</v>
      </c>
      <c r="AC17" s="6">
        <f t="shared" ca="1" si="3"/>
        <v>2</v>
      </c>
      <c r="AF17" s="17" t="s">
        <v>64</v>
      </c>
      <c r="AG17" s="19">
        <f t="shared" ca="1" si="4"/>
        <v>3.0470520497755196</v>
      </c>
      <c r="AH17" s="19">
        <f t="shared" ca="1" si="4"/>
        <v>2.9548368256182669</v>
      </c>
      <c r="AI17" s="19">
        <f t="shared" ca="1" si="4"/>
        <v>2.9868461868055363</v>
      </c>
      <c r="AJ17" s="19">
        <f t="shared" ca="1" si="4"/>
        <v>3.0273358582710013</v>
      </c>
      <c r="AK17" s="19">
        <f t="shared" ca="1" si="4"/>
        <v>2.9837978582754232</v>
      </c>
      <c r="AL17" s="19">
        <f t="shared" ca="1" si="4"/>
        <v>2.9944760330796161</v>
      </c>
      <c r="AM17" s="3" t="s">
        <v>9</v>
      </c>
    </row>
    <row r="18" spans="1:39" ht="15" customHeight="1" thickBot="1">
      <c r="A18" s="11">
        <v>17</v>
      </c>
      <c r="B18" s="12">
        <v>4</v>
      </c>
      <c r="C18" s="11">
        <v>3</v>
      </c>
      <c r="D18" s="11">
        <v>2</v>
      </c>
      <c r="E18" s="11">
        <v>3</v>
      </c>
      <c r="F18" s="11">
        <v>4</v>
      </c>
      <c r="G18" s="11">
        <v>3</v>
      </c>
      <c r="H18" s="11">
        <v>3</v>
      </c>
      <c r="I18" s="11">
        <v>3</v>
      </c>
      <c r="J18" s="11">
        <v>2</v>
      </c>
      <c r="K18" s="11">
        <v>2</v>
      </c>
      <c r="L18" s="11">
        <v>2</v>
      </c>
      <c r="M18" s="11">
        <v>2</v>
      </c>
      <c r="N18" s="11">
        <v>2</v>
      </c>
      <c r="O18" s="11">
        <v>3</v>
      </c>
      <c r="P18" s="11">
        <v>4</v>
      </c>
      <c r="Q18" s="11">
        <v>4</v>
      </c>
      <c r="R18" s="11">
        <v>3</v>
      </c>
      <c r="S18" s="11">
        <v>2</v>
      </c>
      <c r="T18" s="11">
        <v>2</v>
      </c>
      <c r="U18" s="10">
        <v>4</v>
      </c>
      <c r="V18" s="6">
        <f t="shared" ref="V18:AA60" ca="1" si="5">SUMXMY2($B18:$U18,AG$2:AG$21)</f>
        <v>12.689726560333302</v>
      </c>
      <c r="W18" s="6">
        <f t="shared" ca="1" si="5"/>
        <v>12.875905781844326</v>
      </c>
      <c r="X18" s="6">
        <f t="shared" ca="1" si="5"/>
        <v>12.966196416994027</v>
      </c>
      <c r="Y18" s="6">
        <f t="shared" ca="1" si="5"/>
        <v>12.775774309566065</v>
      </c>
      <c r="Z18" s="6">
        <f t="shared" ca="1" si="5"/>
        <v>13.04345559645906</v>
      </c>
      <c r="AA18" s="6">
        <f t="shared" ca="1" si="5"/>
        <v>13.353596552175784</v>
      </c>
      <c r="AB18" s="6">
        <f t="shared" ca="1" si="2"/>
        <v>12.689726560333302</v>
      </c>
      <c r="AC18" s="6">
        <f t="shared" ca="1" si="3"/>
        <v>1</v>
      </c>
      <c r="AF18" s="17" t="s">
        <v>65</v>
      </c>
      <c r="AG18" s="19">
        <f t="shared" ca="1" si="4"/>
        <v>2.9668280926681727</v>
      </c>
      <c r="AH18" s="19">
        <f t="shared" ca="1" si="4"/>
        <v>3.0399700476604514</v>
      </c>
      <c r="AI18" s="19">
        <f t="shared" ca="1" si="4"/>
        <v>3.0061186046869728</v>
      </c>
      <c r="AJ18" s="19">
        <f t="shared" ca="1" si="4"/>
        <v>2.995404717640672</v>
      </c>
      <c r="AK18" s="19">
        <f t="shared" ca="1" si="4"/>
        <v>3.044840068379131</v>
      </c>
      <c r="AL18" s="19">
        <f t="shared" ca="1" si="4"/>
        <v>2.9723163091617284</v>
      </c>
      <c r="AM18" s="3" t="s">
        <v>8</v>
      </c>
    </row>
    <row r="19" spans="1:39" ht="15" customHeight="1" thickBot="1">
      <c r="A19" s="11">
        <v>18</v>
      </c>
      <c r="B19" s="12">
        <v>5</v>
      </c>
      <c r="C19" s="11">
        <v>5</v>
      </c>
      <c r="D19" s="11">
        <v>3</v>
      </c>
      <c r="E19" s="11">
        <v>2</v>
      </c>
      <c r="F19" s="11">
        <v>5</v>
      </c>
      <c r="G19" s="11">
        <v>5</v>
      </c>
      <c r="H19" s="11">
        <v>3</v>
      </c>
      <c r="I19" s="11">
        <v>1</v>
      </c>
      <c r="J19" s="11">
        <v>1</v>
      </c>
      <c r="K19" s="11">
        <v>3</v>
      </c>
      <c r="L19" s="11">
        <v>4</v>
      </c>
      <c r="M19" s="11">
        <v>1</v>
      </c>
      <c r="N19" s="11">
        <v>2</v>
      </c>
      <c r="O19" s="11">
        <v>5</v>
      </c>
      <c r="P19" s="11">
        <v>5</v>
      </c>
      <c r="Q19" s="11">
        <v>4</v>
      </c>
      <c r="R19" s="11">
        <v>2</v>
      </c>
      <c r="S19" s="11">
        <v>5</v>
      </c>
      <c r="T19" s="11">
        <v>5</v>
      </c>
      <c r="U19" s="10">
        <v>5</v>
      </c>
      <c r="V19" s="6">
        <f t="shared" ca="1" si="5"/>
        <v>52.891480625986411</v>
      </c>
      <c r="W19" s="6">
        <f t="shared" ca="1" si="5"/>
        <v>52.941690570736746</v>
      </c>
      <c r="X19" s="6">
        <f t="shared" ca="1" si="5"/>
        <v>52.384643613260955</v>
      </c>
      <c r="Y19" s="6">
        <f t="shared" ca="1" si="5"/>
        <v>52.735854531542635</v>
      </c>
      <c r="Z19" s="6">
        <f t="shared" ca="1" si="5"/>
        <v>52.73786437826913</v>
      </c>
      <c r="AA19" s="6">
        <f t="shared" ca="1" si="5"/>
        <v>54.157968516085404</v>
      </c>
      <c r="AB19" s="6">
        <f t="shared" ca="1" si="2"/>
        <v>52.384643613260955</v>
      </c>
      <c r="AC19" s="6">
        <f t="shared" ca="1" si="3"/>
        <v>3</v>
      </c>
      <c r="AF19" s="17" t="s">
        <v>66</v>
      </c>
      <c r="AG19" s="19">
        <f t="shared" ca="1" si="4"/>
        <v>2.9594701041812743</v>
      </c>
      <c r="AH19" s="19">
        <f t="shared" ca="1" si="4"/>
        <v>3.0415580883582272</v>
      </c>
      <c r="AI19" s="19">
        <f t="shared" ca="1" si="4"/>
        <v>3.0243114262766158</v>
      </c>
      <c r="AJ19" s="19">
        <f t="shared" ca="1" si="4"/>
        <v>3.0057052064982495</v>
      </c>
      <c r="AK19" s="19">
        <f t="shared" ca="1" si="4"/>
        <v>3.0248324621585234</v>
      </c>
      <c r="AL19" s="19">
        <f t="shared" ca="1" si="4"/>
        <v>2.972850699056877</v>
      </c>
      <c r="AM19" s="3" t="s">
        <v>7</v>
      </c>
    </row>
    <row r="20" spans="1:39" ht="15" customHeight="1" thickBot="1">
      <c r="A20" s="11">
        <v>19</v>
      </c>
      <c r="B20" s="12">
        <v>1</v>
      </c>
      <c r="C20" s="11">
        <v>2</v>
      </c>
      <c r="D20" s="11">
        <v>2</v>
      </c>
      <c r="E20" s="11">
        <v>1</v>
      </c>
      <c r="F20" s="11">
        <v>2</v>
      </c>
      <c r="G20" s="11">
        <v>2</v>
      </c>
      <c r="H20" s="11">
        <v>2</v>
      </c>
      <c r="I20" s="11">
        <v>2</v>
      </c>
      <c r="J20" s="11">
        <v>2</v>
      </c>
      <c r="K20" s="11">
        <v>2</v>
      </c>
      <c r="L20" s="11">
        <v>1</v>
      </c>
      <c r="M20" s="11">
        <v>2</v>
      </c>
      <c r="N20" s="11">
        <v>1</v>
      </c>
      <c r="O20" s="11">
        <v>5</v>
      </c>
      <c r="P20" s="11">
        <v>2</v>
      </c>
      <c r="Q20" s="11">
        <v>2</v>
      </c>
      <c r="R20" s="11">
        <v>5</v>
      </c>
      <c r="S20" s="11">
        <v>5</v>
      </c>
      <c r="T20" s="11">
        <v>3</v>
      </c>
      <c r="U20" s="10">
        <v>5</v>
      </c>
      <c r="V20" s="6">
        <f t="shared" ca="1" si="5"/>
        <v>43.170648629973215</v>
      </c>
      <c r="W20" s="6">
        <f t="shared" ca="1" si="5"/>
        <v>42.282998197532343</v>
      </c>
      <c r="X20" s="6">
        <f t="shared" ca="1" si="5"/>
        <v>42.656976505808473</v>
      </c>
      <c r="Y20" s="6">
        <f t="shared" ca="1" si="5"/>
        <v>42.560677495603336</v>
      </c>
      <c r="Z20" s="6">
        <f t="shared" ca="1" si="5"/>
        <v>43.226927675795416</v>
      </c>
      <c r="AA20" s="6">
        <f t="shared" ca="1" si="5"/>
        <v>43.513123491455723</v>
      </c>
      <c r="AB20" s="6">
        <f t="shared" ca="1" si="2"/>
        <v>42.282998197532343</v>
      </c>
      <c r="AC20" s="6">
        <f t="shared" ca="1" si="3"/>
        <v>2</v>
      </c>
      <c r="AF20" s="17" t="s">
        <v>67</v>
      </c>
      <c r="AG20" s="19">
        <f t="shared" ca="1" si="4"/>
        <v>3.0050931633291529</v>
      </c>
      <c r="AH20" s="19">
        <f t="shared" ca="1" si="4"/>
        <v>2.9765912820391072</v>
      </c>
      <c r="AI20" s="19">
        <f t="shared" ca="1" si="4"/>
        <v>3.0271933099910027</v>
      </c>
      <c r="AJ20" s="19">
        <f t="shared" ca="1" si="4"/>
        <v>3.015483552344949</v>
      </c>
      <c r="AK20" s="19">
        <f t="shared" ca="1" si="4"/>
        <v>2.9593319792441353</v>
      </c>
      <c r="AL20" s="19">
        <f t="shared" ca="1" si="4"/>
        <v>2.9556806227797106</v>
      </c>
      <c r="AM20" s="3" t="s">
        <v>6</v>
      </c>
    </row>
    <row r="21" spans="1:39" ht="15" customHeight="1" thickBot="1">
      <c r="A21" s="11">
        <v>20</v>
      </c>
      <c r="B21" s="12">
        <v>5</v>
      </c>
      <c r="C21" s="11">
        <v>4</v>
      </c>
      <c r="D21" s="11">
        <v>5</v>
      </c>
      <c r="E21" s="11">
        <v>5</v>
      </c>
      <c r="F21" s="11">
        <v>3</v>
      </c>
      <c r="G21" s="11">
        <v>2</v>
      </c>
      <c r="H21" s="11">
        <v>1</v>
      </c>
      <c r="I21" s="11">
        <v>1</v>
      </c>
      <c r="J21" s="11">
        <v>1</v>
      </c>
      <c r="K21" s="11">
        <v>2</v>
      </c>
      <c r="L21" s="11">
        <v>3</v>
      </c>
      <c r="M21" s="11">
        <v>4</v>
      </c>
      <c r="N21" s="11">
        <v>4</v>
      </c>
      <c r="O21" s="11">
        <v>3</v>
      </c>
      <c r="P21" s="11">
        <v>4</v>
      </c>
      <c r="Q21" s="11">
        <v>3</v>
      </c>
      <c r="R21" s="11">
        <v>2</v>
      </c>
      <c r="S21" s="11">
        <v>3</v>
      </c>
      <c r="T21" s="11">
        <v>4</v>
      </c>
      <c r="U21" s="10">
        <v>4</v>
      </c>
      <c r="V21" s="6">
        <f t="shared" ca="1" si="5"/>
        <v>32.871565306333835</v>
      </c>
      <c r="W21" s="6">
        <f t="shared" ca="1" si="5"/>
        <v>33.297210079815031</v>
      </c>
      <c r="X21" s="6">
        <f t="shared" ca="1" si="5"/>
        <v>32.418089856885729</v>
      </c>
      <c r="Y21" s="6">
        <f t="shared" ca="1" si="5"/>
        <v>33.226945230190189</v>
      </c>
      <c r="Z21" s="6">
        <f t="shared" ca="1" si="5"/>
        <v>33.215401411140718</v>
      </c>
      <c r="AA21" s="6">
        <f t="shared" ca="1" si="5"/>
        <v>33.584865869762801</v>
      </c>
      <c r="AB21" s="6">
        <f t="shared" ca="1" si="2"/>
        <v>32.418089856885729</v>
      </c>
      <c r="AC21" s="6">
        <f t="shared" ca="1" si="3"/>
        <v>3</v>
      </c>
      <c r="AF21" s="17" t="s">
        <v>68</v>
      </c>
      <c r="AG21" s="19">
        <f t="shared" ca="1" si="4"/>
        <v>3.048264134610279</v>
      </c>
      <c r="AH21" s="19">
        <f t="shared" ca="1" si="4"/>
        <v>3.0287832573419124</v>
      </c>
      <c r="AI21" s="19">
        <f t="shared" ca="1" si="4"/>
        <v>3.039379873869998</v>
      </c>
      <c r="AJ21" s="19">
        <f t="shared" ca="1" si="4"/>
        <v>2.9992019744201057</v>
      </c>
      <c r="AK21" s="19">
        <f t="shared" ca="1" si="4"/>
        <v>3.0214652861068507</v>
      </c>
      <c r="AL21" s="19">
        <f t="shared" ca="1" si="4"/>
        <v>2.960495289289296</v>
      </c>
      <c r="AM21" s="3" t="s">
        <v>5</v>
      </c>
    </row>
    <row r="22" spans="1:39">
      <c r="A22" s="11">
        <v>21</v>
      </c>
      <c r="B22" s="12">
        <v>5</v>
      </c>
      <c r="C22" s="11">
        <v>3</v>
      </c>
      <c r="D22" s="11">
        <v>4</v>
      </c>
      <c r="E22" s="11">
        <v>3</v>
      </c>
      <c r="F22" s="11">
        <v>4</v>
      </c>
      <c r="G22" s="11">
        <v>2</v>
      </c>
      <c r="H22" s="11">
        <v>3</v>
      </c>
      <c r="I22" s="11">
        <v>2</v>
      </c>
      <c r="J22" s="11">
        <v>4</v>
      </c>
      <c r="K22" s="11">
        <v>1</v>
      </c>
      <c r="L22" s="11">
        <v>3</v>
      </c>
      <c r="M22" s="11">
        <v>5</v>
      </c>
      <c r="N22" s="11">
        <v>3</v>
      </c>
      <c r="O22" s="11">
        <v>2</v>
      </c>
      <c r="P22" s="11">
        <v>3</v>
      </c>
      <c r="Q22" s="11">
        <v>1</v>
      </c>
      <c r="R22" s="11">
        <v>3</v>
      </c>
      <c r="S22" s="11">
        <v>4</v>
      </c>
      <c r="T22" s="11">
        <v>4</v>
      </c>
      <c r="U22" s="10">
        <v>3</v>
      </c>
      <c r="V22" s="6">
        <f t="shared" ca="1" si="5"/>
        <v>24.194908987404837</v>
      </c>
      <c r="W22" s="6">
        <f t="shared" ca="1" si="5"/>
        <v>23.99995526161641</v>
      </c>
      <c r="X22" s="6">
        <f t="shared" ca="1" si="5"/>
        <v>23.894595829321759</v>
      </c>
      <c r="Y22" s="6">
        <f t="shared" ca="1" si="5"/>
        <v>24.265604021073138</v>
      </c>
      <c r="Z22" s="6">
        <f t="shared" ca="1" si="5"/>
        <v>23.99081827761546</v>
      </c>
      <c r="AA22" s="6">
        <f t="shared" ca="1" si="5"/>
        <v>24.3069211774447</v>
      </c>
      <c r="AB22" s="6">
        <f t="shared" ca="1" si="2"/>
        <v>23.894595829321759</v>
      </c>
      <c r="AC22" s="6">
        <f t="shared" ca="1" si="3"/>
        <v>3</v>
      </c>
      <c r="AF22" s="17" t="s">
        <v>71</v>
      </c>
      <c r="AG22" s="18">
        <f ca="1">COUNTIF($AC$2:$AC$341,"1")/340</f>
        <v>0.1588235294117647</v>
      </c>
      <c r="AH22" s="18">
        <f ca="1">COUNTIF($AC$2:$AC$341,"2")/340</f>
        <v>0.3411764705882353</v>
      </c>
      <c r="AI22" s="18">
        <f ca="1">COUNTIF($AC$2:$AC$341,"3")/340</f>
        <v>0.14411764705882352</v>
      </c>
      <c r="AJ22" s="18">
        <f ca="1">COUNTIF($AC$2:$AC$341,"4")/340</f>
        <v>0.17647058823529413</v>
      </c>
      <c r="AK22" s="18">
        <f ca="1">COUNTIF($AC$2:$AC$341,"5")/340</f>
        <v>7.6470588235294124E-2</v>
      </c>
      <c r="AL22" s="18">
        <f ca="1">COUNTIF($AC$2:$AC$341,"6")/340</f>
        <v>0.10294117647058823</v>
      </c>
    </row>
    <row r="23" spans="1:39">
      <c r="A23" s="11">
        <v>22</v>
      </c>
      <c r="B23" s="12">
        <v>2</v>
      </c>
      <c r="C23" s="11">
        <v>2</v>
      </c>
      <c r="D23" s="11">
        <v>2</v>
      </c>
      <c r="E23" s="11">
        <v>2</v>
      </c>
      <c r="F23" s="11">
        <v>3</v>
      </c>
      <c r="G23" s="11">
        <v>2</v>
      </c>
      <c r="H23" s="11">
        <v>3</v>
      </c>
      <c r="I23" s="11">
        <v>2</v>
      </c>
      <c r="J23" s="11">
        <v>2</v>
      </c>
      <c r="K23" s="11">
        <v>3</v>
      </c>
      <c r="L23" s="11">
        <v>4</v>
      </c>
      <c r="M23" s="11">
        <v>3</v>
      </c>
      <c r="N23" s="11">
        <v>3</v>
      </c>
      <c r="O23" s="11">
        <v>4</v>
      </c>
      <c r="P23" s="11">
        <v>4</v>
      </c>
      <c r="Q23" s="11">
        <v>4</v>
      </c>
      <c r="R23" s="11">
        <v>3</v>
      </c>
      <c r="S23" s="11">
        <v>3</v>
      </c>
      <c r="T23" s="11">
        <v>3</v>
      </c>
      <c r="U23" s="10">
        <v>3</v>
      </c>
      <c r="V23" s="6">
        <f t="shared" ca="1" si="5"/>
        <v>11.161810376119346</v>
      </c>
      <c r="W23" s="6">
        <f t="shared" ca="1" si="5"/>
        <v>11.135793660000246</v>
      </c>
      <c r="X23" s="6">
        <f t="shared" ca="1" si="5"/>
        <v>11.295040398687203</v>
      </c>
      <c r="Y23" s="6">
        <f t="shared" ca="1" si="5"/>
        <v>10.853657465309862</v>
      </c>
      <c r="Z23" s="6">
        <f t="shared" ca="1" si="5"/>
        <v>11.003791470955054</v>
      </c>
      <c r="AA23" s="6">
        <f t="shared" ca="1" si="5"/>
        <v>10.999710480391833</v>
      </c>
      <c r="AB23" s="6">
        <f t="shared" ca="1" si="2"/>
        <v>10.853657465309862</v>
      </c>
      <c r="AC23" s="6">
        <f t="shared" ca="1" si="3"/>
        <v>4</v>
      </c>
    </row>
    <row r="24" spans="1:39">
      <c r="A24" s="11">
        <v>23</v>
      </c>
      <c r="B24" s="12">
        <v>5</v>
      </c>
      <c r="C24" s="11">
        <v>3</v>
      </c>
      <c r="D24" s="11">
        <v>4</v>
      </c>
      <c r="E24" s="11">
        <v>3</v>
      </c>
      <c r="F24" s="11">
        <v>4</v>
      </c>
      <c r="G24" s="11">
        <v>3</v>
      </c>
      <c r="H24" s="11">
        <v>3</v>
      </c>
      <c r="I24" s="11">
        <v>2</v>
      </c>
      <c r="J24" s="11">
        <v>2</v>
      </c>
      <c r="K24" s="11">
        <v>3</v>
      </c>
      <c r="L24" s="11">
        <v>2</v>
      </c>
      <c r="M24" s="11">
        <v>4</v>
      </c>
      <c r="N24" s="11">
        <v>2</v>
      </c>
      <c r="O24" s="11">
        <v>4</v>
      </c>
      <c r="P24" s="11">
        <v>4</v>
      </c>
      <c r="Q24" s="11">
        <v>3</v>
      </c>
      <c r="R24" s="11">
        <v>3</v>
      </c>
      <c r="S24" s="11">
        <v>3</v>
      </c>
      <c r="T24" s="11">
        <v>3</v>
      </c>
      <c r="U24" s="10">
        <v>4</v>
      </c>
      <c r="V24" s="6">
        <f t="shared" ca="1" si="5"/>
        <v>13.891007482824287</v>
      </c>
      <c r="W24" s="6">
        <f t="shared" ca="1" si="5"/>
        <v>13.770881194602195</v>
      </c>
      <c r="X24" s="6">
        <f t="shared" ca="1" si="5"/>
        <v>13.83647697513817</v>
      </c>
      <c r="Y24" s="6">
        <f t="shared" ca="1" si="5"/>
        <v>14.017454053211777</v>
      </c>
      <c r="Z24" s="6">
        <f t="shared" ca="1" si="5"/>
        <v>13.855675599578404</v>
      </c>
      <c r="AA24" s="6">
        <f t="shared" ca="1" si="5"/>
        <v>14.398356486840029</v>
      </c>
      <c r="AB24" s="6">
        <f t="shared" ca="1" si="2"/>
        <v>13.770881194602195</v>
      </c>
      <c r="AC24" s="6">
        <f t="shared" ca="1" si="3"/>
        <v>2</v>
      </c>
    </row>
    <row r="25" spans="1:39">
      <c r="A25" s="11">
        <v>24</v>
      </c>
      <c r="B25" s="12">
        <v>2</v>
      </c>
      <c r="C25" s="11">
        <v>2</v>
      </c>
      <c r="D25" s="11">
        <v>2</v>
      </c>
      <c r="E25" s="11">
        <v>2</v>
      </c>
      <c r="F25" s="11">
        <v>2</v>
      </c>
      <c r="G25" s="11">
        <v>2</v>
      </c>
      <c r="H25" s="11">
        <v>3</v>
      </c>
      <c r="I25" s="11">
        <v>2</v>
      </c>
      <c r="J25" s="11">
        <v>2</v>
      </c>
      <c r="K25" s="11">
        <v>2</v>
      </c>
      <c r="L25" s="11">
        <v>1</v>
      </c>
      <c r="M25" s="11">
        <v>3</v>
      </c>
      <c r="N25" s="11">
        <v>2</v>
      </c>
      <c r="O25" s="11">
        <v>3</v>
      </c>
      <c r="P25" s="11">
        <v>4</v>
      </c>
      <c r="Q25" s="11">
        <v>3</v>
      </c>
      <c r="R25" s="11">
        <v>2</v>
      </c>
      <c r="S25" s="11">
        <v>4</v>
      </c>
      <c r="T25" s="11">
        <v>3</v>
      </c>
      <c r="U25" s="10">
        <v>3</v>
      </c>
      <c r="V25" s="6">
        <f t="shared" ca="1" si="5"/>
        <v>16.921822298325086</v>
      </c>
      <c r="W25" s="6">
        <f t="shared" ca="1" si="5"/>
        <v>16.739244258210608</v>
      </c>
      <c r="X25" s="6">
        <f t="shared" ca="1" si="5"/>
        <v>16.972991588584144</v>
      </c>
      <c r="Y25" s="6">
        <f t="shared" ca="1" si="5"/>
        <v>16.759348923368695</v>
      </c>
      <c r="Z25" s="6">
        <f t="shared" ca="1" si="5"/>
        <v>17.478982284110494</v>
      </c>
      <c r="AA25" s="6">
        <f t="shared" ca="1" si="5"/>
        <v>17.053821296960429</v>
      </c>
      <c r="AB25" s="6">
        <f t="shared" ca="1" si="2"/>
        <v>16.739244258210608</v>
      </c>
      <c r="AC25" s="6">
        <f t="shared" ca="1" si="3"/>
        <v>2</v>
      </c>
    </row>
    <row r="26" spans="1:39">
      <c r="A26" s="11">
        <v>25</v>
      </c>
      <c r="B26" s="12">
        <v>2</v>
      </c>
      <c r="C26" s="11">
        <v>2</v>
      </c>
      <c r="D26" s="11">
        <v>2</v>
      </c>
      <c r="E26" s="11">
        <v>5</v>
      </c>
      <c r="F26" s="11">
        <v>4</v>
      </c>
      <c r="G26" s="11">
        <v>3</v>
      </c>
      <c r="H26" s="11">
        <v>3</v>
      </c>
      <c r="I26" s="11">
        <v>3</v>
      </c>
      <c r="J26" s="11">
        <v>2</v>
      </c>
      <c r="K26" s="11">
        <v>3</v>
      </c>
      <c r="L26" s="11">
        <v>3</v>
      </c>
      <c r="M26" s="11">
        <v>3</v>
      </c>
      <c r="N26" s="11">
        <v>3</v>
      </c>
      <c r="O26" s="11">
        <v>3</v>
      </c>
      <c r="P26" s="11">
        <v>3</v>
      </c>
      <c r="Q26" s="11">
        <v>3</v>
      </c>
      <c r="R26" s="11">
        <v>3</v>
      </c>
      <c r="S26" s="11">
        <v>3</v>
      </c>
      <c r="T26" s="11">
        <v>3</v>
      </c>
      <c r="U26" s="10">
        <v>3</v>
      </c>
      <c r="V26" s="6">
        <f t="shared" ca="1" si="5"/>
        <v>9.0893103338466172</v>
      </c>
      <c r="W26" s="6">
        <f t="shared" ca="1" si="5"/>
        <v>8.9112058636810012</v>
      </c>
      <c r="X26" s="6">
        <f t="shared" ca="1" si="5"/>
        <v>9.1148986553401574</v>
      </c>
      <c r="Y26" s="6">
        <f t="shared" ca="1" si="5"/>
        <v>8.9891288149516448</v>
      </c>
      <c r="Z26" s="6">
        <f t="shared" ca="1" si="5"/>
        <v>9.1351795605061259</v>
      </c>
      <c r="AA26" s="6">
        <f t="shared" ca="1" si="5"/>
        <v>9.1518499857371083</v>
      </c>
      <c r="AB26" s="6">
        <f t="shared" ca="1" si="2"/>
        <v>8.9112058636810012</v>
      </c>
      <c r="AC26" s="6">
        <f t="shared" ca="1" si="3"/>
        <v>2</v>
      </c>
    </row>
    <row r="27" spans="1:39">
      <c r="A27" s="11">
        <v>26</v>
      </c>
      <c r="B27" s="12">
        <v>1</v>
      </c>
      <c r="C27" s="11">
        <v>2</v>
      </c>
      <c r="D27" s="11">
        <v>1</v>
      </c>
      <c r="E27" s="11">
        <v>2</v>
      </c>
      <c r="F27" s="11">
        <v>4</v>
      </c>
      <c r="G27" s="11">
        <v>5</v>
      </c>
      <c r="H27" s="11">
        <v>3</v>
      </c>
      <c r="I27" s="11">
        <v>2</v>
      </c>
      <c r="J27" s="11">
        <v>2</v>
      </c>
      <c r="K27" s="11">
        <v>2</v>
      </c>
      <c r="L27" s="11">
        <v>1</v>
      </c>
      <c r="M27" s="11">
        <v>3</v>
      </c>
      <c r="N27" s="11">
        <v>5</v>
      </c>
      <c r="O27" s="11">
        <v>4</v>
      </c>
      <c r="P27" s="11">
        <v>5</v>
      </c>
      <c r="Q27" s="11">
        <v>1</v>
      </c>
      <c r="R27" s="11">
        <v>4</v>
      </c>
      <c r="S27" s="11">
        <v>2</v>
      </c>
      <c r="T27" s="11">
        <v>3</v>
      </c>
      <c r="U27" s="10">
        <v>4</v>
      </c>
      <c r="V27" s="6">
        <f t="shared" ca="1" si="5"/>
        <v>37.864633847599038</v>
      </c>
      <c r="W27" s="6">
        <f t="shared" ca="1" si="5"/>
        <v>37.534274233187766</v>
      </c>
      <c r="X27" s="6">
        <f t="shared" ca="1" si="5"/>
        <v>38.018807467379098</v>
      </c>
      <c r="Y27" s="6">
        <f t="shared" ca="1" si="5"/>
        <v>38.021666059741982</v>
      </c>
      <c r="Z27" s="6">
        <f t="shared" ca="1" si="5"/>
        <v>38.140020957405135</v>
      </c>
      <c r="AA27" s="6">
        <f t="shared" ca="1" si="5"/>
        <v>38.578672432615072</v>
      </c>
      <c r="AB27" s="6">
        <f t="shared" ca="1" si="2"/>
        <v>37.534274233187766</v>
      </c>
      <c r="AC27" s="6">
        <f t="shared" ca="1" si="3"/>
        <v>2</v>
      </c>
      <c r="AE27" s="21"/>
    </row>
    <row r="28" spans="1:39">
      <c r="A28" s="11">
        <v>27</v>
      </c>
      <c r="B28" s="12">
        <v>4</v>
      </c>
      <c r="C28" s="11">
        <v>1</v>
      </c>
      <c r="D28" s="11">
        <v>2</v>
      </c>
      <c r="E28" s="11">
        <v>4</v>
      </c>
      <c r="F28" s="11">
        <v>4</v>
      </c>
      <c r="G28" s="11">
        <v>4</v>
      </c>
      <c r="H28" s="11">
        <v>4</v>
      </c>
      <c r="I28" s="11">
        <v>1</v>
      </c>
      <c r="J28" s="11">
        <v>1</v>
      </c>
      <c r="K28" s="11">
        <v>2</v>
      </c>
      <c r="L28" s="11">
        <v>1</v>
      </c>
      <c r="M28" s="11">
        <v>2</v>
      </c>
      <c r="N28" s="11">
        <v>2</v>
      </c>
      <c r="O28" s="11">
        <v>5</v>
      </c>
      <c r="P28" s="11">
        <v>5</v>
      </c>
      <c r="Q28" s="11">
        <v>5</v>
      </c>
      <c r="R28" s="11">
        <v>2</v>
      </c>
      <c r="S28" s="11">
        <v>1</v>
      </c>
      <c r="T28" s="11">
        <v>2</v>
      </c>
      <c r="U28" s="10">
        <v>4</v>
      </c>
      <c r="V28" s="6">
        <f t="shared" ca="1" si="5"/>
        <v>43.736574257829069</v>
      </c>
      <c r="W28" s="6">
        <f t="shared" ca="1" si="5"/>
        <v>43.826408600128723</v>
      </c>
      <c r="X28" s="6">
        <f t="shared" ca="1" si="5"/>
        <v>44.034828631322931</v>
      </c>
      <c r="Y28" s="6">
        <f t="shared" ca="1" si="5"/>
        <v>43.817081396040066</v>
      </c>
      <c r="Z28" s="6">
        <f t="shared" ca="1" si="5"/>
        <v>44.278620187650098</v>
      </c>
      <c r="AA28" s="6">
        <f t="shared" ca="1" si="5"/>
        <v>44.652793592105887</v>
      </c>
      <c r="AB28" s="6">
        <f t="shared" ca="1" si="2"/>
        <v>43.736574257829069</v>
      </c>
      <c r="AC28" s="6">
        <f t="shared" ca="1" si="3"/>
        <v>1</v>
      </c>
      <c r="AE28" s="21"/>
    </row>
    <row r="29" spans="1:39">
      <c r="A29" s="11">
        <v>28</v>
      </c>
      <c r="B29" s="12">
        <v>2</v>
      </c>
      <c r="C29" s="11">
        <v>2</v>
      </c>
      <c r="D29" s="11">
        <v>2</v>
      </c>
      <c r="E29" s="11">
        <v>2</v>
      </c>
      <c r="F29" s="11">
        <v>1</v>
      </c>
      <c r="G29" s="11">
        <v>3</v>
      </c>
      <c r="H29" s="11">
        <v>3</v>
      </c>
      <c r="I29" s="11">
        <v>1</v>
      </c>
      <c r="J29" s="11">
        <v>2</v>
      </c>
      <c r="K29" s="11">
        <v>4</v>
      </c>
      <c r="L29" s="11">
        <v>1</v>
      </c>
      <c r="M29" s="11">
        <v>3</v>
      </c>
      <c r="N29" s="11">
        <v>2</v>
      </c>
      <c r="O29" s="11">
        <v>4</v>
      </c>
      <c r="P29" s="11">
        <v>3</v>
      </c>
      <c r="Q29" s="11">
        <v>2</v>
      </c>
      <c r="R29" s="11">
        <v>3</v>
      </c>
      <c r="S29" s="11">
        <v>4</v>
      </c>
      <c r="T29" s="11">
        <v>4</v>
      </c>
      <c r="U29" s="10">
        <v>3</v>
      </c>
      <c r="V29" s="6">
        <f t="shared" ca="1" si="5"/>
        <v>23.130143186183464</v>
      </c>
      <c r="W29" s="6">
        <f t="shared" ca="1" si="5"/>
        <v>22.734588413002822</v>
      </c>
      <c r="X29" s="6">
        <f t="shared" ca="1" si="5"/>
        <v>22.784534616213445</v>
      </c>
      <c r="Y29" s="6">
        <f t="shared" ca="1" si="5"/>
        <v>22.912781956867864</v>
      </c>
      <c r="Z29" s="6">
        <f t="shared" ca="1" si="5"/>
        <v>23.386011446488968</v>
      </c>
      <c r="AA29" s="6">
        <f t="shared" ca="1" si="5"/>
        <v>23.143473454271746</v>
      </c>
      <c r="AB29" s="6">
        <f t="shared" ca="1" si="2"/>
        <v>22.734588413002822</v>
      </c>
      <c r="AC29" s="6">
        <f t="shared" ca="1" si="3"/>
        <v>2</v>
      </c>
      <c r="AE29" s="21"/>
    </row>
    <row r="30" spans="1:39">
      <c r="A30" s="11">
        <v>29</v>
      </c>
      <c r="B30" s="12">
        <v>2</v>
      </c>
      <c r="C30" s="11">
        <v>3</v>
      </c>
      <c r="D30" s="11">
        <v>4</v>
      </c>
      <c r="E30" s="11">
        <v>3</v>
      </c>
      <c r="F30" s="11">
        <v>2</v>
      </c>
      <c r="G30" s="11">
        <v>3</v>
      </c>
      <c r="H30" s="11">
        <v>2</v>
      </c>
      <c r="I30" s="11">
        <v>1</v>
      </c>
      <c r="J30" s="11">
        <v>2</v>
      </c>
      <c r="K30" s="11">
        <v>1</v>
      </c>
      <c r="L30" s="11">
        <v>2</v>
      </c>
      <c r="M30" s="11">
        <v>3</v>
      </c>
      <c r="N30" s="11">
        <v>5</v>
      </c>
      <c r="O30" s="11">
        <v>4</v>
      </c>
      <c r="P30" s="11">
        <v>5</v>
      </c>
      <c r="Q30" s="11">
        <v>4</v>
      </c>
      <c r="R30" s="11">
        <v>3</v>
      </c>
      <c r="S30" s="11">
        <v>2</v>
      </c>
      <c r="T30" s="11">
        <v>3</v>
      </c>
      <c r="U30" s="10">
        <v>4</v>
      </c>
      <c r="V30" s="6">
        <f t="shared" ca="1" si="5"/>
        <v>25.793932395813194</v>
      </c>
      <c r="W30" s="6">
        <f t="shared" ca="1" si="5"/>
        <v>26.113917987784674</v>
      </c>
      <c r="X30" s="6">
        <f t="shared" ca="1" si="5"/>
        <v>25.747146079806999</v>
      </c>
      <c r="Y30" s="6">
        <f t="shared" ca="1" si="5"/>
        <v>26.095427795249865</v>
      </c>
      <c r="Z30" s="6">
        <f t="shared" ca="1" si="5"/>
        <v>26.358072851684124</v>
      </c>
      <c r="AA30" s="6">
        <f t="shared" ca="1" si="5"/>
        <v>26.41630185349284</v>
      </c>
      <c r="AB30" s="6">
        <f t="shared" ca="1" si="2"/>
        <v>25.747146079806999</v>
      </c>
      <c r="AC30" s="6">
        <f t="shared" ca="1" si="3"/>
        <v>3</v>
      </c>
      <c r="AE30" s="21"/>
    </row>
    <row r="31" spans="1:39">
      <c r="A31" s="11">
        <v>30</v>
      </c>
      <c r="B31" s="12">
        <v>4</v>
      </c>
      <c r="C31" s="11">
        <v>3</v>
      </c>
      <c r="D31" s="11">
        <v>1</v>
      </c>
      <c r="E31" s="11">
        <v>5</v>
      </c>
      <c r="F31" s="11">
        <v>1</v>
      </c>
      <c r="G31" s="11">
        <v>1</v>
      </c>
      <c r="H31" s="11">
        <v>3</v>
      </c>
      <c r="I31" s="11">
        <v>3</v>
      </c>
      <c r="J31" s="11">
        <v>3</v>
      </c>
      <c r="K31" s="11">
        <v>4</v>
      </c>
      <c r="L31" s="11">
        <v>1</v>
      </c>
      <c r="M31" s="11">
        <v>1</v>
      </c>
      <c r="N31" s="11">
        <v>4</v>
      </c>
      <c r="O31" s="11">
        <v>2</v>
      </c>
      <c r="P31" s="11">
        <v>5</v>
      </c>
      <c r="Q31" s="11">
        <v>1</v>
      </c>
      <c r="R31" s="11">
        <v>1</v>
      </c>
      <c r="S31" s="11">
        <v>1</v>
      </c>
      <c r="T31" s="11">
        <v>3</v>
      </c>
      <c r="U31" s="10">
        <v>1</v>
      </c>
      <c r="V31" s="6">
        <f t="shared" ca="1" si="5"/>
        <v>48.294638255133925</v>
      </c>
      <c r="W31" s="6">
        <f t="shared" ca="1" si="5"/>
        <v>48.409498028617548</v>
      </c>
      <c r="X31" s="6">
        <f t="shared" ca="1" si="5"/>
        <v>48.121289951178916</v>
      </c>
      <c r="Y31" s="6">
        <f t="shared" ca="1" si="5"/>
        <v>48.37866974212254</v>
      </c>
      <c r="Z31" s="6">
        <f t="shared" ca="1" si="5"/>
        <v>48.283011522218928</v>
      </c>
      <c r="AA31" s="6">
        <f t="shared" ca="1" si="5"/>
        <v>47.638837902962578</v>
      </c>
      <c r="AB31" s="6">
        <f t="shared" ca="1" si="2"/>
        <v>47.638837902962578</v>
      </c>
      <c r="AC31" s="6">
        <f t="shared" ca="1" si="3"/>
        <v>6</v>
      </c>
      <c r="AE31" s="21"/>
    </row>
    <row r="32" spans="1:39">
      <c r="A32" s="11">
        <v>31</v>
      </c>
      <c r="B32" s="12">
        <v>3</v>
      </c>
      <c r="C32" s="11">
        <v>2</v>
      </c>
      <c r="D32" s="11">
        <v>2</v>
      </c>
      <c r="E32" s="11">
        <v>4</v>
      </c>
      <c r="F32" s="11">
        <v>4</v>
      </c>
      <c r="G32" s="11">
        <v>4</v>
      </c>
      <c r="H32" s="11">
        <v>3</v>
      </c>
      <c r="I32" s="11">
        <v>2</v>
      </c>
      <c r="J32" s="11">
        <v>2</v>
      </c>
      <c r="K32" s="11">
        <v>2</v>
      </c>
      <c r="L32" s="11">
        <v>2</v>
      </c>
      <c r="M32" s="11">
        <v>2</v>
      </c>
      <c r="N32" s="11">
        <v>2</v>
      </c>
      <c r="O32" s="11">
        <v>2</v>
      </c>
      <c r="P32" s="11">
        <v>2</v>
      </c>
      <c r="Q32" s="11">
        <v>2</v>
      </c>
      <c r="R32" s="11">
        <v>3</v>
      </c>
      <c r="S32" s="11">
        <v>4</v>
      </c>
      <c r="T32" s="11">
        <v>2</v>
      </c>
      <c r="U32" s="10">
        <v>5</v>
      </c>
      <c r="V32" s="6">
        <f t="shared" ca="1" si="5"/>
        <v>19.860008325833679</v>
      </c>
      <c r="W32" s="6">
        <f t="shared" ca="1" si="5"/>
        <v>19.490991227267617</v>
      </c>
      <c r="X32" s="6">
        <f t="shared" ca="1" si="5"/>
        <v>19.619193472323879</v>
      </c>
      <c r="Y32" s="6">
        <f t="shared" ca="1" si="5"/>
        <v>19.907079891094661</v>
      </c>
      <c r="Z32" s="6">
        <f t="shared" ca="1" si="5"/>
        <v>20.176997374134398</v>
      </c>
      <c r="AA32" s="6">
        <f t="shared" ca="1" si="5"/>
        <v>20.590998363658318</v>
      </c>
      <c r="AB32" s="6">
        <f t="shared" ca="1" si="2"/>
        <v>19.490991227267617</v>
      </c>
      <c r="AC32" s="6">
        <f t="shared" ca="1" si="3"/>
        <v>2</v>
      </c>
      <c r="AE32" s="21"/>
    </row>
    <row r="33" spans="1:29">
      <c r="A33" s="11">
        <v>32</v>
      </c>
      <c r="B33" s="12">
        <v>4</v>
      </c>
      <c r="C33" s="11">
        <v>2</v>
      </c>
      <c r="D33" s="11">
        <v>2</v>
      </c>
      <c r="E33" s="11">
        <v>2</v>
      </c>
      <c r="F33" s="11">
        <v>3</v>
      </c>
      <c r="G33" s="11">
        <v>3</v>
      </c>
      <c r="H33" s="11">
        <v>4</v>
      </c>
      <c r="I33" s="11">
        <v>1</v>
      </c>
      <c r="J33" s="11">
        <v>1</v>
      </c>
      <c r="K33" s="11">
        <v>3</v>
      </c>
      <c r="L33" s="11">
        <v>2</v>
      </c>
      <c r="M33" s="11">
        <v>2</v>
      </c>
      <c r="N33" s="11">
        <v>3</v>
      </c>
      <c r="O33" s="11">
        <v>4</v>
      </c>
      <c r="P33" s="11">
        <v>5</v>
      </c>
      <c r="Q33" s="11">
        <v>3</v>
      </c>
      <c r="R33" s="11">
        <v>2</v>
      </c>
      <c r="S33" s="11">
        <v>1</v>
      </c>
      <c r="T33" s="11">
        <v>3</v>
      </c>
      <c r="U33" s="10">
        <v>1</v>
      </c>
      <c r="V33" s="6">
        <f t="shared" ca="1" si="5"/>
        <v>29.136176724898618</v>
      </c>
      <c r="W33" s="6">
        <f t="shared" ca="1" si="5"/>
        <v>29.127147208647489</v>
      </c>
      <c r="X33" s="6">
        <f t="shared" ca="1" si="5"/>
        <v>29.202504416720338</v>
      </c>
      <c r="Y33" s="6">
        <f t="shared" ca="1" si="5"/>
        <v>28.918724136667759</v>
      </c>
      <c r="Z33" s="6">
        <f t="shared" ca="1" si="5"/>
        <v>29.210528347242892</v>
      </c>
      <c r="AA33" s="6">
        <f t="shared" ca="1" si="5"/>
        <v>29.162506241579845</v>
      </c>
      <c r="AB33" s="6">
        <f t="shared" ca="1" si="2"/>
        <v>28.918724136667759</v>
      </c>
      <c r="AC33" s="6">
        <f t="shared" ca="1" si="3"/>
        <v>4</v>
      </c>
    </row>
    <row r="34" spans="1:29">
      <c r="A34" s="11">
        <v>33</v>
      </c>
      <c r="B34" s="12">
        <v>2</v>
      </c>
      <c r="C34" s="11">
        <v>2</v>
      </c>
      <c r="D34" s="11">
        <v>3</v>
      </c>
      <c r="E34" s="11">
        <v>5</v>
      </c>
      <c r="F34" s="11">
        <v>3</v>
      </c>
      <c r="G34" s="11">
        <v>3</v>
      </c>
      <c r="H34" s="11">
        <v>4</v>
      </c>
      <c r="I34" s="11">
        <v>3</v>
      </c>
      <c r="J34" s="11">
        <v>4</v>
      </c>
      <c r="K34" s="11">
        <v>2</v>
      </c>
      <c r="L34" s="11">
        <v>2</v>
      </c>
      <c r="M34" s="11">
        <v>1</v>
      </c>
      <c r="N34" s="11">
        <v>2</v>
      </c>
      <c r="O34" s="11">
        <v>2</v>
      </c>
      <c r="P34" s="11">
        <v>1</v>
      </c>
      <c r="Q34" s="11">
        <v>5</v>
      </c>
      <c r="R34" s="11">
        <v>1</v>
      </c>
      <c r="S34" s="11">
        <v>1</v>
      </c>
      <c r="T34" s="11">
        <v>1</v>
      </c>
      <c r="U34" s="10">
        <v>5</v>
      </c>
      <c r="V34" s="6">
        <f t="shared" ca="1" si="5"/>
        <v>39.448703567775439</v>
      </c>
      <c r="W34" s="6">
        <f t="shared" ca="1" si="5"/>
        <v>40.165686547754319</v>
      </c>
      <c r="X34" s="6">
        <f t="shared" ca="1" si="5"/>
        <v>40.00409604687303</v>
      </c>
      <c r="Y34" s="6">
        <f t="shared" ca="1" si="5"/>
        <v>39.963385128365246</v>
      </c>
      <c r="Z34" s="6">
        <f t="shared" ca="1" si="5"/>
        <v>40.484917975718162</v>
      </c>
      <c r="AA34" s="6">
        <f t="shared" ca="1" si="5"/>
        <v>39.893613343012412</v>
      </c>
      <c r="AB34" s="6">
        <f t="shared" ca="1" si="2"/>
        <v>39.448703567775439</v>
      </c>
      <c r="AC34" s="6">
        <f t="shared" ca="1" si="3"/>
        <v>1</v>
      </c>
    </row>
    <row r="35" spans="1:29">
      <c r="A35" s="11">
        <v>34</v>
      </c>
      <c r="B35" s="12">
        <v>2</v>
      </c>
      <c r="C35" s="11">
        <v>2</v>
      </c>
      <c r="D35" s="11">
        <v>2</v>
      </c>
      <c r="E35" s="11">
        <v>2</v>
      </c>
      <c r="F35" s="11">
        <v>4</v>
      </c>
      <c r="G35" s="11">
        <v>4</v>
      </c>
      <c r="H35" s="11">
        <v>4</v>
      </c>
      <c r="I35" s="11">
        <v>1</v>
      </c>
      <c r="J35" s="11">
        <v>1</v>
      </c>
      <c r="K35" s="11">
        <v>2</v>
      </c>
      <c r="L35" s="11">
        <v>2</v>
      </c>
      <c r="M35" s="11">
        <v>2</v>
      </c>
      <c r="N35" s="11">
        <v>4</v>
      </c>
      <c r="O35" s="11">
        <v>5</v>
      </c>
      <c r="P35" s="11">
        <v>5</v>
      </c>
      <c r="Q35" s="11">
        <v>5</v>
      </c>
      <c r="R35" s="11">
        <v>2</v>
      </c>
      <c r="S35" s="11">
        <v>1</v>
      </c>
      <c r="T35" s="11">
        <v>4</v>
      </c>
      <c r="U35" s="10">
        <v>5</v>
      </c>
      <c r="V35" s="6">
        <f t="shared" ca="1" si="5"/>
        <v>40.509472288405718</v>
      </c>
      <c r="W35" s="6">
        <f t="shared" ca="1" si="5"/>
        <v>41.060667540190529</v>
      </c>
      <c r="X35" s="6">
        <f t="shared" ca="1" si="5"/>
        <v>40.974290844482596</v>
      </c>
      <c r="Y35" s="6">
        <f t="shared" ca="1" si="5"/>
        <v>40.735458941357194</v>
      </c>
      <c r="Z35" s="6">
        <f t="shared" ca="1" si="5"/>
        <v>41.306416607399989</v>
      </c>
      <c r="AA35" s="6">
        <f t="shared" ca="1" si="5"/>
        <v>41.745327804021898</v>
      </c>
      <c r="AB35" s="6">
        <f t="shared" ca="1" si="2"/>
        <v>40.509472288405718</v>
      </c>
      <c r="AC35" s="6">
        <f t="shared" ca="1" si="3"/>
        <v>1</v>
      </c>
    </row>
    <row r="36" spans="1:29">
      <c r="A36" s="11">
        <v>35</v>
      </c>
      <c r="B36" s="12">
        <v>5</v>
      </c>
      <c r="C36" s="11">
        <v>4</v>
      </c>
      <c r="D36" s="11">
        <v>4</v>
      </c>
      <c r="E36" s="11">
        <v>5</v>
      </c>
      <c r="F36" s="11">
        <v>5</v>
      </c>
      <c r="G36" s="11">
        <v>4</v>
      </c>
      <c r="H36" s="11">
        <v>4</v>
      </c>
      <c r="I36" s="11">
        <v>3</v>
      </c>
      <c r="J36" s="11">
        <v>4</v>
      </c>
      <c r="K36" s="11">
        <v>2</v>
      </c>
      <c r="L36" s="11">
        <v>1</v>
      </c>
      <c r="M36" s="11">
        <v>2</v>
      </c>
      <c r="N36" s="11">
        <v>3</v>
      </c>
      <c r="O36" s="11">
        <v>2</v>
      </c>
      <c r="P36" s="11">
        <v>4</v>
      </c>
      <c r="Q36" s="11">
        <v>4</v>
      </c>
      <c r="R36" s="11">
        <v>3</v>
      </c>
      <c r="S36" s="11">
        <v>4</v>
      </c>
      <c r="T36" s="11">
        <v>4</v>
      </c>
      <c r="U36" s="10">
        <v>4</v>
      </c>
      <c r="V36" s="6">
        <f t="shared" ca="1" si="5"/>
        <v>28.748119122434147</v>
      </c>
      <c r="W36" s="6">
        <f t="shared" ca="1" si="5"/>
        <v>28.830609271190976</v>
      </c>
      <c r="X36" s="6">
        <f t="shared" ca="1" si="5"/>
        <v>28.623707955960519</v>
      </c>
      <c r="Y36" s="6">
        <f t="shared" ca="1" si="5"/>
        <v>29.165422313391048</v>
      </c>
      <c r="Z36" s="6">
        <f t="shared" ca="1" si="5"/>
        <v>28.931242051362613</v>
      </c>
      <c r="AA36" s="6">
        <f t="shared" ca="1" si="5"/>
        <v>29.714150703934166</v>
      </c>
      <c r="AB36" s="6">
        <f t="shared" ca="1" si="2"/>
        <v>28.623707955960519</v>
      </c>
      <c r="AC36" s="6">
        <f t="shared" ca="1" si="3"/>
        <v>3</v>
      </c>
    </row>
    <row r="37" spans="1:29">
      <c r="A37" s="11">
        <v>36</v>
      </c>
      <c r="B37" s="12">
        <v>3</v>
      </c>
      <c r="C37" s="11">
        <v>2</v>
      </c>
      <c r="D37" s="11">
        <v>2</v>
      </c>
      <c r="E37" s="11">
        <v>2</v>
      </c>
      <c r="F37" s="11">
        <v>2</v>
      </c>
      <c r="G37" s="11">
        <v>3</v>
      </c>
      <c r="H37" s="11">
        <v>3</v>
      </c>
      <c r="I37" s="11">
        <v>4</v>
      </c>
      <c r="J37" s="11">
        <v>2</v>
      </c>
      <c r="K37" s="11">
        <v>3</v>
      </c>
      <c r="L37" s="11">
        <v>3</v>
      </c>
      <c r="M37" s="11">
        <v>4</v>
      </c>
      <c r="N37" s="11">
        <v>5</v>
      </c>
      <c r="O37" s="11">
        <v>4</v>
      </c>
      <c r="P37" s="11">
        <v>4</v>
      </c>
      <c r="Q37" s="11">
        <v>2</v>
      </c>
      <c r="R37" s="11">
        <v>2</v>
      </c>
      <c r="S37" s="11">
        <v>2</v>
      </c>
      <c r="T37" s="11">
        <v>2</v>
      </c>
      <c r="U37" s="10">
        <v>1</v>
      </c>
      <c r="V37" s="6">
        <f t="shared" ca="1" si="5"/>
        <v>21.22722667750817</v>
      </c>
      <c r="W37" s="6">
        <f t="shared" ca="1" si="5"/>
        <v>21.09073622540669</v>
      </c>
      <c r="X37" s="6">
        <f t="shared" ca="1" si="5"/>
        <v>21.376049555424231</v>
      </c>
      <c r="Y37" s="6">
        <f t="shared" ca="1" si="5"/>
        <v>20.974555983257773</v>
      </c>
      <c r="Z37" s="6">
        <f t="shared" ca="1" si="5"/>
        <v>21.012423632292293</v>
      </c>
      <c r="AA37" s="6">
        <f t="shared" ca="1" si="5"/>
        <v>20.696729899262831</v>
      </c>
      <c r="AB37" s="6">
        <f t="shared" ca="1" si="2"/>
        <v>20.696729899262831</v>
      </c>
      <c r="AC37" s="6">
        <f t="shared" ca="1" si="3"/>
        <v>6</v>
      </c>
    </row>
    <row r="38" spans="1:29">
      <c r="A38" s="11">
        <v>37</v>
      </c>
      <c r="B38" s="12">
        <v>1</v>
      </c>
      <c r="C38" s="11">
        <v>1</v>
      </c>
      <c r="D38" s="11">
        <v>1</v>
      </c>
      <c r="E38" s="11">
        <v>2</v>
      </c>
      <c r="F38" s="11">
        <v>4</v>
      </c>
      <c r="G38" s="11">
        <v>3</v>
      </c>
      <c r="H38" s="11">
        <v>4</v>
      </c>
      <c r="I38" s="11">
        <v>2</v>
      </c>
      <c r="J38" s="11">
        <v>4</v>
      </c>
      <c r="K38" s="11">
        <v>4</v>
      </c>
      <c r="L38" s="11">
        <v>1</v>
      </c>
      <c r="M38" s="11">
        <v>3</v>
      </c>
      <c r="N38" s="11">
        <v>3</v>
      </c>
      <c r="O38" s="11">
        <v>2</v>
      </c>
      <c r="P38" s="11">
        <v>1</v>
      </c>
      <c r="Q38" s="11">
        <v>1</v>
      </c>
      <c r="R38" s="11">
        <v>1</v>
      </c>
      <c r="S38" s="11">
        <v>1</v>
      </c>
      <c r="T38" s="11">
        <v>1</v>
      </c>
      <c r="U38" s="10">
        <v>1</v>
      </c>
      <c r="V38" s="6">
        <f t="shared" ca="1" si="5"/>
        <v>46.888701033722477</v>
      </c>
      <c r="W38" s="6">
        <f t="shared" ca="1" si="5"/>
        <v>47.177912013222482</v>
      </c>
      <c r="X38" s="6">
        <f t="shared" ca="1" si="5"/>
        <v>47.692625382626993</v>
      </c>
      <c r="Y38" s="6">
        <f t="shared" ca="1" si="5"/>
        <v>47.14144147875988</v>
      </c>
      <c r="Z38" s="6">
        <f t="shared" ca="1" si="5"/>
        <v>47.467061528037924</v>
      </c>
      <c r="AA38" s="6">
        <f t="shared" ca="1" si="5"/>
        <v>46.384489419563913</v>
      </c>
      <c r="AB38" s="6">
        <f t="shared" ca="1" si="2"/>
        <v>46.384489419563913</v>
      </c>
      <c r="AC38" s="6">
        <f t="shared" ca="1" si="3"/>
        <v>6</v>
      </c>
    </row>
    <row r="39" spans="1:29">
      <c r="A39" s="11">
        <v>38</v>
      </c>
      <c r="B39" s="12">
        <v>3</v>
      </c>
      <c r="C39" s="11">
        <v>2</v>
      </c>
      <c r="D39" s="11">
        <v>1</v>
      </c>
      <c r="E39" s="11">
        <v>2</v>
      </c>
      <c r="F39" s="11">
        <v>3</v>
      </c>
      <c r="G39" s="11">
        <v>4</v>
      </c>
      <c r="H39" s="11">
        <v>3</v>
      </c>
      <c r="I39" s="11">
        <v>3</v>
      </c>
      <c r="J39" s="11">
        <v>1</v>
      </c>
      <c r="K39" s="11">
        <v>4</v>
      </c>
      <c r="L39" s="11">
        <v>1</v>
      </c>
      <c r="M39" s="11">
        <v>1</v>
      </c>
      <c r="N39" s="11">
        <v>2</v>
      </c>
      <c r="O39" s="11">
        <v>5</v>
      </c>
      <c r="P39" s="11">
        <v>3</v>
      </c>
      <c r="Q39" s="11">
        <v>2</v>
      </c>
      <c r="R39" s="11">
        <v>3</v>
      </c>
      <c r="S39" s="11">
        <v>1</v>
      </c>
      <c r="T39" s="11">
        <v>3</v>
      </c>
      <c r="U39" s="10">
        <v>4</v>
      </c>
      <c r="V39" s="6">
        <f t="shared" ca="1" si="5"/>
        <v>30.842442522390463</v>
      </c>
      <c r="W39" s="6">
        <f t="shared" ca="1" si="5"/>
        <v>30.660672706910422</v>
      </c>
      <c r="X39" s="6">
        <f t="shared" ca="1" si="5"/>
        <v>30.867197098350299</v>
      </c>
      <c r="Y39" s="6">
        <f t="shared" ca="1" si="5"/>
        <v>30.641423345533852</v>
      </c>
      <c r="Z39" s="6">
        <f t="shared" ca="1" si="5"/>
        <v>31.170473337426575</v>
      </c>
      <c r="AA39" s="6">
        <f t="shared" ca="1" si="5"/>
        <v>31.426515688950953</v>
      </c>
      <c r="AB39" s="6">
        <f t="shared" ca="1" si="2"/>
        <v>30.641423345533852</v>
      </c>
      <c r="AC39" s="6">
        <f t="shared" ca="1" si="3"/>
        <v>4</v>
      </c>
    </row>
    <row r="40" spans="1:29">
      <c r="A40" s="11">
        <v>39</v>
      </c>
      <c r="B40" s="12">
        <v>3</v>
      </c>
      <c r="C40" s="11">
        <v>3</v>
      </c>
      <c r="D40" s="11">
        <v>4</v>
      </c>
      <c r="E40" s="11">
        <v>3</v>
      </c>
      <c r="F40" s="11">
        <v>4</v>
      </c>
      <c r="G40" s="11">
        <v>2</v>
      </c>
      <c r="H40" s="11">
        <v>3</v>
      </c>
      <c r="I40" s="11">
        <v>2</v>
      </c>
      <c r="J40" s="11">
        <v>2</v>
      </c>
      <c r="K40" s="11">
        <v>2</v>
      </c>
      <c r="L40" s="11">
        <v>2</v>
      </c>
      <c r="M40" s="11">
        <v>2</v>
      </c>
      <c r="N40" s="11">
        <v>2</v>
      </c>
      <c r="O40" s="11">
        <v>4</v>
      </c>
      <c r="P40" s="11">
        <v>3</v>
      </c>
      <c r="Q40" s="11">
        <v>3</v>
      </c>
      <c r="R40" s="11">
        <v>2</v>
      </c>
      <c r="S40" s="11">
        <v>3</v>
      </c>
      <c r="T40" s="11">
        <v>3</v>
      </c>
      <c r="U40" s="10">
        <v>4</v>
      </c>
      <c r="V40" s="6">
        <f t="shared" ca="1" si="5"/>
        <v>11.92563545763721</v>
      </c>
      <c r="W40" s="6">
        <f t="shared" ca="1" si="5"/>
        <v>11.857690666964821</v>
      </c>
      <c r="X40" s="6">
        <f t="shared" ca="1" si="5"/>
        <v>11.81633978433708</v>
      </c>
      <c r="Y40" s="6">
        <f t="shared" ca="1" si="5"/>
        <v>11.865263558811565</v>
      </c>
      <c r="Z40" s="6">
        <f t="shared" ca="1" si="5"/>
        <v>12.177463665725336</v>
      </c>
      <c r="AA40" s="6">
        <f t="shared" ca="1" si="5"/>
        <v>12.350772242299668</v>
      </c>
      <c r="AB40" s="6">
        <f t="shared" ca="1" si="2"/>
        <v>11.81633978433708</v>
      </c>
      <c r="AC40" s="6">
        <f t="shared" ca="1" si="3"/>
        <v>3</v>
      </c>
    </row>
    <row r="41" spans="1:29">
      <c r="A41" s="11">
        <v>40</v>
      </c>
      <c r="B41" s="12">
        <v>3</v>
      </c>
      <c r="C41" s="11">
        <v>3</v>
      </c>
      <c r="D41" s="11">
        <v>4</v>
      </c>
      <c r="E41" s="11">
        <v>2</v>
      </c>
      <c r="F41" s="11">
        <v>4</v>
      </c>
      <c r="G41" s="11">
        <v>3</v>
      </c>
      <c r="H41" s="11">
        <v>2</v>
      </c>
      <c r="I41" s="11">
        <v>3</v>
      </c>
      <c r="J41" s="11">
        <v>4</v>
      </c>
      <c r="K41" s="11">
        <v>3</v>
      </c>
      <c r="L41" s="11">
        <v>4</v>
      </c>
      <c r="M41" s="11">
        <v>2</v>
      </c>
      <c r="N41" s="11">
        <v>1</v>
      </c>
      <c r="O41" s="11">
        <v>1</v>
      </c>
      <c r="P41" s="11">
        <v>5</v>
      </c>
      <c r="Q41" s="11">
        <v>4</v>
      </c>
      <c r="R41" s="11">
        <v>3</v>
      </c>
      <c r="S41" s="11">
        <v>4</v>
      </c>
      <c r="T41" s="11">
        <v>5</v>
      </c>
      <c r="U41" s="10">
        <v>2</v>
      </c>
      <c r="V41" s="6">
        <f t="shared" ca="1" si="5"/>
        <v>26.041903948584935</v>
      </c>
      <c r="W41" s="6">
        <f t="shared" ca="1" si="5"/>
        <v>26.049531037424178</v>
      </c>
      <c r="X41" s="6">
        <f t="shared" ca="1" si="5"/>
        <v>26.08667713605568</v>
      </c>
      <c r="Y41" s="6">
        <f t="shared" ca="1" si="5"/>
        <v>25.884645436866904</v>
      </c>
      <c r="Z41" s="6">
        <f t="shared" ca="1" si="5"/>
        <v>26.19429575199559</v>
      </c>
      <c r="AA41" s="6">
        <f t="shared" ca="1" si="5"/>
        <v>25.810305699627733</v>
      </c>
      <c r="AB41" s="6">
        <f t="shared" ca="1" si="2"/>
        <v>25.810305699627733</v>
      </c>
      <c r="AC41" s="6">
        <f t="shared" ca="1" si="3"/>
        <v>6</v>
      </c>
    </row>
    <row r="42" spans="1:29">
      <c r="A42" s="11">
        <v>41</v>
      </c>
      <c r="B42" s="12">
        <v>2</v>
      </c>
      <c r="C42" s="11">
        <v>2</v>
      </c>
      <c r="D42" s="11">
        <v>2</v>
      </c>
      <c r="E42" s="11">
        <v>2</v>
      </c>
      <c r="F42" s="11">
        <v>2</v>
      </c>
      <c r="G42" s="11">
        <v>4</v>
      </c>
      <c r="H42" s="11">
        <v>3</v>
      </c>
      <c r="I42" s="11">
        <v>1</v>
      </c>
      <c r="J42" s="11">
        <v>1</v>
      </c>
      <c r="K42" s="11">
        <v>3</v>
      </c>
      <c r="L42" s="11">
        <v>2</v>
      </c>
      <c r="M42" s="11">
        <v>4</v>
      </c>
      <c r="N42" s="11">
        <v>4</v>
      </c>
      <c r="O42" s="11">
        <v>4</v>
      </c>
      <c r="P42" s="11">
        <v>4</v>
      </c>
      <c r="Q42" s="11">
        <v>2</v>
      </c>
      <c r="R42" s="11">
        <v>3</v>
      </c>
      <c r="S42" s="11">
        <v>2</v>
      </c>
      <c r="T42" s="11">
        <v>2</v>
      </c>
      <c r="U42" s="10">
        <v>4</v>
      </c>
      <c r="V42" s="6">
        <f t="shared" ca="1" si="5"/>
        <v>22.842805352922856</v>
      </c>
      <c r="W42" s="6">
        <f t="shared" ca="1" si="5"/>
        <v>22.749115951790809</v>
      </c>
      <c r="X42" s="6">
        <f t="shared" ca="1" si="5"/>
        <v>22.930166648467189</v>
      </c>
      <c r="Y42" s="6">
        <f t="shared" ca="1" si="5"/>
        <v>23.02237347082411</v>
      </c>
      <c r="Z42" s="6">
        <f t="shared" ca="1" si="5"/>
        <v>23.161050732115712</v>
      </c>
      <c r="AA42" s="6">
        <f t="shared" ca="1" si="5"/>
        <v>23.208382193622601</v>
      </c>
      <c r="AB42" s="6">
        <f t="shared" ca="1" si="2"/>
        <v>22.749115951790809</v>
      </c>
      <c r="AC42" s="6">
        <f t="shared" ca="1" si="3"/>
        <v>2</v>
      </c>
    </row>
    <row r="43" spans="1:29">
      <c r="A43" s="11">
        <v>42</v>
      </c>
      <c r="B43" s="12">
        <v>2</v>
      </c>
      <c r="C43" s="11">
        <v>3</v>
      </c>
      <c r="D43" s="11">
        <v>2</v>
      </c>
      <c r="E43" s="11">
        <v>1</v>
      </c>
      <c r="F43" s="11">
        <v>2</v>
      </c>
      <c r="G43" s="11">
        <v>2</v>
      </c>
      <c r="H43" s="11">
        <v>3</v>
      </c>
      <c r="I43" s="11">
        <v>1</v>
      </c>
      <c r="J43" s="11">
        <v>1</v>
      </c>
      <c r="K43" s="11">
        <v>2</v>
      </c>
      <c r="L43" s="11">
        <v>2</v>
      </c>
      <c r="M43" s="11">
        <v>1</v>
      </c>
      <c r="N43" s="11">
        <v>1</v>
      </c>
      <c r="O43" s="11">
        <v>4</v>
      </c>
      <c r="P43" s="11">
        <v>4</v>
      </c>
      <c r="Q43" s="11">
        <v>2</v>
      </c>
      <c r="R43" s="11">
        <v>3</v>
      </c>
      <c r="S43" s="11">
        <v>2</v>
      </c>
      <c r="T43" s="11">
        <v>3</v>
      </c>
      <c r="U43" s="10">
        <v>2</v>
      </c>
      <c r="V43" s="6">
        <f t="shared" ca="1" si="5"/>
        <v>31.171673026412684</v>
      </c>
      <c r="W43" s="6">
        <f t="shared" ca="1" si="5"/>
        <v>30.826511129253451</v>
      </c>
      <c r="X43" s="6">
        <f t="shared" ca="1" si="5"/>
        <v>30.939465567250817</v>
      </c>
      <c r="Y43" s="6">
        <f t="shared" ca="1" si="5"/>
        <v>30.668828424966922</v>
      </c>
      <c r="Z43" s="6">
        <f t="shared" ca="1" si="5"/>
        <v>31.419466532070608</v>
      </c>
      <c r="AA43" s="6">
        <f t="shared" ca="1" si="5"/>
        <v>31.089621068844892</v>
      </c>
      <c r="AB43" s="6">
        <f t="shared" ca="1" si="2"/>
        <v>30.668828424966922</v>
      </c>
      <c r="AC43" s="6">
        <f t="shared" ca="1" si="3"/>
        <v>4</v>
      </c>
    </row>
    <row r="44" spans="1:29">
      <c r="A44" s="11">
        <v>43</v>
      </c>
      <c r="B44" s="12">
        <v>2</v>
      </c>
      <c r="C44" s="11">
        <v>3</v>
      </c>
      <c r="D44" s="11">
        <v>1</v>
      </c>
      <c r="E44" s="11">
        <v>2</v>
      </c>
      <c r="F44" s="11">
        <v>3</v>
      </c>
      <c r="G44" s="11">
        <v>2</v>
      </c>
      <c r="H44" s="11">
        <v>3</v>
      </c>
      <c r="I44" s="11">
        <v>4</v>
      </c>
      <c r="J44" s="11">
        <v>3</v>
      </c>
      <c r="K44" s="11">
        <v>4</v>
      </c>
      <c r="L44" s="11">
        <v>1</v>
      </c>
      <c r="M44" s="11">
        <v>1</v>
      </c>
      <c r="N44" s="11">
        <v>1</v>
      </c>
      <c r="O44" s="11">
        <v>2</v>
      </c>
      <c r="P44" s="11">
        <v>4</v>
      </c>
      <c r="Q44" s="11">
        <v>3</v>
      </c>
      <c r="R44" s="11">
        <v>3</v>
      </c>
      <c r="S44" s="11">
        <v>4</v>
      </c>
      <c r="T44" s="11">
        <v>2</v>
      </c>
      <c r="U44" s="10">
        <v>4</v>
      </c>
      <c r="V44" s="6">
        <f t="shared" ca="1" si="5"/>
        <v>25.824452021126444</v>
      </c>
      <c r="W44" s="6">
        <f t="shared" ca="1" si="5"/>
        <v>25.563802654360018</v>
      </c>
      <c r="X44" s="6">
        <f t="shared" ca="1" si="5"/>
        <v>26.08304619134271</v>
      </c>
      <c r="Y44" s="6">
        <f t="shared" ca="1" si="5"/>
        <v>25.739679270257906</v>
      </c>
      <c r="Z44" s="6">
        <f t="shared" ca="1" si="5"/>
        <v>25.998547283207476</v>
      </c>
      <c r="AA44" s="6">
        <f t="shared" ca="1" si="5"/>
        <v>25.808596480863088</v>
      </c>
      <c r="AB44" s="6">
        <f t="shared" ca="1" si="2"/>
        <v>25.563802654360018</v>
      </c>
      <c r="AC44" s="6">
        <f t="shared" ca="1" si="3"/>
        <v>2</v>
      </c>
    </row>
    <row r="45" spans="1:29">
      <c r="A45" s="11">
        <v>44</v>
      </c>
      <c r="B45" s="12">
        <v>4</v>
      </c>
      <c r="C45" s="11">
        <v>2</v>
      </c>
      <c r="D45" s="11">
        <v>4</v>
      </c>
      <c r="E45" s="11">
        <v>4</v>
      </c>
      <c r="F45" s="11">
        <v>3</v>
      </c>
      <c r="G45" s="11">
        <v>3</v>
      </c>
      <c r="H45" s="11">
        <v>2</v>
      </c>
      <c r="I45" s="11">
        <v>2</v>
      </c>
      <c r="J45" s="11">
        <v>1</v>
      </c>
      <c r="K45" s="11">
        <v>1</v>
      </c>
      <c r="L45" s="11">
        <v>5</v>
      </c>
      <c r="M45" s="11">
        <v>5</v>
      </c>
      <c r="N45" s="11">
        <v>5</v>
      </c>
      <c r="O45" s="11">
        <v>4</v>
      </c>
      <c r="P45" s="11">
        <v>4</v>
      </c>
      <c r="Q45" s="11">
        <v>3</v>
      </c>
      <c r="R45" s="11">
        <v>3</v>
      </c>
      <c r="S45" s="11">
        <v>3</v>
      </c>
      <c r="T45" s="11">
        <v>3</v>
      </c>
      <c r="U45" s="10">
        <v>3</v>
      </c>
      <c r="V45" s="6">
        <f t="shared" ca="1" si="5"/>
        <v>28.276054417094983</v>
      </c>
      <c r="W45" s="6">
        <f t="shared" ca="1" si="5"/>
        <v>28.110492357365079</v>
      </c>
      <c r="X45" s="6">
        <f t="shared" ca="1" si="5"/>
        <v>27.893684267939747</v>
      </c>
      <c r="Y45" s="6">
        <f t="shared" ca="1" si="5"/>
        <v>28.083865637438464</v>
      </c>
      <c r="Z45" s="6">
        <f t="shared" ca="1" si="5"/>
        <v>27.990925537765648</v>
      </c>
      <c r="AA45" s="6">
        <f t="shared" ca="1" si="5"/>
        <v>28.436426281973535</v>
      </c>
      <c r="AB45" s="6">
        <f t="shared" ca="1" si="2"/>
        <v>27.893684267939747</v>
      </c>
      <c r="AC45" s="6">
        <f t="shared" ca="1" si="3"/>
        <v>3</v>
      </c>
    </row>
    <row r="46" spans="1:29">
      <c r="A46" s="11">
        <v>45</v>
      </c>
      <c r="B46" s="12">
        <v>2</v>
      </c>
      <c r="C46" s="11">
        <v>2</v>
      </c>
      <c r="D46" s="11">
        <v>1</v>
      </c>
      <c r="E46" s="11">
        <v>3</v>
      </c>
      <c r="F46" s="11">
        <v>2</v>
      </c>
      <c r="G46" s="11">
        <v>2</v>
      </c>
      <c r="H46" s="11">
        <v>2</v>
      </c>
      <c r="I46" s="11">
        <v>1</v>
      </c>
      <c r="J46" s="11">
        <v>1</v>
      </c>
      <c r="K46" s="11">
        <v>4</v>
      </c>
      <c r="L46" s="11">
        <v>1</v>
      </c>
      <c r="M46" s="11">
        <v>1</v>
      </c>
      <c r="N46" s="11">
        <v>2</v>
      </c>
      <c r="O46" s="11">
        <v>5</v>
      </c>
      <c r="P46" s="11">
        <v>4</v>
      </c>
      <c r="Q46" s="11">
        <v>4</v>
      </c>
      <c r="R46" s="11">
        <v>5</v>
      </c>
      <c r="S46" s="11">
        <v>1</v>
      </c>
      <c r="T46" s="11">
        <v>2</v>
      </c>
      <c r="U46" s="10">
        <v>1</v>
      </c>
      <c r="V46" s="6">
        <f t="shared" ca="1" si="5"/>
        <v>46.287283225694985</v>
      </c>
      <c r="W46" s="6">
        <f t="shared" ca="1" si="5"/>
        <v>46.081153400149056</v>
      </c>
      <c r="X46" s="6">
        <f t="shared" ca="1" si="5"/>
        <v>46.228123477666536</v>
      </c>
      <c r="Y46" s="6">
        <f t="shared" ca="1" si="5"/>
        <v>45.838410204821351</v>
      </c>
      <c r="Z46" s="6">
        <f t="shared" ca="1" si="5"/>
        <v>46.278777276852551</v>
      </c>
      <c r="AA46" s="6">
        <f t="shared" ca="1" si="5"/>
        <v>46.076841624936471</v>
      </c>
      <c r="AB46" s="6">
        <f t="shared" ca="1" si="2"/>
        <v>45.838410204821351</v>
      </c>
      <c r="AC46" s="6">
        <f t="shared" ca="1" si="3"/>
        <v>4</v>
      </c>
    </row>
    <row r="47" spans="1:29">
      <c r="A47" s="11">
        <v>46</v>
      </c>
      <c r="B47" s="12">
        <v>3</v>
      </c>
      <c r="C47" s="11">
        <v>4</v>
      </c>
      <c r="D47" s="11">
        <v>2</v>
      </c>
      <c r="E47" s="11">
        <v>2</v>
      </c>
      <c r="F47" s="11">
        <v>4</v>
      </c>
      <c r="G47" s="11">
        <v>2</v>
      </c>
      <c r="H47" s="11">
        <v>3</v>
      </c>
      <c r="I47" s="11">
        <v>2</v>
      </c>
      <c r="J47" s="11">
        <v>2</v>
      </c>
      <c r="K47" s="11">
        <v>2</v>
      </c>
      <c r="L47" s="11">
        <v>2</v>
      </c>
      <c r="M47" s="11">
        <v>2</v>
      </c>
      <c r="N47" s="11">
        <v>3</v>
      </c>
      <c r="O47" s="11">
        <v>5</v>
      </c>
      <c r="P47" s="11">
        <v>5</v>
      </c>
      <c r="Q47" s="11">
        <v>3</v>
      </c>
      <c r="R47" s="11">
        <v>2</v>
      </c>
      <c r="S47" s="11">
        <v>3</v>
      </c>
      <c r="T47" s="11">
        <v>2</v>
      </c>
      <c r="U47" s="10">
        <v>2</v>
      </c>
      <c r="V47" s="6">
        <f t="shared" ca="1" si="5"/>
        <v>21.131266884924258</v>
      </c>
      <c r="W47" s="6">
        <f t="shared" ca="1" si="5"/>
        <v>21.102469113679245</v>
      </c>
      <c r="X47" s="6">
        <f t="shared" ca="1" si="5"/>
        <v>21.207977027256245</v>
      </c>
      <c r="Y47" s="6">
        <f t="shared" ca="1" si="5"/>
        <v>20.89880625046273</v>
      </c>
      <c r="Z47" s="6">
        <f t="shared" ca="1" si="5"/>
        <v>20.967583777867397</v>
      </c>
      <c r="AA47" s="6">
        <f t="shared" ca="1" si="5"/>
        <v>21.209877452597599</v>
      </c>
      <c r="AB47" s="6">
        <f t="shared" ca="1" si="2"/>
        <v>20.89880625046273</v>
      </c>
      <c r="AC47" s="6">
        <f t="shared" ca="1" si="3"/>
        <v>4</v>
      </c>
    </row>
    <row r="48" spans="1:29">
      <c r="A48" s="11">
        <v>47</v>
      </c>
      <c r="B48" s="12">
        <v>2</v>
      </c>
      <c r="C48" s="11">
        <v>2</v>
      </c>
      <c r="D48" s="11">
        <v>1</v>
      </c>
      <c r="E48" s="11">
        <v>1</v>
      </c>
      <c r="F48" s="11">
        <v>2</v>
      </c>
      <c r="G48" s="11">
        <v>3</v>
      </c>
      <c r="H48" s="11">
        <v>3</v>
      </c>
      <c r="I48" s="11">
        <v>2</v>
      </c>
      <c r="J48" s="11">
        <v>2</v>
      </c>
      <c r="K48" s="11">
        <v>3</v>
      </c>
      <c r="L48" s="11">
        <v>3</v>
      </c>
      <c r="M48" s="11">
        <v>3</v>
      </c>
      <c r="N48" s="11">
        <v>3</v>
      </c>
      <c r="O48" s="11">
        <v>3</v>
      </c>
      <c r="P48" s="11">
        <v>3</v>
      </c>
      <c r="Q48" s="11">
        <v>1</v>
      </c>
      <c r="R48" s="11">
        <v>1</v>
      </c>
      <c r="S48" s="11">
        <v>1</v>
      </c>
      <c r="T48" s="11">
        <v>2</v>
      </c>
      <c r="U48" s="10">
        <v>4</v>
      </c>
      <c r="V48" s="6">
        <f t="shared" ca="1" si="5"/>
        <v>26.764103372346518</v>
      </c>
      <c r="W48" s="6">
        <f t="shared" ca="1" si="5"/>
        <v>27.062581570438503</v>
      </c>
      <c r="X48" s="6">
        <f t="shared" ca="1" si="5"/>
        <v>27.143736314705034</v>
      </c>
      <c r="Y48" s="6">
        <f t="shared" ca="1" si="5"/>
        <v>26.911199791225581</v>
      </c>
      <c r="Z48" s="6">
        <f t="shared" ca="1" si="5"/>
        <v>27.323345214624247</v>
      </c>
      <c r="AA48" s="6">
        <f t="shared" ca="1" si="5"/>
        <v>26.783966666052045</v>
      </c>
      <c r="AB48" s="6">
        <f t="shared" ca="1" si="2"/>
        <v>26.764103372346518</v>
      </c>
      <c r="AC48" s="6">
        <f t="shared" ca="1" si="3"/>
        <v>1</v>
      </c>
    </row>
    <row r="49" spans="1:29">
      <c r="A49" s="11">
        <v>48</v>
      </c>
      <c r="B49" s="12">
        <v>4</v>
      </c>
      <c r="C49" s="11">
        <v>2</v>
      </c>
      <c r="D49" s="11">
        <v>2</v>
      </c>
      <c r="E49" s="11">
        <v>2</v>
      </c>
      <c r="F49" s="11">
        <v>3</v>
      </c>
      <c r="G49" s="11">
        <v>4</v>
      </c>
      <c r="H49" s="11">
        <v>2</v>
      </c>
      <c r="I49" s="11">
        <v>2</v>
      </c>
      <c r="J49" s="11">
        <v>2</v>
      </c>
      <c r="K49" s="11">
        <v>2</v>
      </c>
      <c r="L49" s="11">
        <v>2</v>
      </c>
      <c r="M49" s="11">
        <v>2</v>
      </c>
      <c r="N49" s="11">
        <v>2</v>
      </c>
      <c r="O49" s="11">
        <v>4</v>
      </c>
      <c r="P49" s="11">
        <v>5</v>
      </c>
      <c r="Q49" s="11">
        <v>2</v>
      </c>
      <c r="R49" s="11">
        <v>3</v>
      </c>
      <c r="S49" s="11">
        <v>2</v>
      </c>
      <c r="T49" s="11">
        <v>4</v>
      </c>
      <c r="U49" s="10">
        <v>2</v>
      </c>
      <c r="V49" s="6">
        <f t="shared" ca="1" si="5"/>
        <v>21.152944112016737</v>
      </c>
      <c r="W49" s="6">
        <f t="shared" ca="1" si="5"/>
        <v>20.871371475026237</v>
      </c>
      <c r="X49" s="6">
        <f t="shared" ca="1" si="5"/>
        <v>20.916986453753253</v>
      </c>
      <c r="Y49" s="6">
        <f t="shared" ca="1" si="5"/>
        <v>20.812131156177582</v>
      </c>
      <c r="Z49" s="6">
        <f t="shared" ca="1" si="5"/>
        <v>21.359759277344807</v>
      </c>
      <c r="AA49" s="6">
        <f t="shared" ca="1" si="5"/>
        <v>21.417441027431746</v>
      </c>
      <c r="AB49" s="6">
        <f t="shared" ca="1" si="2"/>
        <v>20.812131156177582</v>
      </c>
      <c r="AC49" s="6">
        <f t="shared" ca="1" si="3"/>
        <v>4</v>
      </c>
    </row>
    <row r="50" spans="1:29">
      <c r="A50" s="11">
        <v>49</v>
      </c>
      <c r="B50" s="12">
        <v>2</v>
      </c>
      <c r="C50" s="11">
        <v>3</v>
      </c>
      <c r="D50" s="11">
        <v>2</v>
      </c>
      <c r="E50" s="11">
        <v>2</v>
      </c>
      <c r="F50" s="11">
        <v>4</v>
      </c>
      <c r="G50" s="11">
        <v>2</v>
      </c>
      <c r="H50" s="11">
        <v>3</v>
      </c>
      <c r="I50" s="11">
        <v>2</v>
      </c>
      <c r="J50" s="11">
        <v>3</v>
      </c>
      <c r="K50" s="11">
        <v>2</v>
      </c>
      <c r="L50" s="11">
        <v>3</v>
      </c>
      <c r="M50" s="11">
        <v>3</v>
      </c>
      <c r="N50" s="11">
        <v>3</v>
      </c>
      <c r="O50" s="11">
        <v>3</v>
      </c>
      <c r="P50" s="11">
        <v>2</v>
      </c>
      <c r="Q50" s="11">
        <v>3</v>
      </c>
      <c r="R50" s="11">
        <v>2</v>
      </c>
      <c r="S50" s="11">
        <v>3</v>
      </c>
      <c r="T50" s="11">
        <v>2</v>
      </c>
      <c r="U50" s="10">
        <v>3</v>
      </c>
      <c r="V50" s="6">
        <f t="shared" ca="1" si="5"/>
        <v>9.8886483467510633</v>
      </c>
      <c r="W50" s="6">
        <f t="shared" ca="1" si="5"/>
        <v>10.249139383807393</v>
      </c>
      <c r="X50" s="6">
        <f t="shared" ca="1" si="5"/>
        <v>10.232040021461939</v>
      </c>
      <c r="Y50" s="6">
        <f t="shared" ca="1" si="5"/>
        <v>9.9154674202641591</v>
      </c>
      <c r="Z50" s="6">
        <f t="shared" ca="1" si="5"/>
        <v>10.1827110483952</v>
      </c>
      <c r="AA50" s="6">
        <f t="shared" ca="1" si="5"/>
        <v>10.011775824096771</v>
      </c>
      <c r="AB50" s="6">
        <f t="shared" ca="1" si="2"/>
        <v>9.8886483467510633</v>
      </c>
      <c r="AC50" s="6">
        <f t="shared" ca="1" si="3"/>
        <v>1</v>
      </c>
    </row>
    <row r="51" spans="1:29">
      <c r="A51" s="11">
        <v>50</v>
      </c>
      <c r="B51" s="12">
        <v>3</v>
      </c>
      <c r="C51" s="11">
        <v>4</v>
      </c>
      <c r="D51" s="11">
        <v>2</v>
      </c>
      <c r="E51" s="11">
        <v>3</v>
      </c>
      <c r="F51" s="11">
        <v>4</v>
      </c>
      <c r="G51" s="11">
        <v>3</v>
      </c>
      <c r="H51" s="11">
        <v>3</v>
      </c>
      <c r="I51" s="11">
        <v>3</v>
      </c>
      <c r="J51" s="11">
        <v>3</v>
      </c>
      <c r="K51" s="11">
        <v>3</v>
      </c>
      <c r="L51" s="11">
        <v>3</v>
      </c>
      <c r="M51" s="11">
        <v>3</v>
      </c>
      <c r="N51" s="11">
        <v>3</v>
      </c>
      <c r="O51" s="11">
        <v>3</v>
      </c>
      <c r="P51" s="11">
        <v>3</v>
      </c>
      <c r="Q51" s="11">
        <v>2</v>
      </c>
      <c r="R51" s="11">
        <v>3</v>
      </c>
      <c r="S51" s="11">
        <v>3</v>
      </c>
      <c r="T51" s="11">
        <v>3</v>
      </c>
      <c r="U51" s="10">
        <v>3</v>
      </c>
      <c r="V51" s="6">
        <f t="shared" ca="1" si="5"/>
        <v>3.9931383173516264</v>
      </c>
      <c r="W51" s="6">
        <f t="shared" ca="1" si="5"/>
        <v>4.0682630019953692</v>
      </c>
      <c r="X51" s="6">
        <f t="shared" ca="1" si="5"/>
        <v>4.0542083844393222</v>
      </c>
      <c r="Y51" s="6">
        <f t="shared" ca="1" si="5"/>
        <v>4.0451483229378384</v>
      </c>
      <c r="Z51" s="6">
        <f t="shared" ca="1" si="5"/>
        <v>3.9105431359548231</v>
      </c>
      <c r="AA51" s="6">
        <f t="shared" ca="1" si="5"/>
        <v>4.1189089315683436</v>
      </c>
      <c r="AB51" s="6">
        <f t="shared" ca="1" si="2"/>
        <v>3.9105431359548231</v>
      </c>
      <c r="AC51" s="6">
        <f t="shared" ca="1" si="3"/>
        <v>5</v>
      </c>
    </row>
    <row r="52" spans="1:29">
      <c r="A52" s="11">
        <v>51</v>
      </c>
      <c r="B52" s="12">
        <v>3</v>
      </c>
      <c r="C52" s="11">
        <v>2</v>
      </c>
      <c r="D52" s="11">
        <v>2</v>
      </c>
      <c r="E52" s="11">
        <v>1</v>
      </c>
      <c r="F52" s="11">
        <v>2</v>
      </c>
      <c r="G52" s="11">
        <v>4</v>
      </c>
      <c r="H52" s="11">
        <v>2</v>
      </c>
      <c r="I52" s="11">
        <v>3</v>
      </c>
      <c r="J52" s="11">
        <v>1</v>
      </c>
      <c r="K52" s="11">
        <v>3</v>
      </c>
      <c r="L52" s="11">
        <v>1</v>
      </c>
      <c r="M52" s="11">
        <v>1</v>
      </c>
      <c r="N52" s="11">
        <v>4</v>
      </c>
      <c r="O52" s="11">
        <v>1</v>
      </c>
      <c r="P52" s="11">
        <v>2</v>
      </c>
      <c r="Q52" s="11">
        <v>2</v>
      </c>
      <c r="R52" s="11">
        <v>5</v>
      </c>
      <c r="S52" s="11">
        <v>3</v>
      </c>
      <c r="T52" s="11">
        <v>5</v>
      </c>
      <c r="U52" s="10">
        <v>4</v>
      </c>
      <c r="V52" s="6">
        <f t="shared" ca="1" si="5"/>
        <v>36.715815995837019</v>
      </c>
      <c r="W52" s="6">
        <f t="shared" ca="1" si="5"/>
        <v>36.562433234107452</v>
      </c>
      <c r="X52" s="6">
        <f t="shared" ca="1" si="5"/>
        <v>36.302790850246154</v>
      </c>
      <c r="Y52" s="6">
        <f t="shared" ca="1" si="5"/>
        <v>36.60799589503182</v>
      </c>
      <c r="Z52" s="6">
        <f t="shared" ca="1" si="5"/>
        <v>37.396289329240574</v>
      </c>
      <c r="AA52" s="6">
        <f t="shared" ca="1" si="5"/>
        <v>37.731408316491311</v>
      </c>
      <c r="AB52" s="6">
        <f t="shared" ca="1" si="2"/>
        <v>36.302790850246154</v>
      </c>
      <c r="AC52" s="6">
        <f t="shared" ca="1" si="3"/>
        <v>3</v>
      </c>
    </row>
    <row r="53" spans="1:29">
      <c r="A53" s="11">
        <v>52</v>
      </c>
      <c r="B53" s="12">
        <v>1</v>
      </c>
      <c r="C53" s="11">
        <v>1</v>
      </c>
      <c r="D53" s="11">
        <v>1</v>
      </c>
      <c r="E53" s="11">
        <v>2</v>
      </c>
      <c r="F53" s="11">
        <v>2</v>
      </c>
      <c r="G53" s="11">
        <v>2</v>
      </c>
      <c r="H53" s="11">
        <v>2</v>
      </c>
      <c r="I53" s="11">
        <v>2</v>
      </c>
      <c r="J53" s="11">
        <v>3</v>
      </c>
      <c r="K53" s="11">
        <v>2</v>
      </c>
      <c r="L53" s="11">
        <v>2</v>
      </c>
      <c r="M53" s="11">
        <v>2</v>
      </c>
      <c r="N53" s="11">
        <v>4</v>
      </c>
      <c r="O53" s="11">
        <v>2</v>
      </c>
      <c r="P53" s="11">
        <v>2</v>
      </c>
      <c r="Q53" s="11">
        <v>2</v>
      </c>
      <c r="R53" s="11">
        <v>2</v>
      </c>
      <c r="S53" s="11">
        <v>3</v>
      </c>
      <c r="T53" s="11">
        <v>3</v>
      </c>
      <c r="U53" s="10">
        <v>4</v>
      </c>
      <c r="V53" s="6">
        <f t="shared" ca="1" si="5"/>
        <v>25.909843706656495</v>
      </c>
      <c r="W53" s="6">
        <f t="shared" ca="1" si="5"/>
        <v>26.099364166871318</v>
      </c>
      <c r="X53" s="6">
        <f t="shared" ca="1" si="5"/>
        <v>25.975899018611656</v>
      </c>
      <c r="Y53" s="6">
        <f t="shared" ca="1" si="5"/>
        <v>25.901249802267106</v>
      </c>
      <c r="Z53" s="6">
        <f t="shared" ca="1" si="5"/>
        <v>26.601645695322368</v>
      </c>
      <c r="AA53" s="6">
        <f t="shared" ca="1" si="5"/>
        <v>26.109682328881433</v>
      </c>
      <c r="AB53" s="6">
        <f t="shared" ca="1" si="2"/>
        <v>25.901249802267106</v>
      </c>
      <c r="AC53" s="6">
        <f t="shared" ca="1" si="3"/>
        <v>4</v>
      </c>
    </row>
    <row r="54" spans="1:29">
      <c r="A54" s="11">
        <v>53</v>
      </c>
      <c r="B54" s="12">
        <v>3</v>
      </c>
      <c r="C54" s="11">
        <v>3</v>
      </c>
      <c r="D54" s="11">
        <v>2</v>
      </c>
      <c r="E54" s="11">
        <v>4</v>
      </c>
      <c r="F54" s="11">
        <v>4</v>
      </c>
      <c r="G54" s="11">
        <v>2</v>
      </c>
      <c r="H54" s="11">
        <v>2</v>
      </c>
      <c r="I54" s="11">
        <v>2</v>
      </c>
      <c r="J54" s="11">
        <v>2</v>
      </c>
      <c r="K54" s="11">
        <v>3</v>
      </c>
      <c r="L54" s="11">
        <v>2</v>
      </c>
      <c r="M54" s="11">
        <v>2</v>
      </c>
      <c r="N54" s="11">
        <v>2</v>
      </c>
      <c r="O54" s="11">
        <v>4</v>
      </c>
      <c r="P54" s="11">
        <v>5</v>
      </c>
      <c r="Q54" s="11">
        <v>3</v>
      </c>
      <c r="R54" s="11">
        <v>2</v>
      </c>
      <c r="S54" s="11">
        <v>2</v>
      </c>
      <c r="T54" s="11">
        <v>3</v>
      </c>
      <c r="U54" s="10">
        <v>4</v>
      </c>
      <c r="V54" s="6">
        <f t="shared" ca="1" si="5"/>
        <v>17.898181239759417</v>
      </c>
      <c r="W54" s="6">
        <f t="shared" ca="1" si="5"/>
        <v>18.075237577823074</v>
      </c>
      <c r="X54" s="6">
        <f t="shared" ca="1" si="5"/>
        <v>18.038762074418891</v>
      </c>
      <c r="Y54" s="6">
        <f t="shared" ca="1" si="5"/>
        <v>17.997308345679155</v>
      </c>
      <c r="Z54" s="6">
        <f t="shared" ca="1" si="5"/>
        <v>18.166666544043338</v>
      </c>
      <c r="AA54" s="6">
        <f t="shared" ca="1" si="5"/>
        <v>18.241068167220867</v>
      </c>
      <c r="AB54" s="6">
        <f t="shared" ca="1" si="2"/>
        <v>17.898181239759417</v>
      </c>
      <c r="AC54" s="6">
        <f t="shared" ca="1" si="3"/>
        <v>1</v>
      </c>
    </row>
    <row r="55" spans="1:29">
      <c r="A55" s="11">
        <v>54</v>
      </c>
      <c r="B55" s="12">
        <v>2</v>
      </c>
      <c r="C55" s="11">
        <v>1</v>
      </c>
      <c r="D55" s="11">
        <v>1</v>
      </c>
      <c r="E55" s="11">
        <v>2</v>
      </c>
      <c r="F55" s="11">
        <v>1</v>
      </c>
      <c r="G55" s="11">
        <v>4</v>
      </c>
      <c r="H55" s="11">
        <v>3</v>
      </c>
      <c r="I55" s="11">
        <v>3</v>
      </c>
      <c r="J55" s="11">
        <v>2</v>
      </c>
      <c r="K55" s="11">
        <v>4</v>
      </c>
      <c r="L55" s="11">
        <v>2</v>
      </c>
      <c r="M55" s="11">
        <v>3</v>
      </c>
      <c r="N55" s="11">
        <v>3</v>
      </c>
      <c r="O55" s="11">
        <v>4</v>
      </c>
      <c r="P55" s="11">
        <v>5</v>
      </c>
      <c r="Q55" s="11">
        <v>1</v>
      </c>
      <c r="R55" s="11">
        <v>2</v>
      </c>
      <c r="S55" s="11">
        <v>2</v>
      </c>
      <c r="T55" s="11">
        <v>3</v>
      </c>
      <c r="U55" s="10">
        <v>1</v>
      </c>
      <c r="V55" s="6">
        <f t="shared" ca="1" si="5"/>
        <v>33.3260589285373</v>
      </c>
      <c r="W55" s="6">
        <f t="shared" ca="1" si="5"/>
        <v>32.774988527469226</v>
      </c>
      <c r="X55" s="6">
        <f t="shared" ca="1" si="5"/>
        <v>33.296358278646899</v>
      </c>
      <c r="Y55" s="6">
        <f t="shared" ca="1" si="5"/>
        <v>32.940814117432033</v>
      </c>
      <c r="Z55" s="6">
        <f t="shared" ca="1" si="5"/>
        <v>33.3350743481652</v>
      </c>
      <c r="AA55" s="6">
        <f t="shared" ca="1" si="5"/>
        <v>32.626377795029875</v>
      </c>
      <c r="AB55" s="6">
        <f t="shared" ca="1" si="2"/>
        <v>32.626377795029875</v>
      </c>
      <c r="AC55" s="6">
        <f t="shared" ca="1" si="3"/>
        <v>6</v>
      </c>
    </row>
    <row r="56" spans="1:29">
      <c r="A56" s="11">
        <v>55</v>
      </c>
      <c r="B56" s="12">
        <v>5</v>
      </c>
      <c r="C56" s="11">
        <v>1</v>
      </c>
      <c r="D56" s="11">
        <v>1</v>
      </c>
      <c r="E56" s="11">
        <v>1</v>
      </c>
      <c r="F56" s="11">
        <v>4</v>
      </c>
      <c r="G56" s="11">
        <v>2</v>
      </c>
      <c r="H56" s="11">
        <v>3</v>
      </c>
      <c r="I56" s="11">
        <v>1</v>
      </c>
      <c r="J56" s="11">
        <v>1</v>
      </c>
      <c r="K56" s="11">
        <v>1</v>
      </c>
      <c r="L56" s="11">
        <v>1</v>
      </c>
      <c r="M56" s="11">
        <v>1</v>
      </c>
      <c r="N56" s="11">
        <v>1</v>
      </c>
      <c r="O56" s="11">
        <v>4</v>
      </c>
      <c r="P56" s="11">
        <v>1</v>
      </c>
      <c r="Q56" s="11">
        <v>2</v>
      </c>
      <c r="R56" s="11">
        <v>4</v>
      </c>
      <c r="S56" s="11">
        <v>5</v>
      </c>
      <c r="T56" s="11">
        <v>1</v>
      </c>
      <c r="U56" s="10">
        <v>5</v>
      </c>
      <c r="V56" s="6">
        <f t="shared" ca="1" si="5"/>
        <v>61.186552345740346</v>
      </c>
      <c r="W56" s="6">
        <f t="shared" ca="1" si="5"/>
        <v>60.323642786868461</v>
      </c>
      <c r="X56" s="6">
        <f t="shared" ca="1" si="5"/>
        <v>60.584797871867181</v>
      </c>
      <c r="Y56" s="6">
        <f t="shared" ca="1" si="5"/>
        <v>60.514160152797182</v>
      </c>
      <c r="Z56" s="6">
        <f t="shared" ca="1" si="5"/>
        <v>60.96456805674341</v>
      </c>
      <c r="AA56" s="6">
        <f t="shared" ca="1" si="5"/>
        <v>62.103361053289667</v>
      </c>
      <c r="AB56" s="6">
        <f t="shared" ca="1" si="2"/>
        <v>60.323642786868461</v>
      </c>
      <c r="AC56" s="6">
        <f t="shared" ca="1" si="3"/>
        <v>2</v>
      </c>
    </row>
    <row r="57" spans="1:29">
      <c r="A57" s="11">
        <v>56</v>
      </c>
      <c r="B57" s="12">
        <v>2</v>
      </c>
      <c r="C57" s="11">
        <v>3</v>
      </c>
      <c r="D57" s="11">
        <v>3</v>
      </c>
      <c r="E57" s="11">
        <v>2</v>
      </c>
      <c r="F57" s="11">
        <v>4</v>
      </c>
      <c r="G57" s="11">
        <v>3</v>
      </c>
      <c r="H57" s="11">
        <v>3</v>
      </c>
      <c r="I57" s="11">
        <v>1</v>
      </c>
      <c r="J57" s="11">
        <v>1</v>
      </c>
      <c r="K57" s="11">
        <v>3</v>
      </c>
      <c r="L57" s="11">
        <v>3</v>
      </c>
      <c r="M57" s="11">
        <v>2</v>
      </c>
      <c r="N57" s="11">
        <v>4</v>
      </c>
      <c r="O57" s="11">
        <v>3</v>
      </c>
      <c r="P57" s="11">
        <v>2</v>
      </c>
      <c r="Q57" s="11">
        <v>4</v>
      </c>
      <c r="R57" s="11">
        <v>3</v>
      </c>
      <c r="S57" s="11">
        <v>4</v>
      </c>
      <c r="T57" s="11">
        <v>2</v>
      </c>
      <c r="U57" s="10">
        <v>5</v>
      </c>
      <c r="V57" s="6">
        <f t="shared" ca="1" si="5"/>
        <v>20.734089863845998</v>
      </c>
      <c r="W57" s="6">
        <f t="shared" ca="1" si="5"/>
        <v>20.908188263996671</v>
      </c>
      <c r="X57" s="6">
        <f t="shared" ca="1" si="5"/>
        <v>20.721404648883976</v>
      </c>
      <c r="Y57" s="6">
        <f t="shared" ca="1" si="5"/>
        <v>20.852843869487792</v>
      </c>
      <c r="Z57" s="6">
        <f t="shared" ca="1" si="5"/>
        <v>20.949031670498385</v>
      </c>
      <c r="AA57" s="6">
        <f t="shared" ca="1" si="5"/>
        <v>21.538072114611872</v>
      </c>
      <c r="AB57" s="6">
        <f t="shared" ca="1" si="2"/>
        <v>20.721404648883976</v>
      </c>
      <c r="AC57" s="6">
        <f t="shared" ca="1" si="3"/>
        <v>3</v>
      </c>
    </row>
    <row r="58" spans="1:29">
      <c r="A58" s="11">
        <v>57</v>
      </c>
      <c r="B58" s="12">
        <v>3</v>
      </c>
      <c r="C58" s="11">
        <v>2</v>
      </c>
      <c r="D58" s="11">
        <v>3</v>
      </c>
      <c r="E58" s="11">
        <v>3</v>
      </c>
      <c r="F58" s="11">
        <v>3</v>
      </c>
      <c r="G58" s="11">
        <v>4</v>
      </c>
      <c r="H58" s="11">
        <v>4</v>
      </c>
      <c r="I58" s="11">
        <v>3</v>
      </c>
      <c r="J58" s="11">
        <v>2</v>
      </c>
      <c r="K58" s="11">
        <v>2</v>
      </c>
      <c r="L58" s="11">
        <v>1</v>
      </c>
      <c r="M58" s="11">
        <v>2</v>
      </c>
      <c r="N58" s="11">
        <v>3</v>
      </c>
      <c r="O58" s="11">
        <v>1</v>
      </c>
      <c r="P58" s="11">
        <v>4</v>
      </c>
      <c r="Q58" s="11">
        <v>5</v>
      </c>
      <c r="R58" s="11">
        <v>1</v>
      </c>
      <c r="S58" s="11">
        <v>2</v>
      </c>
      <c r="T58" s="11">
        <v>1</v>
      </c>
      <c r="U58" s="10">
        <v>4</v>
      </c>
      <c r="V58" s="6">
        <f t="shared" ca="1" si="5"/>
        <v>28.283943178382216</v>
      </c>
      <c r="W58" s="6">
        <f t="shared" ca="1" si="5"/>
        <v>28.758570231002881</v>
      </c>
      <c r="X58" s="6">
        <f t="shared" ca="1" si="5"/>
        <v>28.927114471436607</v>
      </c>
      <c r="Y58" s="6">
        <f t="shared" ca="1" si="5"/>
        <v>28.80934789266691</v>
      </c>
      <c r="Z58" s="6">
        <f t="shared" ca="1" si="5"/>
        <v>29.394773679310475</v>
      </c>
      <c r="AA58" s="6">
        <f t="shared" ca="1" si="5"/>
        <v>28.999271359692411</v>
      </c>
      <c r="AB58" s="6">
        <f t="shared" ca="1" si="2"/>
        <v>28.283943178382216</v>
      </c>
      <c r="AC58" s="6">
        <f t="shared" ca="1" si="3"/>
        <v>1</v>
      </c>
    </row>
    <row r="59" spans="1:29">
      <c r="A59" s="11">
        <v>58</v>
      </c>
      <c r="B59" s="12">
        <v>3</v>
      </c>
      <c r="C59" s="11">
        <v>5</v>
      </c>
      <c r="D59" s="11">
        <v>5</v>
      </c>
      <c r="E59" s="11">
        <v>4</v>
      </c>
      <c r="F59" s="11">
        <v>5</v>
      </c>
      <c r="G59" s="11">
        <v>2</v>
      </c>
      <c r="H59" s="11">
        <v>3</v>
      </c>
      <c r="I59" s="11">
        <v>3</v>
      </c>
      <c r="J59" s="11">
        <v>4</v>
      </c>
      <c r="K59" s="11">
        <v>3</v>
      </c>
      <c r="L59" s="11">
        <v>3</v>
      </c>
      <c r="M59" s="11">
        <v>4</v>
      </c>
      <c r="N59" s="11">
        <v>4</v>
      </c>
      <c r="O59" s="11">
        <v>2</v>
      </c>
      <c r="P59" s="11">
        <v>2</v>
      </c>
      <c r="Q59" s="11">
        <v>3</v>
      </c>
      <c r="R59" s="11">
        <v>3</v>
      </c>
      <c r="S59" s="11">
        <v>5</v>
      </c>
      <c r="T59" s="11">
        <v>3</v>
      </c>
      <c r="U59" s="10">
        <v>2</v>
      </c>
      <c r="V59" s="6">
        <f t="shared" ca="1" si="5"/>
        <v>24.065124618353043</v>
      </c>
      <c r="W59" s="6">
        <f t="shared" ca="1" si="5"/>
        <v>24.19839470695462</v>
      </c>
      <c r="X59" s="6">
        <f t="shared" ca="1" si="5"/>
        <v>24.018961942990547</v>
      </c>
      <c r="Y59" s="6">
        <f t="shared" ca="1" si="5"/>
        <v>24.301711813903378</v>
      </c>
      <c r="Z59" s="6">
        <f t="shared" ca="1" si="5"/>
        <v>23.768101425131604</v>
      </c>
      <c r="AA59" s="6">
        <f t="shared" ca="1" si="5"/>
        <v>23.969581131871937</v>
      </c>
      <c r="AB59" s="6">
        <f t="shared" ca="1" si="2"/>
        <v>23.768101425131604</v>
      </c>
      <c r="AC59" s="6">
        <f t="shared" ca="1" si="3"/>
        <v>5</v>
      </c>
    </row>
    <row r="60" spans="1:29">
      <c r="A60" s="11">
        <v>59</v>
      </c>
      <c r="B60" s="12">
        <v>3</v>
      </c>
      <c r="C60" s="11">
        <v>2</v>
      </c>
      <c r="D60" s="11">
        <v>2</v>
      </c>
      <c r="E60" s="11">
        <v>2</v>
      </c>
      <c r="F60" s="11">
        <v>3</v>
      </c>
      <c r="G60" s="11">
        <v>2</v>
      </c>
      <c r="H60" s="11">
        <v>3</v>
      </c>
      <c r="I60" s="11">
        <v>2</v>
      </c>
      <c r="J60" s="11">
        <v>3</v>
      </c>
      <c r="K60" s="11">
        <v>3</v>
      </c>
      <c r="L60" s="11">
        <v>2</v>
      </c>
      <c r="M60" s="11">
        <v>4</v>
      </c>
      <c r="N60" s="11">
        <v>2</v>
      </c>
      <c r="O60" s="11">
        <v>3</v>
      </c>
      <c r="P60" s="11">
        <v>2</v>
      </c>
      <c r="Q60" s="11">
        <v>3</v>
      </c>
      <c r="R60" s="11">
        <v>2</v>
      </c>
      <c r="S60" s="11">
        <v>2</v>
      </c>
      <c r="T60" s="11">
        <v>2</v>
      </c>
      <c r="U60" s="10">
        <v>4</v>
      </c>
      <c r="V60" s="6">
        <f t="shared" ca="1" si="5"/>
        <v>12.680862291249344</v>
      </c>
      <c r="W60" s="6">
        <f t="shared" ca="1" si="5"/>
        <v>13.126206035258537</v>
      </c>
      <c r="X60" s="6">
        <f t="shared" ca="1" si="5"/>
        <v>13.196064357911194</v>
      </c>
      <c r="Y60" s="6">
        <f t="shared" ref="Y60:AA123" ca="1" si="6">SUMXMY2($B60:$U60,AJ$2:AJ$21)</f>
        <v>12.931768510880131</v>
      </c>
      <c r="Z60" s="6">
        <f t="shared" ca="1" si="6"/>
        <v>13.246375943122077</v>
      </c>
      <c r="AA60" s="6">
        <f t="shared" ca="1" si="6"/>
        <v>12.895327486555473</v>
      </c>
      <c r="AB60" s="6">
        <f t="shared" ca="1" si="2"/>
        <v>12.680862291249344</v>
      </c>
      <c r="AC60" s="6">
        <f t="shared" ca="1" si="3"/>
        <v>1</v>
      </c>
    </row>
    <row r="61" spans="1:29">
      <c r="A61" s="11">
        <v>60</v>
      </c>
      <c r="B61" s="12">
        <v>3</v>
      </c>
      <c r="C61" s="11">
        <v>3</v>
      </c>
      <c r="D61" s="11">
        <v>2</v>
      </c>
      <c r="E61" s="11">
        <v>4</v>
      </c>
      <c r="F61" s="11">
        <v>1</v>
      </c>
      <c r="G61" s="11">
        <v>3</v>
      </c>
      <c r="H61" s="11">
        <v>3</v>
      </c>
      <c r="I61" s="11">
        <v>3</v>
      </c>
      <c r="J61" s="11">
        <v>1</v>
      </c>
      <c r="K61" s="11">
        <v>3</v>
      </c>
      <c r="L61" s="11">
        <v>2</v>
      </c>
      <c r="M61" s="11">
        <v>2</v>
      </c>
      <c r="N61" s="11">
        <v>3</v>
      </c>
      <c r="O61" s="11">
        <v>5</v>
      </c>
      <c r="P61" s="11">
        <v>3</v>
      </c>
      <c r="Q61" s="11">
        <v>2</v>
      </c>
      <c r="R61" s="11">
        <v>2</v>
      </c>
      <c r="S61" s="11">
        <v>4</v>
      </c>
      <c r="T61" s="11">
        <v>5</v>
      </c>
      <c r="U61" s="10">
        <v>3</v>
      </c>
      <c r="V61" s="6">
        <f t="shared" ref="V61:AA124" ca="1" si="7">SUMXMY2($B61:$U61,AG$2:AG$21)</f>
        <v>23.270050899252276</v>
      </c>
      <c r="W61" s="6">
        <f t="shared" ca="1" si="7"/>
        <v>22.859127903054357</v>
      </c>
      <c r="X61" s="6">
        <f t="shared" ca="1" si="7"/>
        <v>22.518336591414965</v>
      </c>
      <c r="Y61" s="6">
        <f t="shared" ca="1" si="6"/>
        <v>22.781555251195005</v>
      </c>
      <c r="Z61" s="6">
        <f t="shared" ca="1" si="6"/>
        <v>23.33759783980884</v>
      </c>
      <c r="AA61" s="6">
        <f t="shared" ca="1" si="6"/>
        <v>23.490369753401911</v>
      </c>
      <c r="AB61" s="6">
        <f t="shared" ca="1" si="2"/>
        <v>22.518336591414965</v>
      </c>
      <c r="AC61" s="6">
        <f t="shared" ca="1" si="3"/>
        <v>3</v>
      </c>
    </row>
    <row r="62" spans="1:29">
      <c r="A62" s="11">
        <v>61</v>
      </c>
      <c r="B62" s="12">
        <v>4</v>
      </c>
      <c r="C62" s="11">
        <v>1</v>
      </c>
      <c r="D62" s="11">
        <v>1</v>
      </c>
      <c r="E62" s="11">
        <v>3</v>
      </c>
      <c r="F62" s="11">
        <v>1</v>
      </c>
      <c r="G62" s="11">
        <v>5</v>
      </c>
      <c r="H62" s="11">
        <v>2</v>
      </c>
      <c r="I62" s="11">
        <v>1</v>
      </c>
      <c r="J62" s="11">
        <v>1</v>
      </c>
      <c r="K62" s="11">
        <v>4</v>
      </c>
      <c r="L62" s="11">
        <v>1</v>
      </c>
      <c r="M62" s="11">
        <v>1</v>
      </c>
      <c r="N62" s="11">
        <v>5</v>
      </c>
      <c r="O62" s="11">
        <v>5</v>
      </c>
      <c r="P62" s="11">
        <v>5</v>
      </c>
      <c r="Q62" s="11">
        <v>1</v>
      </c>
      <c r="R62" s="11">
        <v>1</v>
      </c>
      <c r="S62" s="11">
        <v>2</v>
      </c>
      <c r="T62" s="11">
        <v>1</v>
      </c>
      <c r="U62" s="10">
        <v>1</v>
      </c>
      <c r="V62" s="6">
        <f t="shared" ca="1" si="7"/>
        <v>64.432608951224694</v>
      </c>
      <c r="W62" s="6">
        <f t="shared" ca="1" si="7"/>
        <v>63.978056961407191</v>
      </c>
      <c r="X62" s="6">
        <f t="shared" ca="1" si="7"/>
        <v>63.915700970457486</v>
      </c>
      <c r="Y62" s="6">
        <f t="shared" ca="1" si="6"/>
        <v>64.176020024184027</v>
      </c>
      <c r="Z62" s="6">
        <f t="shared" ca="1" si="6"/>
        <v>64.266868788627363</v>
      </c>
      <c r="AA62" s="6">
        <f t="shared" ca="1" si="6"/>
        <v>64.23551842273541</v>
      </c>
      <c r="AB62" s="6">
        <f t="shared" ca="1" si="2"/>
        <v>63.915700970457486</v>
      </c>
      <c r="AC62" s="6">
        <f t="shared" ca="1" si="3"/>
        <v>3</v>
      </c>
    </row>
    <row r="63" spans="1:29">
      <c r="A63" s="11">
        <v>62</v>
      </c>
      <c r="B63" s="12">
        <v>3</v>
      </c>
      <c r="C63" s="11">
        <v>2</v>
      </c>
      <c r="D63" s="11">
        <v>1</v>
      </c>
      <c r="E63" s="11">
        <v>3</v>
      </c>
      <c r="F63" s="11">
        <v>4</v>
      </c>
      <c r="G63" s="11">
        <v>4</v>
      </c>
      <c r="H63" s="11">
        <v>4</v>
      </c>
      <c r="I63" s="11">
        <v>1</v>
      </c>
      <c r="J63" s="11">
        <v>1</v>
      </c>
      <c r="K63" s="11">
        <v>1</v>
      </c>
      <c r="L63" s="11">
        <v>1</v>
      </c>
      <c r="M63" s="11">
        <v>1</v>
      </c>
      <c r="N63" s="11">
        <v>1</v>
      </c>
      <c r="O63" s="11">
        <v>5</v>
      </c>
      <c r="P63" s="11">
        <v>1</v>
      </c>
      <c r="Q63" s="11">
        <v>5</v>
      </c>
      <c r="R63" s="11">
        <v>1</v>
      </c>
      <c r="S63" s="11">
        <v>5</v>
      </c>
      <c r="T63" s="11">
        <v>1</v>
      </c>
      <c r="U63" s="10">
        <v>1</v>
      </c>
      <c r="V63" s="6">
        <f t="shared" ca="1" si="7"/>
        <v>60.064114788123504</v>
      </c>
      <c r="W63" s="6">
        <f t="shared" ca="1" si="7"/>
        <v>59.908316747955283</v>
      </c>
      <c r="X63" s="6">
        <f t="shared" ca="1" si="7"/>
        <v>59.949435768225605</v>
      </c>
      <c r="Y63" s="6">
        <f t="shared" ca="1" si="6"/>
        <v>59.416405895162612</v>
      </c>
      <c r="Z63" s="6">
        <f t="shared" ca="1" si="6"/>
        <v>60.582066326141295</v>
      </c>
      <c r="AA63" s="6">
        <f t="shared" ca="1" si="6"/>
        <v>60.672635863238902</v>
      </c>
      <c r="AB63" s="6">
        <f t="shared" ca="1" si="2"/>
        <v>59.416405895162612</v>
      </c>
      <c r="AC63" s="6">
        <f t="shared" ca="1" si="3"/>
        <v>4</v>
      </c>
    </row>
    <row r="64" spans="1:29">
      <c r="A64" s="11">
        <v>63</v>
      </c>
      <c r="B64" s="12">
        <v>3</v>
      </c>
      <c r="C64" s="11">
        <v>3</v>
      </c>
      <c r="D64" s="11">
        <v>2</v>
      </c>
      <c r="E64" s="11">
        <v>4</v>
      </c>
      <c r="F64" s="11">
        <v>3</v>
      </c>
      <c r="G64" s="11">
        <v>4</v>
      </c>
      <c r="H64" s="11">
        <v>3</v>
      </c>
      <c r="I64" s="11">
        <v>2</v>
      </c>
      <c r="J64" s="11">
        <v>2</v>
      </c>
      <c r="K64" s="11">
        <v>4</v>
      </c>
      <c r="L64" s="11">
        <v>2</v>
      </c>
      <c r="M64" s="11">
        <v>2</v>
      </c>
      <c r="N64" s="11">
        <v>3</v>
      </c>
      <c r="O64" s="11">
        <v>4</v>
      </c>
      <c r="P64" s="11">
        <v>3</v>
      </c>
      <c r="Q64" s="11">
        <v>2</v>
      </c>
      <c r="R64" s="11">
        <v>2</v>
      </c>
      <c r="S64" s="11">
        <v>4</v>
      </c>
      <c r="T64" s="11">
        <v>3</v>
      </c>
      <c r="U64" s="10">
        <v>3</v>
      </c>
      <c r="V64" s="6">
        <f t="shared" ca="1" si="7"/>
        <v>12.151175454434435</v>
      </c>
      <c r="W64" s="6">
        <f t="shared" ca="1" si="7"/>
        <v>11.880979418579743</v>
      </c>
      <c r="X64" s="6">
        <f t="shared" ca="1" si="7"/>
        <v>11.777193032391329</v>
      </c>
      <c r="Y64" s="6">
        <f t="shared" ca="1" si="6"/>
        <v>12.056354634456488</v>
      </c>
      <c r="Z64" s="6">
        <f t="shared" ca="1" si="6"/>
        <v>12.079344478068768</v>
      </c>
      <c r="AA64" s="6">
        <f t="shared" ca="1" si="6"/>
        <v>12.339975731409547</v>
      </c>
      <c r="AB64" s="6">
        <f t="shared" ca="1" si="2"/>
        <v>11.777193032391329</v>
      </c>
      <c r="AC64" s="6">
        <f t="shared" ca="1" si="3"/>
        <v>3</v>
      </c>
    </row>
    <row r="65" spans="1:29">
      <c r="A65" s="11">
        <v>64</v>
      </c>
      <c r="B65" s="12">
        <v>1</v>
      </c>
      <c r="C65" s="11">
        <v>2</v>
      </c>
      <c r="D65" s="11">
        <v>2</v>
      </c>
      <c r="E65" s="11">
        <v>3</v>
      </c>
      <c r="F65" s="11">
        <v>2</v>
      </c>
      <c r="G65" s="11">
        <v>4</v>
      </c>
      <c r="H65" s="11">
        <v>1</v>
      </c>
      <c r="I65" s="11">
        <v>1</v>
      </c>
      <c r="J65" s="11">
        <v>1</v>
      </c>
      <c r="K65" s="11">
        <v>2</v>
      </c>
      <c r="L65" s="11">
        <v>1</v>
      </c>
      <c r="M65" s="11">
        <v>2</v>
      </c>
      <c r="N65" s="11">
        <v>1</v>
      </c>
      <c r="O65" s="11">
        <v>1</v>
      </c>
      <c r="P65" s="11">
        <v>4</v>
      </c>
      <c r="Q65" s="11">
        <v>1</v>
      </c>
      <c r="R65" s="11">
        <v>2</v>
      </c>
      <c r="S65" s="11">
        <v>2</v>
      </c>
      <c r="T65" s="11">
        <v>1</v>
      </c>
      <c r="U65" s="10">
        <v>4</v>
      </c>
      <c r="V65" s="6">
        <f t="shared" ca="1" si="7"/>
        <v>45.583688417416617</v>
      </c>
      <c r="W65" s="6">
        <f t="shared" ca="1" si="7"/>
        <v>45.462719963415417</v>
      </c>
      <c r="X65" s="6">
        <f t="shared" ca="1" si="7"/>
        <v>45.676940741700811</v>
      </c>
      <c r="Y65" s="6">
        <f t="shared" ca="1" si="6"/>
        <v>45.883334235062321</v>
      </c>
      <c r="Z65" s="6">
        <f t="shared" ca="1" si="6"/>
        <v>46.832064729023543</v>
      </c>
      <c r="AA65" s="6">
        <f t="shared" ca="1" si="6"/>
        <v>45.916360635818577</v>
      </c>
      <c r="AB65" s="6">
        <f t="shared" ca="1" si="2"/>
        <v>45.462719963415417</v>
      </c>
      <c r="AC65" s="6">
        <f t="shared" ca="1" si="3"/>
        <v>2</v>
      </c>
    </row>
    <row r="66" spans="1:29">
      <c r="A66" s="11">
        <v>65</v>
      </c>
      <c r="B66" s="12">
        <v>5</v>
      </c>
      <c r="C66" s="11">
        <v>2</v>
      </c>
      <c r="D66" s="11">
        <v>2</v>
      </c>
      <c r="E66" s="11">
        <v>2</v>
      </c>
      <c r="F66" s="11">
        <v>3</v>
      </c>
      <c r="G66" s="11">
        <v>2</v>
      </c>
      <c r="H66" s="11">
        <v>2</v>
      </c>
      <c r="I66" s="11">
        <v>1</v>
      </c>
      <c r="J66" s="11">
        <v>1</v>
      </c>
      <c r="K66" s="11">
        <v>3</v>
      </c>
      <c r="L66" s="11">
        <v>1</v>
      </c>
      <c r="M66" s="11">
        <v>2</v>
      </c>
      <c r="N66" s="11">
        <v>1</v>
      </c>
      <c r="O66" s="11">
        <v>4</v>
      </c>
      <c r="P66" s="11">
        <v>3</v>
      </c>
      <c r="Q66" s="11">
        <v>2</v>
      </c>
      <c r="R66" s="11">
        <v>5</v>
      </c>
      <c r="S66" s="11">
        <v>3</v>
      </c>
      <c r="T66" s="11">
        <v>3</v>
      </c>
      <c r="U66" s="10">
        <v>2</v>
      </c>
      <c r="V66" s="6">
        <f t="shared" ca="1" si="7"/>
        <v>33.347710569980052</v>
      </c>
      <c r="W66" s="6">
        <f t="shared" ca="1" si="7"/>
        <v>32.705014163244535</v>
      </c>
      <c r="X66" s="6">
        <f t="shared" ca="1" si="7"/>
        <v>32.7870251691973</v>
      </c>
      <c r="Y66" s="6">
        <f t="shared" ca="1" si="6"/>
        <v>32.780197142210859</v>
      </c>
      <c r="Z66" s="6">
        <f t="shared" ca="1" si="6"/>
        <v>33.097646548350774</v>
      </c>
      <c r="AA66" s="6">
        <f t="shared" ca="1" si="6"/>
        <v>33.577893722053481</v>
      </c>
      <c r="AB66" s="6">
        <f t="shared" ca="1" si="2"/>
        <v>32.705014163244535</v>
      </c>
      <c r="AC66" s="6">
        <f t="shared" ca="1" si="3"/>
        <v>2</v>
      </c>
    </row>
    <row r="67" spans="1:29">
      <c r="A67" s="11">
        <v>66</v>
      </c>
      <c r="B67" s="12">
        <v>3</v>
      </c>
      <c r="C67" s="11">
        <v>3</v>
      </c>
      <c r="D67" s="11">
        <v>1</v>
      </c>
      <c r="E67" s="11">
        <v>2</v>
      </c>
      <c r="F67" s="11">
        <v>3</v>
      </c>
      <c r="G67" s="11">
        <v>3</v>
      </c>
      <c r="H67" s="11">
        <v>3</v>
      </c>
      <c r="I67" s="11">
        <v>2</v>
      </c>
      <c r="J67" s="11">
        <v>1</v>
      </c>
      <c r="K67" s="11">
        <v>4</v>
      </c>
      <c r="L67" s="11">
        <v>3</v>
      </c>
      <c r="M67" s="11">
        <v>2</v>
      </c>
      <c r="N67" s="11">
        <v>3</v>
      </c>
      <c r="O67" s="11">
        <v>5</v>
      </c>
      <c r="P67" s="11">
        <v>4</v>
      </c>
      <c r="Q67" s="11">
        <v>3</v>
      </c>
      <c r="R67" s="11">
        <v>3</v>
      </c>
      <c r="S67" s="11">
        <v>3</v>
      </c>
      <c r="T67" s="11">
        <v>3</v>
      </c>
      <c r="U67" s="10">
        <v>1</v>
      </c>
      <c r="V67" s="6">
        <f t="shared" ca="1" si="7"/>
        <v>21.356305963151748</v>
      </c>
      <c r="W67" s="6">
        <f t="shared" ca="1" si="7"/>
        <v>21.133185756192507</v>
      </c>
      <c r="X67" s="6">
        <f t="shared" ca="1" si="7"/>
        <v>21.196244609886051</v>
      </c>
      <c r="Y67" s="6">
        <f t="shared" ca="1" si="6"/>
        <v>20.803105814578569</v>
      </c>
      <c r="Z67" s="6">
        <f t="shared" ca="1" si="6"/>
        <v>20.955814064593099</v>
      </c>
      <c r="AA67" s="6">
        <f t="shared" ca="1" si="6"/>
        <v>21.173195413966678</v>
      </c>
      <c r="AB67" s="6">
        <f t="shared" ref="AB67:AB130" ca="1" si="8">MIN(V67:AA67)</f>
        <v>20.803105814578569</v>
      </c>
      <c r="AC67" s="6">
        <f t="shared" ref="AC67:AC130" ca="1" si="9">IF(AB67=V67,1,IF(AB67=W67,2,IF(AB67=X67,3,IF(AB67=Y67,4,IF(AB67=Z67,5,6)))))</f>
        <v>4</v>
      </c>
    </row>
    <row r="68" spans="1:29">
      <c r="A68" s="11">
        <v>67</v>
      </c>
      <c r="B68" s="12">
        <v>2</v>
      </c>
      <c r="C68" s="11">
        <v>3</v>
      </c>
      <c r="D68" s="11">
        <v>4</v>
      </c>
      <c r="E68" s="11">
        <v>3</v>
      </c>
      <c r="F68" s="11">
        <v>2</v>
      </c>
      <c r="G68" s="11">
        <v>3</v>
      </c>
      <c r="H68" s="11">
        <v>4</v>
      </c>
      <c r="I68" s="11">
        <v>3</v>
      </c>
      <c r="J68" s="11">
        <v>2</v>
      </c>
      <c r="K68" s="11">
        <v>3</v>
      </c>
      <c r="L68" s="11">
        <v>3</v>
      </c>
      <c r="M68" s="11">
        <v>4</v>
      </c>
      <c r="N68" s="11">
        <v>2</v>
      </c>
      <c r="O68" s="11">
        <v>3</v>
      </c>
      <c r="P68" s="11">
        <v>4</v>
      </c>
      <c r="Q68" s="11">
        <v>3</v>
      </c>
      <c r="R68" s="11">
        <v>2</v>
      </c>
      <c r="S68" s="11">
        <v>1</v>
      </c>
      <c r="T68" s="11">
        <v>5</v>
      </c>
      <c r="U68" s="10">
        <v>3</v>
      </c>
      <c r="V68" s="6">
        <f t="shared" ca="1" si="7"/>
        <v>16.736037071656792</v>
      </c>
      <c r="W68" s="6">
        <f t="shared" ca="1" si="7"/>
        <v>16.980520914052818</v>
      </c>
      <c r="X68" s="6">
        <f t="shared" ca="1" si="7"/>
        <v>17.007632625812789</v>
      </c>
      <c r="Y68" s="6">
        <f t="shared" ca="1" si="6"/>
        <v>16.893676023326098</v>
      </c>
      <c r="Z68" s="6">
        <f t="shared" ca="1" si="6"/>
        <v>17.421953377478342</v>
      </c>
      <c r="AA68" s="6">
        <f t="shared" ca="1" si="6"/>
        <v>16.722627682469888</v>
      </c>
      <c r="AB68" s="6">
        <f t="shared" ca="1" si="8"/>
        <v>16.722627682469888</v>
      </c>
      <c r="AC68" s="6">
        <f t="shared" ca="1" si="9"/>
        <v>6</v>
      </c>
    </row>
    <row r="69" spans="1:29">
      <c r="A69" s="11">
        <v>68</v>
      </c>
      <c r="B69" s="12">
        <v>3</v>
      </c>
      <c r="C69" s="11">
        <v>3</v>
      </c>
      <c r="D69" s="11">
        <v>4</v>
      </c>
      <c r="E69" s="11">
        <v>4</v>
      </c>
      <c r="F69" s="11">
        <v>3</v>
      </c>
      <c r="G69" s="11">
        <v>4</v>
      </c>
      <c r="H69" s="11">
        <v>3</v>
      </c>
      <c r="I69" s="11">
        <v>2</v>
      </c>
      <c r="J69" s="11">
        <v>4</v>
      </c>
      <c r="K69" s="11">
        <v>3</v>
      </c>
      <c r="L69" s="11">
        <v>3</v>
      </c>
      <c r="M69" s="11">
        <v>4</v>
      </c>
      <c r="N69" s="11">
        <v>4</v>
      </c>
      <c r="O69" s="11">
        <v>4</v>
      </c>
      <c r="P69" s="11">
        <v>4</v>
      </c>
      <c r="Q69" s="11">
        <v>2</v>
      </c>
      <c r="R69" s="11">
        <v>3</v>
      </c>
      <c r="S69" s="11">
        <v>4</v>
      </c>
      <c r="T69" s="11">
        <v>4</v>
      </c>
      <c r="U69" s="10">
        <v>2</v>
      </c>
      <c r="V69" s="6">
        <f t="shared" ca="1" si="7"/>
        <v>13.396590364358172</v>
      </c>
      <c r="W69" s="6">
        <f t="shared" ca="1" si="7"/>
        <v>13.03834822258071</v>
      </c>
      <c r="X69" s="6">
        <f t="shared" ca="1" si="7"/>
        <v>12.993721275382963</v>
      </c>
      <c r="Y69" s="6">
        <f t="shared" ca="1" si="6"/>
        <v>13.380087074345019</v>
      </c>
      <c r="Z69" s="6">
        <f t="shared" ca="1" si="6"/>
        <v>12.970062691109003</v>
      </c>
      <c r="AA69" s="6">
        <f t="shared" ca="1" si="6"/>
        <v>13.122425443988362</v>
      </c>
      <c r="AB69" s="6">
        <f t="shared" ca="1" si="8"/>
        <v>12.970062691109003</v>
      </c>
      <c r="AC69" s="6">
        <f t="shared" ca="1" si="9"/>
        <v>5</v>
      </c>
    </row>
    <row r="70" spans="1:29">
      <c r="A70" s="11">
        <v>69</v>
      </c>
      <c r="B70" s="12">
        <v>3</v>
      </c>
      <c r="C70" s="11">
        <v>3</v>
      </c>
      <c r="D70" s="11">
        <v>2</v>
      </c>
      <c r="E70" s="11">
        <v>3</v>
      </c>
      <c r="F70" s="11">
        <v>3</v>
      </c>
      <c r="G70" s="11">
        <v>3</v>
      </c>
      <c r="H70" s="11">
        <v>4</v>
      </c>
      <c r="I70" s="11">
        <v>2</v>
      </c>
      <c r="J70" s="11">
        <v>1</v>
      </c>
      <c r="K70" s="11">
        <v>5</v>
      </c>
      <c r="L70" s="11">
        <v>2</v>
      </c>
      <c r="M70" s="11">
        <v>5</v>
      </c>
      <c r="N70" s="11">
        <v>5</v>
      </c>
      <c r="O70" s="11">
        <v>5</v>
      </c>
      <c r="P70" s="11">
        <v>3</v>
      </c>
      <c r="Q70" s="11">
        <v>3</v>
      </c>
      <c r="R70" s="11">
        <v>2</v>
      </c>
      <c r="S70" s="11">
        <v>2</v>
      </c>
      <c r="T70" s="11">
        <v>2</v>
      </c>
      <c r="U70" s="10">
        <v>4</v>
      </c>
      <c r="V70" s="6">
        <f t="shared" ca="1" si="7"/>
        <v>27.736355943613614</v>
      </c>
      <c r="W70" s="6">
        <f t="shared" ca="1" si="7"/>
        <v>28.12325005040265</v>
      </c>
      <c r="X70" s="6">
        <f t="shared" ca="1" si="7"/>
        <v>28.143607689760053</v>
      </c>
      <c r="Y70" s="6">
        <f t="shared" ca="1" si="6"/>
        <v>28.138381178312947</v>
      </c>
      <c r="Z70" s="6">
        <f t="shared" ca="1" si="6"/>
        <v>27.762153402338388</v>
      </c>
      <c r="AA70" s="6">
        <f t="shared" ca="1" si="6"/>
        <v>28.114320592172316</v>
      </c>
      <c r="AB70" s="6">
        <f t="shared" ca="1" si="8"/>
        <v>27.736355943613614</v>
      </c>
      <c r="AC70" s="6">
        <f t="shared" ca="1" si="9"/>
        <v>1</v>
      </c>
    </row>
    <row r="71" spans="1:29">
      <c r="A71" s="11">
        <v>70</v>
      </c>
      <c r="B71" s="12">
        <v>3</v>
      </c>
      <c r="C71" s="11">
        <v>4</v>
      </c>
      <c r="D71" s="11">
        <v>1</v>
      </c>
      <c r="E71" s="11">
        <v>1</v>
      </c>
      <c r="F71" s="11">
        <v>3</v>
      </c>
      <c r="G71" s="11">
        <v>3</v>
      </c>
      <c r="H71" s="11">
        <v>3</v>
      </c>
      <c r="I71" s="11">
        <v>1</v>
      </c>
      <c r="J71" s="11">
        <v>1</v>
      </c>
      <c r="K71" s="11">
        <v>1</v>
      </c>
      <c r="L71" s="11">
        <v>1</v>
      </c>
      <c r="M71" s="11">
        <v>3</v>
      </c>
      <c r="N71" s="11">
        <v>2</v>
      </c>
      <c r="O71" s="11">
        <v>1</v>
      </c>
      <c r="P71" s="11">
        <v>3</v>
      </c>
      <c r="Q71" s="11">
        <v>3</v>
      </c>
      <c r="R71" s="11">
        <v>3</v>
      </c>
      <c r="S71" s="11">
        <v>4</v>
      </c>
      <c r="T71" s="11">
        <v>3</v>
      </c>
      <c r="U71" s="10">
        <v>4</v>
      </c>
      <c r="V71" s="6">
        <f t="shared" ca="1" si="7"/>
        <v>31.391924302743373</v>
      </c>
      <c r="W71" s="6">
        <f t="shared" ca="1" si="7"/>
        <v>31.77923805959022</v>
      </c>
      <c r="X71" s="6">
        <f t="shared" ca="1" si="7"/>
        <v>31.56779919544579</v>
      </c>
      <c r="Y71" s="6">
        <f t="shared" ca="1" si="6"/>
        <v>31.617064126850504</v>
      </c>
      <c r="Z71" s="6">
        <f t="shared" ca="1" si="6"/>
        <v>32.484126318727839</v>
      </c>
      <c r="AA71" s="6">
        <f t="shared" ca="1" si="6"/>
        <v>32.591231347134546</v>
      </c>
      <c r="AB71" s="6">
        <f t="shared" ca="1" si="8"/>
        <v>31.391924302743373</v>
      </c>
      <c r="AC71" s="6">
        <f t="shared" ca="1" si="9"/>
        <v>1</v>
      </c>
    </row>
    <row r="72" spans="1:29">
      <c r="A72" s="11">
        <v>71</v>
      </c>
      <c r="B72" s="12">
        <v>2</v>
      </c>
      <c r="C72" s="11">
        <v>4</v>
      </c>
      <c r="D72" s="11">
        <v>4</v>
      </c>
      <c r="E72" s="11">
        <v>4</v>
      </c>
      <c r="F72" s="11">
        <v>5</v>
      </c>
      <c r="G72" s="11">
        <v>4</v>
      </c>
      <c r="H72" s="11">
        <v>4</v>
      </c>
      <c r="I72" s="11">
        <v>4</v>
      </c>
      <c r="J72" s="11">
        <v>2</v>
      </c>
      <c r="K72" s="11">
        <v>2</v>
      </c>
      <c r="L72" s="11">
        <v>2</v>
      </c>
      <c r="M72" s="11">
        <v>2</v>
      </c>
      <c r="N72" s="11">
        <v>3</v>
      </c>
      <c r="O72" s="11">
        <v>1</v>
      </c>
      <c r="P72" s="11">
        <v>4</v>
      </c>
      <c r="Q72" s="11">
        <v>4</v>
      </c>
      <c r="R72" s="11">
        <v>2</v>
      </c>
      <c r="S72" s="11">
        <v>4</v>
      </c>
      <c r="T72" s="11">
        <v>4</v>
      </c>
      <c r="U72" s="10">
        <v>5</v>
      </c>
      <c r="V72" s="6">
        <f t="shared" ca="1" si="7"/>
        <v>27.382161874786387</v>
      </c>
      <c r="W72" s="6">
        <f t="shared" ca="1" si="7"/>
        <v>27.54420901866159</v>
      </c>
      <c r="X72" s="6">
        <f t="shared" ca="1" si="7"/>
        <v>27.625179204059084</v>
      </c>
      <c r="Y72" s="6">
        <f t="shared" ca="1" si="6"/>
        <v>27.802826054863317</v>
      </c>
      <c r="Z72" s="6">
        <f t="shared" ca="1" si="6"/>
        <v>28.159629188303235</v>
      </c>
      <c r="AA72" s="6">
        <f t="shared" ca="1" si="6"/>
        <v>28.399734341718545</v>
      </c>
      <c r="AB72" s="6">
        <f t="shared" ca="1" si="8"/>
        <v>27.382161874786387</v>
      </c>
      <c r="AC72" s="6">
        <f t="shared" ca="1" si="9"/>
        <v>1</v>
      </c>
    </row>
    <row r="73" spans="1:29">
      <c r="A73" s="11">
        <v>72</v>
      </c>
      <c r="B73" s="12">
        <v>2</v>
      </c>
      <c r="C73" s="11">
        <v>1</v>
      </c>
      <c r="D73" s="11">
        <v>2</v>
      </c>
      <c r="E73" s="11">
        <v>2</v>
      </c>
      <c r="F73" s="11">
        <v>1</v>
      </c>
      <c r="G73" s="11">
        <v>2</v>
      </c>
      <c r="H73" s="11">
        <v>3</v>
      </c>
      <c r="I73" s="11">
        <v>3</v>
      </c>
      <c r="J73" s="11">
        <v>2</v>
      </c>
      <c r="K73" s="11">
        <v>4</v>
      </c>
      <c r="L73" s="11">
        <v>1</v>
      </c>
      <c r="M73" s="11">
        <v>4</v>
      </c>
      <c r="N73" s="11">
        <v>4</v>
      </c>
      <c r="O73" s="11">
        <v>5</v>
      </c>
      <c r="P73" s="11">
        <v>5</v>
      </c>
      <c r="Q73" s="11">
        <v>3</v>
      </c>
      <c r="R73" s="11">
        <v>1</v>
      </c>
      <c r="S73" s="11">
        <v>2</v>
      </c>
      <c r="T73" s="11">
        <v>1</v>
      </c>
      <c r="U73" s="10">
        <v>5</v>
      </c>
      <c r="V73" s="6">
        <f t="shared" ca="1" si="7"/>
        <v>40.776434834813351</v>
      </c>
      <c r="W73" s="6">
        <f t="shared" ca="1" si="7"/>
        <v>40.785469924297075</v>
      </c>
      <c r="X73" s="6">
        <f t="shared" ca="1" si="7"/>
        <v>41.259968455357281</v>
      </c>
      <c r="Y73" s="6">
        <f t="shared" ca="1" si="6"/>
        <v>41.00391171772246</v>
      </c>
      <c r="Z73" s="6">
        <f t="shared" ca="1" si="6"/>
        <v>41.055369089483371</v>
      </c>
      <c r="AA73" s="6">
        <f t="shared" ca="1" si="6"/>
        <v>40.681960932541074</v>
      </c>
      <c r="AB73" s="6">
        <f t="shared" ca="1" si="8"/>
        <v>40.681960932541074</v>
      </c>
      <c r="AC73" s="6">
        <f t="shared" ca="1" si="9"/>
        <v>6</v>
      </c>
    </row>
    <row r="74" spans="1:29">
      <c r="A74" s="11">
        <v>73</v>
      </c>
      <c r="B74" s="12">
        <v>2</v>
      </c>
      <c r="C74" s="11">
        <v>3</v>
      </c>
      <c r="D74" s="11">
        <v>2</v>
      </c>
      <c r="E74" s="11">
        <v>4</v>
      </c>
      <c r="F74" s="11">
        <v>3</v>
      </c>
      <c r="G74" s="11">
        <v>3</v>
      </c>
      <c r="H74" s="11">
        <v>3</v>
      </c>
      <c r="I74" s="11">
        <v>3</v>
      </c>
      <c r="J74" s="11">
        <v>4</v>
      </c>
      <c r="K74" s="11">
        <v>3</v>
      </c>
      <c r="L74" s="11">
        <v>3</v>
      </c>
      <c r="M74" s="11">
        <v>1</v>
      </c>
      <c r="N74" s="11">
        <v>2</v>
      </c>
      <c r="O74" s="11">
        <v>4</v>
      </c>
      <c r="P74" s="11">
        <v>3</v>
      </c>
      <c r="Q74" s="11">
        <v>3</v>
      </c>
      <c r="R74" s="11">
        <v>2</v>
      </c>
      <c r="S74" s="11">
        <v>3</v>
      </c>
      <c r="T74" s="11">
        <v>4</v>
      </c>
      <c r="U74" s="10">
        <v>3</v>
      </c>
      <c r="V74" s="6">
        <f t="shared" ca="1" si="7"/>
        <v>12.188105638438484</v>
      </c>
      <c r="W74" s="6">
        <f t="shared" ca="1" si="7"/>
        <v>12.198841123726956</v>
      </c>
      <c r="X74" s="6">
        <f t="shared" ca="1" si="7"/>
        <v>12.045498905213512</v>
      </c>
      <c r="Y74" s="6">
        <f t="shared" ca="1" si="6"/>
        <v>11.976262882587825</v>
      </c>
      <c r="Z74" s="6">
        <f t="shared" ca="1" si="6"/>
        <v>12.250371724259178</v>
      </c>
      <c r="AA74" s="6">
        <f t="shared" ca="1" si="6"/>
        <v>12.065661588731867</v>
      </c>
      <c r="AB74" s="6">
        <f t="shared" ca="1" si="8"/>
        <v>11.976262882587825</v>
      </c>
      <c r="AC74" s="6">
        <f t="shared" ca="1" si="9"/>
        <v>4</v>
      </c>
    </row>
    <row r="75" spans="1:29">
      <c r="A75" s="11">
        <v>74</v>
      </c>
      <c r="B75" s="12">
        <v>5</v>
      </c>
      <c r="C75" s="11">
        <v>5</v>
      </c>
      <c r="D75" s="11">
        <v>2</v>
      </c>
      <c r="E75" s="11">
        <v>3</v>
      </c>
      <c r="F75" s="11">
        <v>2</v>
      </c>
      <c r="G75" s="11">
        <v>5</v>
      </c>
      <c r="H75" s="11">
        <v>1</v>
      </c>
      <c r="I75" s="11">
        <v>3</v>
      </c>
      <c r="J75" s="11">
        <v>2</v>
      </c>
      <c r="K75" s="11">
        <v>3</v>
      </c>
      <c r="L75" s="11">
        <v>3</v>
      </c>
      <c r="M75" s="11">
        <v>2</v>
      </c>
      <c r="N75" s="11">
        <v>2</v>
      </c>
      <c r="O75" s="11">
        <v>5</v>
      </c>
      <c r="P75" s="11">
        <v>5</v>
      </c>
      <c r="Q75" s="11">
        <v>5</v>
      </c>
      <c r="R75" s="11">
        <v>1</v>
      </c>
      <c r="S75" s="11">
        <v>2</v>
      </c>
      <c r="T75" s="11">
        <v>3</v>
      </c>
      <c r="U75" s="10">
        <v>4</v>
      </c>
      <c r="V75" s="6">
        <f t="shared" ca="1" si="7"/>
        <v>38.501388150718341</v>
      </c>
      <c r="W75" s="6">
        <f t="shared" ca="1" si="7"/>
        <v>39.431050828930395</v>
      </c>
      <c r="X75" s="6">
        <f t="shared" ca="1" si="7"/>
        <v>38.639351971792529</v>
      </c>
      <c r="Y75" s="6">
        <f t="shared" ca="1" si="6"/>
        <v>38.746981404181355</v>
      </c>
      <c r="Z75" s="6">
        <f t="shared" ca="1" si="6"/>
        <v>39.230286910751005</v>
      </c>
      <c r="AA75" s="6">
        <f t="shared" ca="1" si="6"/>
        <v>39.378644680202157</v>
      </c>
      <c r="AB75" s="6">
        <f t="shared" ca="1" si="8"/>
        <v>38.501388150718341</v>
      </c>
      <c r="AC75" s="6">
        <f t="shared" ca="1" si="9"/>
        <v>1</v>
      </c>
    </row>
    <row r="76" spans="1:29">
      <c r="A76" s="11">
        <v>75</v>
      </c>
      <c r="B76" s="12">
        <v>1</v>
      </c>
      <c r="C76" s="11">
        <v>1</v>
      </c>
      <c r="D76" s="11">
        <v>1</v>
      </c>
      <c r="E76" s="11">
        <v>1</v>
      </c>
      <c r="F76" s="11">
        <v>5</v>
      </c>
      <c r="G76" s="11">
        <v>2</v>
      </c>
      <c r="H76" s="11">
        <v>3</v>
      </c>
      <c r="I76" s="11">
        <v>3</v>
      </c>
      <c r="J76" s="11">
        <v>1</v>
      </c>
      <c r="K76" s="11">
        <v>1</v>
      </c>
      <c r="L76" s="11">
        <v>1</v>
      </c>
      <c r="M76" s="11">
        <v>4</v>
      </c>
      <c r="N76" s="11">
        <v>1</v>
      </c>
      <c r="O76" s="11">
        <v>3</v>
      </c>
      <c r="P76" s="11">
        <v>3</v>
      </c>
      <c r="Q76" s="11">
        <v>3</v>
      </c>
      <c r="R76" s="11">
        <v>3</v>
      </c>
      <c r="S76" s="11">
        <v>3</v>
      </c>
      <c r="T76" s="11">
        <v>3</v>
      </c>
      <c r="U76" s="10">
        <v>3</v>
      </c>
      <c r="V76" s="6">
        <f t="shared" ca="1" si="7"/>
        <v>37.656948872816564</v>
      </c>
      <c r="W76" s="6">
        <f t="shared" ca="1" si="7"/>
        <v>37.498205401306322</v>
      </c>
      <c r="X76" s="6">
        <f t="shared" ca="1" si="7"/>
        <v>38.332876409715055</v>
      </c>
      <c r="Y76" s="6">
        <f t="shared" ca="1" si="6"/>
        <v>37.341829523006567</v>
      </c>
      <c r="Z76" s="6">
        <f t="shared" ca="1" si="6"/>
        <v>38.56787062310358</v>
      </c>
      <c r="AA76" s="6">
        <f t="shared" ca="1" si="6"/>
        <v>38.209050930553353</v>
      </c>
      <c r="AB76" s="6">
        <f t="shared" ca="1" si="8"/>
        <v>37.341829523006567</v>
      </c>
      <c r="AC76" s="6">
        <f t="shared" ca="1" si="9"/>
        <v>4</v>
      </c>
    </row>
    <row r="77" spans="1:29">
      <c r="A77" s="11">
        <v>76</v>
      </c>
      <c r="B77" s="12">
        <v>4</v>
      </c>
      <c r="C77" s="11">
        <v>2</v>
      </c>
      <c r="D77" s="11">
        <v>1</v>
      </c>
      <c r="E77" s="11">
        <v>3</v>
      </c>
      <c r="F77" s="11">
        <v>3</v>
      </c>
      <c r="G77" s="11">
        <v>3</v>
      </c>
      <c r="H77" s="11">
        <v>2</v>
      </c>
      <c r="I77" s="11">
        <v>2</v>
      </c>
      <c r="J77" s="11">
        <v>1</v>
      </c>
      <c r="K77" s="11">
        <v>3</v>
      </c>
      <c r="L77" s="11">
        <v>2</v>
      </c>
      <c r="M77" s="11">
        <v>2</v>
      </c>
      <c r="N77" s="11">
        <v>2</v>
      </c>
      <c r="O77" s="11">
        <v>5</v>
      </c>
      <c r="P77" s="11">
        <v>3</v>
      </c>
      <c r="Q77" s="11">
        <v>3</v>
      </c>
      <c r="R77" s="11">
        <v>2</v>
      </c>
      <c r="S77" s="11">
        <v>2</v>
      </c>
      <c r="T77" s="11">
        <v>3</v>
      </c>
      <c r="U77" s="10">
        <v>2</v>
      </c>
      <c r="V77" s="6">
        <f t="shared" ca="1" si="7"/>
        <v>22.094908781913304</v>
      </c>
      <c r="W77" s="6">
        <f t="shared" ca="1" si="7"/>
        <v>22.176523882303737</v>
      </c>
      <c r="X77" s="6">
        <f t="shared" ca="1" si="7"/>
        <v>21.999735499261277</v>
      </c>
      <c r="Y77" s="6">
        <f t="shared" ca="1" si="6"/>
        <v>21.704822790575115</v>
      </c>
      <c r="Z77" s="6">
        <f t="shared" ca="1" si="6"/>
        <v>22.376318511421672</v>
      </c>
      <c r="AA77" s="6">
        <f t="shared" ca="1" si="6"/>
        <v>22.403982386307725</v>
      </c>
      <c r="AB77" s="6">
        <f t="shared" ca="1" si="8"/>
        <v>21.704822790575115</v>
      </c>
      <c r="AC77" s="6">
        <f t="shared" ca="1" si="9"/>
        <v>4</v>
      </c>
    </row>
    <row r="78" spans="1:29">
      <c r="A78" s="11">
        <v>77</v>
      </c>
      <c r="B78" s="12">
        <v>3</v>
      </c>
      <c r="C78" s="11">
        <v>1</v>
      </c>
      <c r="D78" s="11">
        <v>1</v>
      </c>
      <c r="E78" s="11">
        <v>1</v>
      </c>
      <c r="F78" s="11">
        <v>1</v>
      </c>
      <c r="G78" s="11">
        <v>4</v>
      </c>
      <c r="H78" s="11">
        <v>2</v>
      </c>
      <c r="I78" s="11">
        <v>1</v>
      </c>
      <c r="J78" s="11">
        <v>1</v>
      </c>
      <c r="K78" s="11">
        <v>2</v>
      </c>
      <c r="L78" s="11">
        <v>3</v>
      </c>
      <c r="M78" s="11">
        <v>3</v>
      </c>
      <c r="N78" s="11">
        <v>4</v>
      </c>
      <c r="O78" s="11">
        <v>4</v>
      </c>
      <c r="P78" s="11">
        <v>5</v>
      </c>
      <c r="Q78" s="11">
        <v>2</v>
      </c>
      <c r="R78" s="11">
        <v>2</v>
      </c>
      <c r="S78" s="11">
        <v>2</v>
      </c>
      <c r="T78" s="11">
        <v>5</v>
      </c>
      <c r="U78" s="10">
        <v>5</v>
      </c>
      <c r="V78" s="6">
        <f t="shared" ca="1" si="7"/>
        <v>43.862516973617595</v>
      </c>
      <c r="W78" s="6">
        <f t="shared" ca="1" si="7"/>
        <v>43.992459674586968</v>
      </c>
      <c r="X78" s="6">
        <f t="shared" ca="1" si="7"/>
        <v>43.66232164644321</v>
      </c>
      <c r="Y78" s="6">
        <f t="shared" ca="1" si="6"/>
        <v>43.787956136070889</v>
      </c>
      <c r="Z78" s="6">
        <f t="shared" ca="1" si="6"/>
        <v>44.50722716600076</v>
      </c>
      <c r="AA78" s="6">
        <f t="shared" ca="1" si="6"/>
        <v>44.628471612617524</v>
      </c>
      <c r="AB78" s="6">
        <f t="shared" ca="1" si="8"/>
        <v>43.66232164644321</v>
      </c>
      <c r="AC78" s="6">
        <f t="shared" ca="1" si="9"/>
        <v>3</v>
      </c>
    </row>
    <row r="79" spans="1:29">
      <c r="A79" s="11">
        <v>78</v>
      </c>
      <c r="B79" s="12">
        <v>3</v>
      </c>
      <c r="C79" s="11">
        <v>2</v>
      </c>
      <c r="D79" s="11">
        <v>1</v>
      </c>
      <c r="E79" s="11">
        <v>3</v>
      </c>
      <c r="F79" s="11">
        <v>1</v>
      </c>
      <c r="G79" s="11">
        <v>3</v>
      </c>
      <c r="H79" s="11">
        <v>3</v>
      </c>
      <c r="I79" s="11">
        <v>1</v>
      </c>
      <c r="J79" s="11">
        <v>1</v>
      </c>
      <c r="K79" s="11">
        <v>2</v>
      </c>
      <c r="L79" s="11">
        <v>1</v>
      </c>
      <c r="M79" s="11">
        <v>3</v>
      </c>
      <c r="N79" s="11">
        <v>2</v>
      </c>
      <c r="O79" s="11">
        <v>4</v>
      </c>
      <c r="P79" s="11">
        <v>3</v>
      </c>
      <c r="Q79" s="11">
        <v>1</v>
      </c>
      <c r="R79" s="11">
        <v>5</v>
      </c>
      <c r="S79" s="11">
        <v>3</v>
      </c>
      <c r="T79" s="11">
        <v>3</v>
      </c>
      <c r="U79" s="10">
        <v>5</v>
      </c>
      <c r="V79" s="6">
        <f t="shared" ca="1" si="7"/>
        <v>36.104572234061457</v>
      </c>
      <c r="W79" s="6">
        <f t="shared" ca="1" si="7"/>
        <v>35.389845506687273</v>
      </c>
      <c r="X79" s="6">
        <f t="shared" ca="1" si="7"/>
        <v>35.493627369027237</v>
      </c>
      <c r="Y79" s="6">
        <f t="shared" ca="1" si="6"/>
        <v>35.888325241774425</v>
      </c>
      <c r="Z79" s="6">
        <f t="shared" ca="1" si="6"/>
        <v>36.215342081131439</v>
      </c>
      <c r="AA79" s="6">
        <f t="shared" ca="1" si="6"/>
        <v>36.691991797790791</v>
      </c>
      <c r="AB79" s="6">
        <f t="shared" ca="1" si="8"/>
        <v>35.389845506687273</v>
      </c>
      <c r="AC79" s="6">
        <f t="shared" ca="1" si="9"/>
        <v>2</v>
      </c>
    </row>
    <row r="80" spans="1:29">
      <c r="A80" s="11">
        <v>79</v>
      </c>
      <c r="B80" s="12">
        <v>3</v>
      </c>
      <c r="C80" s="11">
        <v>3</v>
      </c>
      <c r="D80" s="11">
        <v>2</v>
      </c>
      <c r="E80" s="11">
        <v>4</v>
      </c>
      <c r="F80" s="11">
        <v>3</v>
      </c>
      <c r="G80" s="11">
        <v>4</v>
      </c>
      <c r="H80" s="11">
        <v>3</v>
      </c>
      <c r="I80" s="11">
        <v>2</v>
      </c>
      <c r="J80" s="11">
        <v>2</v>
      </c>
      <c r="K80" s="11">
        <v>3</v>
      </c>
      <c r="L80" s="11">
        <v>2</v>
      </c>
      <c r="M80" s="11">
        <v>1</v>
      </c>
      <c r="N80" s="11">
        <v>2</v>
      </c>
      <c r="O80" s="11">
        <v>4</v>
      </c>
      <c r="P80" s="11">
        <v>3</v>
      </c>
      <c r="Q80" s="11">
        <v>3</v>
      </c>
      <c r="R80" s="11">
        <v>3</v>
      </c>
      <c r="S80" s="11">
        <v>3</v>
      </c>
      <c r="T80" s="11">
        <v>3</v>
      </c>
      <c r="U80" s="10">
        <v>3</v>
      </c>
      <c r="V80" s="6">
        <f t="shared" ca="1" si="7"/>
        <v>12.090133438458873</v>
      </c>
      <c r="W80" s="6">
        <f t="shared" ca="1" si="7"/>
        <v>11.873517410900154</v>
      </c>
      <c r="X80" s="6">
        <f t="shared" ca="1" si="7"/>
        <v>11.749084360040948</v>
      </c>
      <c r="Y80" s="6">
        <f t="shared" ca="1" si="6"/>
        <v>11.890853888809504</v>
      </c>
      <c r="Z80" s="6">
        <f t="shared" ca="1" si="6"/>
        <v>12.202361246872346</v>
      </c>
      <c r="AA80" s="6">
        <f t="shared" ca="1" si="6"/>
        <v>12.449088339095164</v>
      </c>
      <c r="AB80" s="6">
        <f t="shared" ca="1" si="8"/>
        <v>11.749084360040948</v>
      </c>
      <c r="AC80" s="6">
        <f t="shared" ca="1" si="9"/>
        <v>3</v>
      </c>
    </row>
    <row r="81" spans="1:29">
      <c r="A81" s="11">
        <v>80</v>
      </c>
      <c r="B81" s="12">
        <v>5</v>
      </c>
      <c r="C81" s="11">
        <v>5</v>
      </c>
      <c r="D81" s="11">
        <v>1</v>
      </c>
      <c r="E81" s="11">
        <v>1</v>
      </c>
      <c r="F81" s="11">
        <v>4</v>
      </c>
      <c r="G81" s="11">
        <v>5</v>
      </c>
      <c r="H81" s="11">
        <v>3</v>
      </c>
      <c r="I81" s="11">
        <v>2</v>
      </c>
      <c r="J81" s="11">
        <v>2</v>
      </c>
      <c r="K81" s="11">
        <v>3</v>
      </c>
      <c r="L81" s="11">
        <v>2</v>
      </c>
      <c r="M81" s="11">
        <v>2</v>
      </c>
      <c r="N81" s="11">
        <v>2</v>
      </c>
      <c r="O81" s="11">
        <v>2</v>
      </c>
      <c r="P81" s="11">
        <v>5</v>
      </c>
      <c r="Q81" s="11">
        <v>1</v>
      </c>
      <c r="R81" s="11">
        <v>3</v>
      </c>
      <c r="S81" s="11">
        <v>3</v>
      </c>
      <c r="T81" s="11">
        <v>3</v>
      </c>
      <c r="U81" s="10">
        <v>2</v>
      </c>
      <c r="V81" s="6">
        <f t="shared" ca="1" si="7"/>
        <v>35.849239445413879</v>
      </c>
      <c r="W81" s="6">
        <f t="shared" ca="1" si="7"/>
        <v>35.824693913689991</v>
      </c>
      <c r="X81" s="6">
        <f t="shared" ca="1" si="7"/>
        <v>35.792010778858646</v>
      </c>
      <c r="Y81" s="6">
        <f t="shared" ca="1" si="6"/>
        <v>35.918616896944478</v>
      </c>
      <c r="Z81" s="6">
        <f t="shared" ca="1" si="6"/>
        <v>35.927728301352943</v>
      </c>
      <c r="AA81" s="6">
        <f t="shared" ca="1" si="6"/>
        <v>36.384905776157801</v>
      </c>
      <c r="AB81" s="6">
        <f t="shared" ca="1" si="8"/>
        <v>35.792010778858646</v>
      </c>
      <c r="AC81" s="6">
        <f t="shared" ca="1" si="9"/>
        <v>3</v>
      </c>
    </row>
    <row r="82" spans="1:29">
      <c r="A82" s="11">
        <v>81</v>
      </c>
      <c r="B82" s="12">
        <v>3</v>
      </c>
      <c r="C82" s="11">
        <v>2</v>
      </c>
      <c r="D82" s="11">
        <v>1</v>
      </c>
      <c r="E82" s="11">
        <v>4</v>
      </c>
      <c r="F82" s="11">
        <v>3</v>
      </c>
      <c r="G82" s="11">
        <v>5</v>
      </c>
      <c r="H82" s="11">
        <v>4</v>
      </c>
      <c r="I82" s="11">
        <v>3</v>
      </c>
      <c r="J82" s="11">
        <v>2</v>
      </c>
      <c r="K82" s="11">
        <v>5</v>
      </c>
      <c r="L82" s="11">
        <v>1</v>
      </c>
      <c r="M82" s="11">
        <v>2</v>
      </c>
      <c r="N82" s="11">
        <v>3</v>
      </c>
      <c r="O82" s="11">
        <v>2</v>
      </c>
      <c r="P82" s="11">
        <v>3</v>
      </c>
      <c r="Q82" s="11">
        <v>4</v>
      </c>
      <c r="R82" s="11">
        <v>4</v>
      </c>
      <c r="S82" s="11">
        <v>1</v>
      </c>
      <c r="T82" s="11">
        <v>2</v>
      </c>
      <c r="U82" s="10">
        <v>1</v>
      </c>
      <c r="V82" s="6">
        <f t="shared" ca="1" si="7"/>
        <v>32.81439849588169</v>
      </c>
      <c r="W82" s="6">
        <f t="shared" ca="1" si="7"/>
        <v>32.937719535420115</v>
      </c>
      <c r="X82" s="6">
        <f t="shared" ca="1" si="7"/>
        <v>33.215469467309362</v>
      </c>
      <c r="Y82" s="6">
        <f t="shared" ca="1" si="6"/>
        <v>32.969433846895818</v>
      </c>
      <c r="Z82" s="6">
        <f t="shared" ca="1" si="6"/>
        <v>33.165138161892116</v>
      </c>
      <c r="AA82" s="6">
        <f t="shared" ca="1" si="6"/>
        <v>32.922027070948616</v>
      </c>
      <c r="AB82" s="6">
        <f t="shared" ca="1" si="8"/>
        <v>32.81439849588169</v>
      </c>
      <c r="AC82" s="6">
        <f t="shared" ca="1" si="9"/>
        <v>1</v>
      </c>
    </row>
    <row r="83" spans="1:29">
      <c r="A83" s="11">
        <v>82</v>
      </c>
      <c r="B83" s="12">
        <v>1</v>
      </c>
      <c r="C83" s="11">
        <v>1</v>
      </c>
      <c r="D83" s="11">
        <v>1</v>
      </c>
      <c r="E83" s="11">
        <v>1</v>
      </c>
      <c r="F83" s="11">
        <v>1</v>
      </c>
      <c r="G83" s="11">
        <v>1</v>
      </c>
      <c r="H83" s="11">
        <v>3</v>
      </c>
      <c r="I83" s="11">
        <v>3</v>
      </c>
      <c r="J83" s="11">
        <v>3</v>
      </c>
      <c r="K83" s="11">
        <v>3</v>
      </c>
      <c r="L83" s="11">
        <v>3</v>
      </c>
      <c r="M83" s="11">
        <v>1</v>
      </c>
      <c r="N83" s="11">
        <v>1</v>
      </c>
      <c r="O83" s="11">
        <v>2</v>
      </c>
      <c r="P83" s="11">
        <v>5</v>
      </c>
      <c r="Q83" s="11">
        <v>1</v>
      </c>
      <c r="R83" s="11">
        <v>3</v>
      </c>
      <c r="S83" s="11">
        <v>4</v>
      </c>
      <c r="T83" s="11">
        <v>3</v>
      </c>
      <c r="U83" s="10">
        <v>5</v>
      </c>
      <c r="V83" s="6">
        <f t="shared" ca="1" si="7"/>
        <v>46.322012846580783</v>
      </c>
      <c r="W83" s="6">
        <f t="shared" ca="1" si="7"/>
        <v>45.391421913097638</v>
      </c>
      <c r="X83" s="6">
        <f t="shared" ca="1" si="7"/>
        <v>46.069057219914761</v>
      </c>
      <c r="Y83" s="6">
        <f t="shared" ca="1" si="6"/>
        <v>45.809574481815801</v>
      </c>
      <c r="Z83" s="6">
        <f t="shared" ca="1" si="6"/>
        <v>46.091597033393036</v>
      </c>
      <c r="AA83" s="6">
        <f t="shared" ca="1" si="6"/>
        <v>45.661656794025269</v>
      </c>
      <c r="AB83" s="6">
        <f t="shared" ca="1" si="8"/>
        <v>45.391421913097638</v>
      </c>
      <c r="AC83" s="6">
        <f t="shared" ca="1" si="9"/>
        <v>2</v>
      </c>
    </row>
    <row r="84" spans="1:29">
      <c r="A84" s="11">
        <v>83</v>
      </c>
      <c r="B84" s="12">
        <v>3</v>
      </c>
      <c r="C84" s="11">
        <v>4</v>
      </c>
      <c r="D84" s="11">
        <v>2</v>
      </c>
      <c r="E84" s="11">
        <v>3</v>
      </c>
      <c r="F84" s="11">
        <v>4</v>
      </c>
      <c r="G84" s="11">
        <v>3</v>
      </c>
      <c r="H84" s="11">
        <v>3</v>
      </c>
      <c r="I84" s="11">
        <v>3</v>
      </c>
      <c r="J84" s="11">
        <v>3</v>
      </c>
      <c r="K84" s="11">
        <v>3</v>
      </c>
      <c r="L84" s="11">
        <v>3</v>
      </c>
      <c r="M84" s="11">
        <v>3</v>
      </c>
      <c r="N84" s="11">
        <v>3</v>
      </c>
      <c r="O84" s="11">
        <v>3</v>
      </c>
      <c r="P84" s="11">
        <v>3</v>
      </c>
      <c r="Q84" s="11">
        <v>2</v>
      </c>
      <c r="R84" s="11">
        <v>3</v>
      </c>
      <c r="S84" s="11">
        <v>3</v>
      </c>
      <c r="T84" s="11">
        <v>3</v>
      </c>
      <c r="U84" s="10">
        <v>3</v>
      </c>
      <c r="V84" s="6">
        <f t="shared" ca="1" si="7"/>
        <v>3.9931383173516264</v>
      </c>
      <c r="W84" s="6">
        <f t="shared" ca="1" si="7"/>
        <v>4.0682630019953692</v>
      </c>
      <c r="X84" s="6">
        <f t="shared" ca="1" si="7"/>
        <v>4.0542083844393222</v>
      </c>
      <c r="Y84" s="6">
        <f t="shared" ca="1" si="6"/>
        <v>4.0451483229378384</v>
      </c>
      <c r="Z84" s="6">
        <f t="shared" ca="1" si="6"/>
        <v>3.9105431359548231</v>
      </c>
      <c r="AA84" s="6">
        <f t="shared" ca="1" si="6"/>
        <v>4.1189089315683436</v>
      </c>
      <c r="AB84" s="6">
        <f t="shared" ca="1" si="8"/>
        <v>3.9105431359548231</v>
      </c>
      <c r="AC84" s="6">
        <f t="shared" ca="1" si="9"/>
        <v>5</v>
      </c>
    </row>
    <row r="85" spans="1:29">
      <c r="A85" s="11">
        <v>84</v>
      </c>
      <c r="B85" s="12">
        <v>2</v>
      </c>
      <c r="C85" s="11">
        <v>3</v>
      </c>
      <c r="D85" s="11">
        <v>2</v>
      </c>
      <c r="E85" s="11">
        <v>2</v>
      </c>
      <c r="F85" s="11">
        <v>4</v>
      </c>
      <c r="G85" s="11">
        <v>4</v>
      </c>
      <c r="H85" s="11">
        <v>3</v>
      </c>
      <c r="I85" s="11">
        <v>2</v>
      </c>
      <c r="J85" s="11">
        <v>2</v>
      </c>
      <c r="K85" s="11">
        <v>3</v>
      </c>
      <c r="L85" s="11">
        <v>4</v>
      </c>
      <c r="M85" s="11">
        <v>3</v>
      </c>
      <c r="N85" s="11">
        <v>1</v>
      </c>
      <c r="O85" s="11">
        <v>5</v>
      </c>
      <c r="P85" s="11">
        <v>3</v>
      </c>
      <c r="Q85" s="11">
        <v>1</v>
      </c>
      <c r="R85" s="11">
        <v>1</v>
      </c>
      <c r="S85" s="11">
        <v>5</v>
      </c>
      <c r="T85" s="11">
        <v>3</v>
      </c>
      <c r="U85" s="10">
        <v>5</v>
      </c>
      <c r="V85" s="6">
        <f t="shared" ca="1" si="7"/>
        <v>32.10098605674947</v>
      </c>
      <c r="W85" s="6">
        <f t="shared" ca="1" si="7"/>
        <v>31.613479877104389</v>
      </c>
      <c r="X85" s="6">
        <f t="shared" ca="1" si="7"/>
        <v>31.872014422585121</v>
      </c>
      <c r="Y85" s="6">
        <f t="shared" ca="1" si="6"/>
        <v>31.797007845384279</v>
      </c>
      <c r="Z85" s="6">
        <f t="shared" ca="1" si="6"/>
        <v>31.984406387821846</v>
      </c>
      <c r="AA85" s="6">
        <f t="shared" ca="1" si="6"/>
        <v>32.28455759673988</v>
      </c>
      <c r="AB85" s="6">
        <f t="shared" ca="1" si="8"/>
        <v>31.613479877104389</v>
      </c>
      <c r="AC85" s="6">
        <f t="shared" ca="1" si="9"/>
        <v>2</v>
      </c>
    </row>
    <row r="86" spans="1:29">
      <c r="A86" s="11">
        <v>85</v>
      </c>
      <c r="B86" s="12">
        <v>2</v>
      </c>
      <c r="C86" s="11">
        <v>2</v>
      </c>
      <c r="D86" s="11">
        <v>2</v>
      </c>
      <c r="E86" s="11">
        <v>5</v>
      </c>
      <c r="F86" s="11">
        <v>3</v>
      </c>
      <c r="G86" s="11">
        <v>5</v>
      </c>
      <c r="H86" s="11">
        <v>3</v>
      </c>
      <c r="I86" s="11">
        <v>2</v>
      </c>
      <c r="J86" s="11">
        <v>2</v>
      </c>
      <c r="K86" s="11">
        <v>2</v>
      </c>
      <c r="L86" s="11">
        <v>2</v>
      </c>
      <c r="M86" s="11">
        <v>2</v>
      </c>
      <c r="N86" s="11">
        <v>2</v>
      </c>
      <c r="O86" s="11">
        <v>5</v>
      </c>
      <c r="P86" s="11">
        <v>4</v>
      </c>
      <c r="Q86" s="11">
        <v>1</v>
      </c>
      <c r="R86" s="11">
        <v>2</v>
      </c>
      <c r="S86" s="11">
        <v>3</v>
      </c>
      <c r="T86" s="11">
        <v>3</v>
      </c>
      <c r="U86" s="10">
        <v>3</v>
      </c>
      <c r="V86" s="6">
        <f t="shared" ca="1" si="7"/>
        <v>27.301116176688424</v>
      </c>
      <c r="W86" s="6">
        <f t="shared" ca="1" si="7"/>
        <v>26.567520678292546</v>
      </c>
      <c r="X86" s="6">
        <f t="shared" ca="1" si="7"/>
        <v>26.812699061815593</v>
      </c>
      <c r="Y86" s="6">
        <f t="shared" ca="1" si="6"/>
        <v>27.010778426022878</v>
      </c>
      <c r="Z86" s="6">
        <f t="shared" ca="1" si="6"/>
        <v>27.384147408435435</v>
      </c>
      <c r="AA86" s="6">
        <f t="shared" ca="1" si="6"/>
        <v>27.416812712130426</v>
      </c>
      <c r="AB86" s="6">
        <f t="shared" ca="1" si="8"/>
        <v>26.567520678292546</v>
      </c>
      <c r="AC86" s="6">
        <f t="shared" ca="1" si="9"/>
        <v>2</v>
      </c>
    </row>
    <row r="87" spans="1:29">
      <c r="A87" s="11">
        <v>86</v>
      </c>
      <c r="B87" s="12">
        <v>1</v>
      </c>
      <c r="C87" s="11">
        <v>1</v>
      </c>
      <c r="D87" s="11">
        <v>3</v>
      </c>
      <c r="E87" s="11">
        <v>2</v>
      </c>
      <c r="F87" s="11">
        <v>2</v>
      </c>
      <c r="G87" s="11">
        <v>4</v>
      </c>
      <c r="H87" s="11">
        <v>5</v>
      </c>
      <c r="I87" s="11">
        <v>2</v>
      </c>
      <c r="J87" s="11">
        <v>1</v>
      </c>
      <c r="K87" s="11">
        <v>3</v>
      </c>
      <c r="L87" s="11">
        <v>1</v>
      </c>
      <c r="M87" s="11">
        <v>3</v>
      </c>
      <c r="N87" s="11">
        <v>3</v>
      </c>
      <c r="O87" s="11">
        <v>5</v>
      </c>
      <c r="P87" s="11">
        <v>4</v>
      </c>
      <c r="Q87" s="11">
        <v>1</v>
      </c>
      <c r="R87" s="11">
        <v>2</v>
      </c>
      <c r="S87" s="11">
        <v>3</v>
      </c>
      <c r="T87" s="11">
        <v>1</v>
      </c>
      <c r="U87" s="10">
        <v>5</v>
      </c>
      <c r="V87" s="6">
        <f t="shared" ca="1" si="7"/>
        <v>42.023764694803106</v>
      </c>
      <c r="W87" s="6">
        <f t="shared" ca="1" si="7"/>
        <v>41.012600381377624</v>
      </c>
      <c r="X87" s="6">
        <f t="shared" ca="1" si="7"/>
        <v>41.925422347504323</v>
      </c>
      <c r="Y87" s="6">
        <f t="shared" ca="1" si="6"/>
        <v>41.933812068507571</v>
      </c>
      <c r="Z87" s="6">
        <f t="shared" ca="1" si="6"/>
        <v>42.000586010131173</v>
      </c>
      <c r="AA87" s="6">
        <f t="shared" ca="1" si="6"/>
        <v>42.062312309145696</v>
      </c>
      <c r="AB87" s="6">
        <f t="shared" ca="1" si="8"/>
        <v>41.012600381377624</v>
      </c>
      <c r="AC87" s="6">
        <f t="shared" ca="1" si="9"/>
        <v>2</v>
      </c>
    </row>
    <row r="88" spans="1:29">
      <c r="A88" s="11">
        <v>87</v>
      </c>
      <c r="B88" s="12">
        <v>5</v>
      </c>
      <c r="C88" s="11">
        <v>2</v>
      </c>
      <c r="D88" s="11">
        <v>1</v>
      </c>
      <c r="E88" s="11">
        <v>3</v>
      </c>
      <c r="F88" s="11">
        <v>4</v>
      </c>
      <c r="G88" s="11">
        <v>3</v>
      </c>
      <c r="H88" s="11">
        <v>3</v>
      </c>
      <c r="I88" s="11">
        <v>2</v>
      </c>
      <c r="J88" s="11">
        <v>2</v>
      </c>
      <c r="K88" s="11">
        <v>2</v>
      </c>
      <c r="L88" s="11">
        <v>1</v>
      </c>
      <c r="M88" s="11">
        <v>2</v>
      </c>
      <c r="N88" s="11">
        <v>2</v>
      </c>
      <c r="O88" s="11">
        <v>4</v>
      </c>
      <c r="P88" s="11">
        <v>4</v>
      </c>
      <c r="Q88" s="11">
        <v>2</v>
      </c>
      <c r="R88" s="11">
        <v>4</v>
      </c>
      <c r="S88" s="11">
        <v>2</v>
      </c>
      <c r="T88" s="11">
        <v>4</v>
      </c>
      <c r="U88" s="10">
        <v>2</v>
      </c>
      <c r="V88" s="6">
        <f t="shared" ca="1" si="7"/>
        <v>26.218393321326786</v>
      </c>
      <c r="W88" s="6">
        <f t="shared" ca="1" si="7"/>
        <v>25.873612905866345</v>
      </c>
      <c r="X88" s="6">
        <f t="shared" ca="1" si="7"/>
        <v>25.962208648445117</v>
      </c>
      <c r="Y88" s="6">
        <f t="shared" ca="1" si="6"/>
        <v>25.850389330901869</v>
      </c>
      <c r="Z88" s="6">
        <f t="shared" ca="1" si="6"/>
        <v>26.179614399421183</v>
      </c>
      <c r="AA88" s="6">
        <f t="shared" ca="1" si="6"/>
        <v>26.719821576021765</v>
      </c>
      <c r="AB88" s="6">
        <f t="shared" ca="1" si="8"/>
        <v>25.850389330901869</v>
      </c>
      <c r="AC88" s="6">
        <f t="shared" ca="1" si="9"/>
        <v>4</v>
      </c>
    </row>
    <row r="89" spans="1:29">
      <c r="A89" s="11">
        <v>88</v>
      </c>
      <c r="B89" s="12">
        <v>2</v>
      </c>
      <c r="C89" s="11">
        <v>2</v>
      </c>
      <c r="D89" s="11">
        <v>2</v>
      </c>
      <c r="E89" s="11">
        <v>2</v>
      </c>
      <c r="F89" s="11">
        <v>2</v>
      </c>
      <c r="G89" s="11">
        <v>4</v>
      </c>
      <c r="H89" s="11">
        <v>3</v>
      </c>
      <c r="I89" s="11">
        <v>2</v>
      </c>
      <c r="J89" s="11">
        <v>4</v>
      </c>
      <c r="K89" s="11">
        <v>1</v>
      </c>
      <c r="L89" s="11">
        <v>2</v>
      </c>
      <c r="M89" s="11">
        <v>2</v>
      </c>
      <c r="N89" s="11">
        <v>4</v>
      </c>
      <c r="O89" s="11">
        <v>4</v>
      </c>
      <c r="P89" s="11">
        <v>3</v>
      </c>
      <c r="Q89" s="11">
        <v>4</v>
      </c>
      <c r="R89" s="11">
        <v>2</v>
      </c>
      <c r="S89" s="11">
        <v>1</v>
      </c>
      <c r="T89" s="11">
        <v>2</v>
      </c>
      <c r="U89" s="10">
        <v>4</v>
      </c>
      <c r="V89" s="6">
        <f t="shared" ca="1" si="7"/>
        <v>23.677459817698661</v>
      </c>
      <c r="W89" s="6">
        <f t="shared" ca="1" si="7"/>
        <v>24.281057657588633</v>
      </c>
      <c r="X89" s="6">
        <f t="shared" ca="1" si="7"/>
        <v>24.060900450170234</v>
      </c>
      <c r="Y89" s="6">
        <f t="shared" ca="1" si="6"/>
        <v>23.946106259511833</v>
      </c>
      <c r="Z89" s="6">
        <f t="shared" ca="1" si="6"/>
        <v>24.474067651023127</v>
      </c>
      <c r="AA89" s="6">
        <f t="shared" ca="1" si="6"/>
        <v>24.195783876949054</v>
      </c>
      <c r="AB89" s="6">
        <f t="shared" ca="1" si="8"/>
        <v>23.677459817698661</v>
      </c>
      <c r="AC89" s="6">
        <f t="shared" ca="1" si="9"/>
        <v>1</v>
      </c>
    </row>
    <row r="90" spans="1:29">
      <c r="A90" s="11">
        <v>89</v>
      </c>
      <c r="B90" s="12">
        <v>4</v>
      </c>
      <c r="C90" s="11">
        <v>2</v>
      </c>
      <c r="D90" s="11">
        <v>2</v>
      </c>
      <c r="E90" s="11">
        <v>5</v>
      </c>
      <c r="F90" s="11">
        <v>1</v>
      </c>
      <c r="G90" s="11">
        <v>3</v>
      </c>
      <c r="H90" s="11">
        <v>4</v>
      </c>
      <c r="I90" s="11">
        <v>2</v>
      </c>
      <c r="J90" s="11">
        <v>1</v>
      </c>
      <c r="K90" s="11">
        <v>2</v>
      </c>
      <c r="L90" s="11">
        <v>1</v>
      </c>
      <c r="M90" s="11">
        <v>3</v>
      </c>
      <c r="N90" s="11">
        <v>2</v>
      </c>
      <c r="O90" s="11">
        <v>5</v>
      </c>
      <c r="P90" s="11">
        <v>4</v>
      </c>
      <c r="Q90" s="11">
        <v>1</v>
      </c>
      <c r="R90" s="11">
        <v>3</v>
      </c>
      <c r="S90" s="11">
        <v>4</v>
      </c>
      <c r="T90" s="11">
        <v>1</v>
      </c>
      <c r="U90" s="10">
        <v>4</v>
      </c>
      <c r="V90" s="6">
        <f t="shared" ca="1" si="7"/>
        <v>38.430907050737879</v>
      </c>
      <c r="W90" s="6">
        <f t="shared" ca="1" si="7"/>
        <v>37.219723569884614</v>
      </c>
      <c r="X90" s="6">
        <f t="shared" ca="1" si="7"/>
        <v>37.631957806544726</v>
      </c>
      <c r="Y90" s="6">
        <f t="shared" ca="1" si="6"/>
        <v>38.061967439942556</v>
      </c>
      <c r="Z90" s="6">
        <f t="shared" ca="1" si="6"/>
        <v>37.949356406416044</v>
      </c>
      <c r="AA90" s="6">
        <f t="shared" ca="1" si="6"/>
        <v>38.416487025242098</v>
      </c>
      <c r="AB90" s="6">
        <f t="shared" ca="1" si="8"/>
        <v>37.219723569884614</v>
      </c>
      <c r="AC90" s="6">
        <f t="shared" ca="1" si="9"/>
        <v>2</v>
      </c>
    </row>
    <row r="91" spans="1:29">
      <c r="A91" s="11">
        <v>90</v>
      </c>
      <c r="B91" s="12">
        <v>2</v>
      </c>
      <c r="C91" s="11">
        <v>2</v>
      </c>
      <c r="D91" s="11">
        <v>2</v>
      </c>
      <c r="E91" s="11">
        <v>2</v>
      </c>
      <c r="F91" s="11">
        <v>2</v>
      </c>
      <c r="G91" s="11">
        <v>3</v>
      </c>
      <c r="H91" s="11">
        <v>2</v>
      </c>
      <c r="I91" s="11">
        <v>2</v>
      </c>
      <c r="J91" s="11">
        <v>2</v>
      </c>
      <c r="K91" s="11">
        <v>3</v>
      </c>
      <c r="L91" s="11">
        <v>2</v>
      </c>
      <c r="M91" s="11">
        <v>2</v>
      </c>
      <c r="N91" s="11">
        <v>2</v>
      </c>
      <c r="O91" s="11">
        <v>1</v>
      </c>
      <c r="P91" s="11">
        <v>4</v>
      </c>
      <c r="Q91" s="11">
        <v>2</v>
      </c>
      <c r="R91" s="11">
        <v>1</v>
      </c>
      <c r="S91" s="11">
        <v>2</v>
      </c>
      <c r="T91" s="11">
        <v>4</v>
      </c>
      <c r="U91" s="10">
        <v>3</v>
      </c>
      <c r="V91" s="6">
        <f t="shared" ca="1" si="7"/>
        <v>22.676098289779738</v>
      </c>
      <c r="W91" s="6">
        <f t="shared" ca="1" si="7"/>
        <v>23.011834280008269</v>
      </c>
      <c r="X91" s="6">
        <f t="shared" ca="1" si="7"/>
        <v>22.881325356954818</v>
      </c>
      <c r="Y91" s="6">
        <f t="shared" ca="1" si="6"/>
        <v>22.836760363711992</v>
      </c>
      <c r="Z91" s="6">
        <f t="shared" ca="1" si="6"/>
        <v>23.760097985468285</v>
      </c>
      <c r="AA91" s="6">
        <f t="shared" ca="1" si="6"/>
        <v>22.831717129568819</v>
      </c>
      <c r="AB91" s="6">
        <f t="shared" ca="1" si="8"/>
        <v>22.676098289779738</v>
      </c>
      <c r="AC91" s="6">
        <f t="shared" ca="1" si="9"/>
        <v>1</v>
      </c>
    </row>
    <row r="92" spans="1:29">
      <c r="A92" s="11">
        <v>91</v>
      </c>
      <c r="B92" s="12">
        <v>2</v>
      </c>
      <c r="C92" s="11">
        <v>2</v>
      </c>
      <c r="D92" s="11">
        <v>4</v>
      </c>
      <c r="E92" s="11">
        <v>4</v>
      </c>
      <c r="F92" s="11">
        <v>5</v>
      </c>
      <c r="G92" s="11">
        <v>3</v>
      </c>
      <c r="H92" s="11">
        <v>4</v>
      </c>
      <c r="I92" s="11">
        <v>3</v>
      </c>
      <c r="J92" s="11">
        <v>4</v>
      </c>
      <c r="K92" s="11">
        <v>4</v>
      </c>
      <c r="L92" s="11">
        <v>4</v>
      </c>
      <c r="M92" s="11">
        <v>3</v>
      </c>
      <c r="N92" s="11">
        <v>4</v>
      </c>
      <c r="O92" s="11">
        <v>2</v>
      </c>
      <c r="P92" s="11">
        <v>2</v>
      </c>
      <c r="Q92" s="11">
        <v>3</v>
      </c>
      <c r="R92" s="11">
        <v>4</v>
      </c>
      <c r="S92" s="11">
        <v>2</v>
      </c>
      <c r="T92" s="11">
        <v>4</v>
      </c>
      <c r="U92" s="10">
        <v>3</v>
      </c>
      <c r="V92" s="6">
        <f t="shared" ca="1" si="7"/>
        <v>18.107297768446088</v>
      </c>
      <c r="W92" s="6">
        <f t="shared" ca="1" si="7"/>
        <v>18.121536792770936</v>
      </c>
      <c r="X92" s="6">
        <f t="shared" ca="1" si="7"/>
        <v>18.288242784834338</v>
      </c>
      <c r="Y92" s="6">
        <f t="shared" ca="1" si="6"/>
        <v>18.26573912042149</v>
      </c>
      <c r="Z92" s="6">
        <f t="shared" ca="1" si="6"/>
        <v>17.834294883474257</v>
      </c>
      <c r="AA92" s="6">
        <f t="shared" ca="1" si="6"/>
        <v>17.930560783513052</v>
      </c>
      <c r="AB92" s="6">
        <f t="shared" ca="1" si="8"/>
        <v>17.834294883474257</v>
      </c>
      <c r="AC92" s="6">
        <f t="shared" ca="1" si="9"/>
        <v>5</v>
      </c>
    </row>
    <row r="93" spans="1:29">
      <c r="A93" s="11">
        <v>92</v>
      </c>
      <c r="B93" s="12">
        <v>5</v>
      </c>
      <c r="C93" s="11">
        <v>1</v>
      </c>
      <c r="D93" s="11">
        <v>1</v>
      </c>
      <c r="E93" s="11">
        <v>1</v>
      </c>
      <c r="F93" s="11">
        <v>2</v>
      </c>
      <c r="G93" s="11">
        <v>3</v>
      </c>
      <c r="H93" s="11">
        <v>3</v>
      </c>
      <c r="I93" s="11">
        <v>1</v>
      </c>
      <c r="J93" s="11">
        <v>2</v>
      </c>
      <c r="K93" s="11">
        <v>2</v>
      </c>
      <c r="L93" s="11">
        <v>2</v>
      </c>
      <c r="M93" s="11">
        <v>1</v>
      </c>
      <c r="N93" s="11">
        <v>5</v>
      </c>
      <c r="O93" s="11">
        <v>5</v>
      </c>
      <c r="P93" s="11">
        <v>5</v>
      </c>
      <c r="Q93" s="11">
        <v>1</v>
      </c>
      <c r="R93" s="11">
        <v>1</v>
      </c>
      <c r="S93" s="11">
        <v>2</v>
      </c>
      <c r="T93" s="11">
        <v>5</v>
      </c>
      <c r="U93" s="10">
        <v>1</v>
      </c>
      <c r="V93" s="6">
        <f t="shared" ca="1" si="7"/>
        <v>57.552289542340176</v>
      </c>
      <c r="W93" s="6">
        <f t="shared" ca="1" si="7"/>
        <v>57.345549261287211</v>
      </c>
      <c r="X93" s="6">
        <f t="shared" ca="1" si="7"/>
        <v>56.966781985420361</v>
      </c>
      <c r="Y93" s="6">
        <f t="shared" ca="1" si="6"/>
        <v>56.966912678038327</v>
      </c>
      <c r="Z93" s="6">
        <f t="shared" ca="1" si="6"/>
        <v>57.362171830657822</v>
      </c>
      <c r="AA93" s="6">
        <f t="shared" ca="1" si="6"/>
        <v>57.648675485288784</v>
      </c>
      <c r="AB93" s="6">
        <f t="shared" ca="1" si="8"/>
        <v>56.966781985420361</v>
      </c>
      <c r="AC93" s="6">
        <f t="shared" ca="1" si="9"/>
        <v>3</v>
      </c>
    </row>
    <row r="94" spans="1:29">
      <c r="A94" s="11">
        <v>93</v>
      </c>
      <c r="B94" s="12">
        <v>3</v>
      </c>
      <c r="C94" s="11">
        <v>4</v>
      </c>
      <c r="D94" s="11">
        <v>2</v>
      </c>
      <c r="E94" s="11">
        <v>2</v>
      </c>
      <c r="F94" s="11">
        <v>3</v>
      </c>
      <c r="G94" s="11">
        <v>2</v>
      </c>
      <c r="H94" s="11">
        <v>2</v>
      </c>
      <c r="I94" s="11">
        <v>1</v>
      </c>
      <c r="J94" s="11">
        <v>1</v>
      </c>
      <c r="K94" s="11">
        <v>1</v>
      </c>
      <c r="L94" s="11">
        <v>2</v>
      </c>
      <c r="M94" s="11">
        <v>3</v>
      </c>
      <c r="N94" s="11">
        <v>1</v>
      </c>
      <c r="O94" s="11">
        <v>4</v>
      </c>
      <c r="P94" s="11">
        <v>5</v>
      </c>
      <c r="Q94" s="11">
        <v>2</v>
      </c>
      <c r="R94" s="11">
        <v>3</v>
      </c>
      <c r="S94" s="11">
        <v>1</v>
      </c>
      <c r="T94" s="11">
        <v>1</v>
      </c>
      <c r="U94" s="10">
        <v>5</v>
      </c>
      <c r="V94" s="6">
        <f t="shared" ca="1" si="7"/>
        <v>39.655218427306181</v>
      </c>
      <c r="W94" s="6">
        <f t="shared" ca="1" si="7"/>
        <v>39.779670272100745</v>
      </c>
      <c r="X94" s="6">
        <f t="shared" ca="1" si="7"/>
        <v>39.88170439130208</v>
      </c>
      <c r="Y94" s="6">
        <f t="shared" ca="1" si="6"/>
        <v>39.856162737579844</v>
      </c>
      <c r="Z94" s="6">
        <f t="shared" ca="1" si="6"/>
        <v>40.172315796877669</v>
      </c>
      <c r="AA94" s="6">
        <f t="shared" ca="1" si="6"/>
        <v>40.235575082491181</v>
      </c>
      <c r="AB94" s="6">
        <f t="shared" ca="1" si="8"/>
        <v>39.655218427306181</v>
      </c>
      <c r="AC94" s="6">
        <f t="shared" ca="1" si="9"/>
        <v>1</v>
      </c>
    </row>
    <row r="95" spans="1:29">
      <c r="A95" s="11">
        <v>94</v>
      </c>
      <c r="B95" s="12">
        <v>3</v>
      </c>
      <c r="C95" s="11">
        <v>3</v>
      </c>
      <c r="D95" s="11">
        <v>1</v>
      </c>
      <c r="E95" s="11">
        <v>3</v>
      </c>
      <c r="F95" s="11">
        <v>4</v>
      </c>
      <c r="G95" s="11">
        <v>3</v>
      </c>
      <c r="H95" s="11">
        <v>3</v>
      </c>
      <c r="I95" s="11">
        <v>2</v>
      </c>
      <c r="J95" s="11">
        <v>2</v>
      </c>
      <c r="K95" s="11">
        <v>3</v>
      </c>
      <c r="L95" s="11">
        <v>3</v>
      </c>
      <c r="M95" s="11">
        <v>1</v>
      </c>
      <c r="N95" s="11">
        <v>1</v>
      </c>
      <c r="O95" s="11">
        <v>5</v>
      </c>
      <c r="P95" s="11">
        <v>5</v>
      </c>
      <c r="Q95" s="11">
        <v>1</v>
      </c>
      <c r="R95" s="11">
        <v>1</v>
      </c>
      <c r="S95" s="11">
        <v>4</v>
      </c>
      <c r="T95" s="11">
        <v>3</v>
      </c>
      <c r="U95" s="10">
        <v>1</v>
      </c>
      <c r="V95" s="6">
        <f t="shared" ca="1" si="7"/>
        <v>36.615131031284193</v>
      </c>
      <c r="W95" s="6">
        <f t="shared" ca="1" si="7"/>
        <v>35.903280632639266</v>
      </c>
      <c r="X95" s="6">
        <f t="shared" ca="1" si="7"/>
        <v>36.20511895844507</v>
      </c>
      <c r="Y95" s="6">
        <f t="shared" ca="1" si="6"/>
        <v>35.888308859035412</v>
      </c>
      <c r="Z95" s="6">
        <f t="shared" ca="1" si="6"/>
        <v>36.089892136902776</v>
      </c>
      <c r="AA95" s="6">
        <f t="shared" ca="1" si="6"/>
        <v>36.106528834211566</v>
      </c>
      <c r="AB95" s="6">
        <f t="shared" ca="1" si="8"/>
        <v>35.888308859035412</v>
      </c>
      <c r="AC95" s="6">
        <f t="shared" ca="1" si="9"/>
        <v>4</v>
      </c>
    </row>
    <row r="96" spans="1:29">
      <c r="A96" s="11">
        <v>95</v>
      </c>
      <c r="B96" s="12">
        <v>2</v>
      </c>
      <c r="C96" s="11">
        <v>3</v>
      </c>
      <c r="D96" s="11">
        <v>2</v>
      </c>
      <c r="E96" s="11">
        <v>4</v>
      </c>
      <c r="F96" s="11">
        <v>3</v>
      </c>
      <c r="G96" s="11">
        <v>4</v>
      </c>
      <c r="H96" s="11">
        <v>3</v>
      </c>
      <c r="I96" s="11">
        <v>2</v>
      </c>
      <c r="J96" s="11">
        <v>2</v>
      </c>
      <c r="K96" s="11">
        <v>2</v>
      </c>
      <c r="L96" s="11">
        <v>2</v>
      </c>
      <c r="M96" s="11">
        <v>3</v>
      </c>
      <c r="N96" s="11">
        <v>4</v>
      </c>
      <c r="O96" s="11">
        <v>4</v>
      </c>
      <c r="P96" s="11">
        <v>4</v>
      </c>
      <c r="Q96" s="11">
        <v>4</v>
      </c>
      <c r="R96" s="11">
        <v>3</v>
      </c>
      <c r="S96" s="11">
        <v>2</v>
      </c>
      <c r="T96" s="11">
        <v>2</v>
      </c>
      <c r="U96" s="10">
        <v>2</v>
      </c>
      <c r="V96" s="6">
        <f t="shared" ca="1" si="7"/>
        <v>14.91262314356068</v>
      </c>
      <c r="W96" s="6">
        <f t="shared" ca="1" si="7"/>
        <v>15.118714929728739</v>
      </c>
      <c r="X96" s="6">
        <f t="shared" ca="1" si="7"/>
        <v>15.111129807181314</v>
      </c>
      <c r="Y96" s="6">
        <f t="shared" ca="1" si="6"/>
        <v>15.008493220061874</v>
      </c>
      <c r="Z96" s="6">
        <f t="shared" ca="1" si="6"/>
        <v>15.276564803809073</v>
      </c>
      <c r="AA96" s="6">
        <f t="shared" ca="1" si="6"/>
        <v>15.206944760870101</v>
      </c>
      <c r="AB96" s="6">
        <f t="shared" ca="1" si="8"/>
        <v>14.91262314356068</v>
      </c>
      <c r="AC96" s="6">
        <f t="shared" ca="1" si="9"/>
        <v>1</v>
      </c>
    </row>
    <row r="97" spans="1:29">
      <c r="A97" s="11">
        <v>96</v>
      </c>
      <c r="B97" s="12">
        <v>2</v>
      </c>
      <c r="C97" s="11">
        <v>2</v>
      </c>
      <c r="D97" s="11">
        <v>1</v>
      </c>
      <c r="E97" s="11">
        <v>4</v>
      </c>
      <c r="F97" s="11">
        <v>5</v>
      </c>
      <c r="G97" s="11">
        <v>4</v>
      </c>
      <c r="H97" s="11">
        <v>3</v>
      </c>
      <c r="I97" s="11">
        <v>1</v>
      </c>
      <c r="J97" s="11">
        <v>1</v>
      </c>
      <c r="K97" s="11">
        <v>4</v>
      </c>
      <c r="L97" s="11">
        <v>1</v>
      </c>
      <c r="M97" s="11">
        <v>1</v>
      </c>
      <c r="N97" s="11">
        <v>3</v>
      </c>
      <c r="O97" s="11">
        <v>5</v>
      </c>
      <c r="P97" s="11">
        <v>3</v>
      </c>
      <c r="Q97" s="11">
        <v>2</v>
      </c>
      <c r="R97" s="11">
        <v>1</v>
      </c>
      <c r="S97" s="11">
        <v>4</v>
      </c>
      <c r="T97" s="11">
        <v>2</v>
      </c>
      <c r="U97" s="10">
        <v>1</v>
      </c>
      <c r="V97" s="6">
        <f t="shared" ca="1" si="7"/>
        <v>44.316585253560653</v>
      </c>
      <c r="W97" s="6">
        <f t="shared" ca="1" si="7"/>
        <v>43.909320777338529</v>
      </c>
      <c r="X97" s="6">
        <f t="shared" ca="1" si="7"/>
        <v>44.125603715324928</v>
      </c>
      <c r="Y97" s="6">
        <f t="shared" ca="1" si="6"/>
        <v>43.943641599006931</v>
      </c>
      <c r="Z97" s="6">
        <f t="shared" ca="1" si="6"/>
        <v>44.27042434037773</v>
      </c>
      <c r="AA97" s="6">
        <f t="shared" ca="1" si="6"/>
        <v>44.427342744584145</v>
      </c>
      <c r="AB97" s="6">
        <f t="shared" ca="1" si="8"/>
        <v>43.909320777338529</v>
      </c>
      <c r="AC97" s="6">
        <f t="shared" ca="1" si="9"/>
        <v>2</v>
      </c>
    </row>
    <row r="98" spans="1:29">
      <c r="A98" s="11">
        <v>97</v>
      </c>
      <c r="B98" s="12">
        <v>4</v>
      </c>
      <c r="C98" s="11">
        <v>1</v>
      </c>
      <c r="D98" s="11">
        <v>5</v>
      </c>
      <c r="E98" s="11">
        <v>4</v>
      </c>
      <c r="F98" s="11">
        <v>3</v>
      </c>
      <c r="G98" s="11">
        <v>5</v>
      </c>
      <c r="H98" s="11">
        <v>2</v>
      </c>
      <c r="I98" s="11">
        <v>2</v>
      </c>
      <c r="J98" s="11">
        <v>2</v>
      </c>
      <c r="K98" s="11">
        <v>5</v>
      </c>
      <c r="L98" s="11">
        <v>2</v>
      </c>
      <c r="M98" s="11">
        <v>2</v>
      </c>
      <c r="N98" s="11">
        <v>2</v>
      </c>
      <c r="O98" s="11">
        <v>4</v>
      </c>
      <c r="P98" s="11">
        <v>2</v>
      </c>
      <c r="Q98" s="11">
        <v>2</v>
      </c>
      <c r="R98" s="11">
        <v>4</v>
      </c>
      <c r="S98" s="11">
        <v>4</v>
      </c>
      <c r="T98" s="11">
        <v>5</v>
      </c>
      <c r="U98" s="10">
        <v>3</v>
      </c>
      <c r="V98" s="6">
        <f t="shared" ca="1" si="7"/>
        <v>33.36213842460765</v>
      </c>
      <c r="W98" s="6">
        <f t="shared" ca="1" si="7"/>
        <v>32.508217114026287</v>
      </c>
      <c r="X98" s="6">
        <f t="shared" ca="1" si="7"/>
        <v>32.451785283937106</v>
      </c>
      <c r="Y98" s="6">
        <f t="shared" ca="1" si="6"/>
        <v>33.013758305601549</v>
      </c>
      <c r="Z98" s="6">
        <f t="shared" ca="1" si="6"/>
        <v>33.143942715835642</v>
      </c>
      <c r="AA98" s="6">
        <f t="shared" ca="1" si="6"/>
        <v>33.544214722770661</v>
      </c>
      <c r="AB98" s="6">
        <f t="shared" ca="1" si="8"/>
        <v>32.451785283937106</v>
      </c>
      <c r="AC98" s="6">
        <f t="shared" ca="1" si="9"/>
        <v>3</v>
      </c>
    </row>
    <row r="99" spans="1:29">
      <c r="A99" s="11">
        <v>98</v>
      </c>
      <c r="B99" s="12">
        <v>2</v>
      </c>
      <c r="C99" s="11">
        <v>2</v>
      </c>
      <c r="D99" s="11">
        <v>4</v>
      </c>
      <c r="E99" s="11">
        <v>1</v>
      </c>
      <c r="F99" s="11">
        <v>4</v>
      </c>
      <c r="G99" s="11">
        <v>4</v>
      </c>
      <c r="H99" s="11">
        <v>3</v>
      </c>
      <c r="I99" s="11">
        <v>1</v>
      </c>
      <c r="J99" s="11">
        <v>2</v>
      </c>
      <c r="K99" s="11">
        <v>2</v>
      </c>
      <c r="L99" s="11">
        <v>2</v>
      </c>
      <c r="M99" s="11">
        <v>3</v>
      </c>
      <c r="N99" s="11">
        <v>2</v>
      </c>
      <c r="O99" s="11">
        <v>5</v>
      </c>
      <c r="P99" s="11">
        <v>3</v>
      </c>
      <c r="Q99" s="11">
        <v>2</v>
      </c>
      <c r="R99" s="11">
        <v>3</v>
      </c>
      <c r="S99" s="11">
        <v>4</v>
      </c>
      <c r="T99" s="11">
        <v>1</v>
      </c>
      <c r="U99" s="10">
        <v>5</v>
      </c>
      <c r="V99" s="6">
        <f t="shared" ca="1" si="7"/>
        <v>30.975301255078715</v>
      </c>
      <c r="W99" s="6">
        <f t="shared" ca="1" si="7"/>
        <v>30.307674562860786</v>
      </c>
      <c r="X99" s="6">
        <f t="shared" ca="1" si="7"/>
        <v>30.847370520635913</v>
      </c>
      <c r="Y99" s="6">
        <f t="shared" ca="1" si="6"/>
        <v>30.869574344733316</v>
      </c>
      <c r="Z99" s="6">
        <f t="shared" ca="1" si="6"/>
        <v>30.946625962933599</v>
      </c>
      <c r="AA99" s="6">
        <f t="shared" ca="1" si="6"/>
        <v>31.39301571593483</v>
      </c>
      <c r="AB99" s="6">
        <f t="shared" ca="1" si="8"/>
        <v>30.307674562860786</v>
      </c>
      <c r="AC99" s="6">
        <f t="shared" ca="1" si="9"/>
        <v>2</v>
      </c>
    </row>
    <row r="100" spans="1:29">
      <c r="A100" s="11">
        <v>99</v>
      </c>
      <c r="B100" s="12">
        <v>2</v>
      </c>
      <c r="C100" s="11">
        <v>2</v>
      </c>
      <c r="D100" s="11">
        <v>1</v>
      </c>
      <c r="E100" s="11">
        <v>5</v>
      </c>
      <c r="F100" s="11">
        <v>5</v>
      </c>
      <c r="G100" s="11">
        <v>2</v>
      </c>
      <c r="H100" s="11">
        <v>1</v>
      </c>
      <c r="I100" s="11">
        <v>1</v>
      </c>
      <c r="J100" s="11">
        <v>1</v>
      </c>
      <c r="K100" s="11">
        <v>2</v>
      </c>
      <c r="L100" s="11">
        <v>1</v>
      </c>
      <c r="M100" s="11">
        <v>1</v>
      </c>
      <c r="N100" s="11">
        <v>2</v>
      </c>
      <c r="O100" s="11">
        <v>5</v>
      </c>
      <c r="P100" s="11">
        <v>3</v>
      </c>
      <c r="Q100" s="11">
        <v>4</v>
      </c>
      <c r="R100" s="11">
        <v>1</v>
      </c>
      <c r="S100" s="11">
        <v>4</v>
      </c>
      <c r="T100" s="11">
        <v>2</v>
      </c>
      <c r="U100" s="10">
        <v>4</v>
      </c>
      <c r="V100" s="6">
        <f t="shared" ca="1" si="7"/>
        <v>48.918764048668244</v>
      </c>
      <c r="W100" s="6">
        <f t="shared" ca="1" si="7"/>
        <v>49.083388545744356</v>
      </c>
      <c r="X100" s="6">
        <f t="shared" ca="1" si="7"/>
        <v>48.897204898617325</v>
      </c>
      <c r="Y100" s="6">
        <f t="shared" ca="1" si="6"/>
        <v>48.749138116929792</v>
      </c>
      <c r="Z100" s="6">
        <f t="shared" ca="1" si="6"/>
        <v>49.543740456253019</v>
      </c>
      <c r="AA100" s="6">
        <f t="shared" ca="1" si="6"/>
        <v>49.755560961972911</v>
      </c>
      <c r="AB100" s="6">
        <f t="shared" ca="1" si="8"/>
        <v>48.749138116929792</v>
      </c>
      <c r="AC100" s="6">
        <f t="shared" ca="1" si="9"/>
        <v>4</v>
      </c>
    </row>
    <row r="101" spans="1:29">
      <c r="A101" s="11">
        <v>100</v>
      </c>
      <c r="B101" s="12">
        <v>2</v>
      </c>
      <c r="C101" s="11">
        <v>2</v>
      </c>
      <c r="D101" s="11">
        <v>2</v>
      </c>
      <c r="E101" s="11">
        <v>3</v>
      </c>
      <c r="F101" s="11">
        <v>4</v>
      </c>
      <c r="G101" s="11">
        <v>2</v>
      </c>
      <c r="H101" s="11">
        <v>3</v>
      </c>
      <c r="I101" s="11">
        <v>1</v>
      </c>
      <c r="J101" s="11">
        <v>1</v>
      </c>
      <c r="K101" s="11">
        <v>3</v>
      </c>
      <c r="L101" s="11">
        <v>1</v>
      </c>
      <c r="M101" s="11">
        <v>3</v>
      </c>
      <c r="N101" s="11">
        <v>2</v>
      </c>
      <c r="O101" s="11">
        <v>3</v>
      </c>
      <c r="P101" s="11">
        <v>4</v>
      </c>
      <c r="Q101" s="11">
        <v>3</v>
      </c>
      <c r="R101" s="11">
        <v>3</v>
      </c>
      <c r="S101" s="11">
        <v>2</v>
      </c>
      <c r="T101" s="11">
        <v>2</v>
      </c>
      <c r="U101" s="10">
        <v>1</v>
      </c>
      <c r="V101" s="6">
        <f t="shared" ca="1" si="7"/>
        <v>25.013442053336178</v>
      </c>
      <c r="W101" s="6">
        <f t="shared" ca="1" si="7"/>
        <v>24.907037414328883</v>
      </c>
      <c r="X101" s="6">
        <f t="shared" ca="1" si="7"/>
        <v>25.32697504549396</v>
      </c>
      <c r="Y101" s="6">
        <f t="shared" ca="1" si="6"/>
        <v>24.912220777365167</v>
      </c>
      <c r="Z101" s="6">
        <f t="shared" ca="1" si="6"/>
        <v>25.372899307941122</v>
      </c>
      <c r="AA101" s="6">
        <f t="shared" ca="1" si="6"/>
        <v>24.9485875827678</v>
      </c>
      <c r="AB101" s="6">
        <f t="shared" ca="1" si="8"/>
        <v>24.907037414328883</v>
      </c>
      <c r="AC101" s="6">
        <f t="shared" ca="1" si="9"/>
        <v>2</v>
      </c>
    </row>
    <row r="102" spans="1:29">
      <c r="A102" s="11">
        <v>101</v>
      </c>
      <c r="B102" s="12">
        <v>3</v>
      </c>
      <c r="C102" s="11">
        <v>2</v>
      </c>
      <c r="D102" s="11">
        <v>2</v>
      </c>
      <c r="E102" s="11">
        <v>3</v>
      </c>
      <c r="F102" s="11">
        <v>3</v>
      </c>
      <c r="G102" s="11">
        <v>3</v>
      </c>
      <c r="H102" s="11">
        <v>3</v>
      </c>
      <c r="I102" s="11">
        <v>3</v>
      </c>
      <c r="J102" s="11">
        <v>3</v>
      </c>
      <c r="K102" s="11">
        <v>3</v>
      </c>
      <c r="L102" s="11">
        <v>2</v>
      </c>
      <c r="M102" s="11">
        <v>2</v>
      </c>
      <c r="N102" s="11">
        <v>2</v>
      </c>
      <c r="O102" s="11">
        <v>4</v>
      </c>
      <c r="P102" s="11">
        <v>4</v>
      </c>
      <c r="Q102" s="11">
        <v>3</v>
      </c>
      <c r="R102" s="11">
        <v>3</v>
      </c>
      <c r="S102" s="11">
        <v>3</v>
      </c>
      <c r="T102" s="11">
        <v>3</v>
      </c>
      <c r="U102" s="10">
        <v>4</v>
      </c>
      <c r="V102" s="6">
        <f t="shared" ca="1" si="7"/>
        <v>8.0614474885863316</v>
      </c>
      <c r="W102" s="6">
        <f t="shared" ca="1" si="7"/>
        <v>7.7646471759277729</v>
      </c>
      <c r="X102" s="6">
        <f t="shared" ca="1" si="7"/>
        <v>8.016643329601667</v>
      </c>
      <c r="Y102" s="6">
        <f t="shared" ca="1" si="6"/>
        <v>7.8965226217546292</v>
      </c>
      <c r="Z102" s="6">
        <f t="shared" ca="1" si="6"/>
        <v>8.0412913354041482</v>
      </c>
      <c r="AA102" s="6">
        <f t="shared" ca="1" si="6"/>
        <v>8.2089637656373871</v>
      </c>
      <c r="AB102" s="6">
        <f t="shared" ca="1" si="8"/>
        <v>7.7646471759277729</v>
      </c>
      <c r="AC102" s="6">
        <f t="shared" ca="1" si="9"/>
        <v>2</v>
      </c>
    </row>
    <row r="103" spans="1:29">
      <c r="A103" s="11">
        <v>102</v>
      </c>
      <c r="B103" s="12">
        <v>2</v>
      </c>
      <c r="C103" s="11">
        <v>1</v>
      </c>
      <c r="D103" s="11">
        <v>1</v>
      </c>
      <c r="E103" s="11">
        <v>2</v>
      </c>
      <c r="F103" s="11">
        <v>2</v>
      </c>
      <c r="G103" s="11">
        <v>4</v>
      </c>
      <c r="H103" s="11">
        <v>2</v>
      </c>
      <c r="I103" s="11">
        <v>2</v>
      </c>
      <c r="J103" s="11">
        <v>2</v>
      </c>
      <c r="K103" s="11">
        <v>2</v>
      </c>
      <c r="L103" s="11">
        <v>1</v>
      </c>
      <c r="M103" s="11">
        <v>3</v>
      </c>
      <c r="N103" s="11">
        <v>3</v>
      </c>
      <c r="O103" s="11">
        <v>2</v>
      </c>
      <c r="P103" s="11">
        <v>4</v>
      </c>
      <c r="Q103" s="11">
        <v>2</v>
      </c>
      <c r="R103" s="11">
        <v>1</v>
      </c>
      <c r="S103" s="11">
        <v>2</v>
      </c>
      <c r="T103" s="11">
        <v>1</v>
      </c>
      <c r="U103" s="10">
        <v>1</v>
      </c>
      <c r="V103" s="6">
        <f t="shared" ca="1" si="7"/>
        <v>35.841175766085193</v>
      </c>
      <c r="W103" s="6">
        <f t="shared" ca="1" si="7"/>
        <v>35.929616785458833</v>
      </c>
      <c r="X103" s="6">
        <f t="shared" ca="1" si="7"/>
        <v>36.235721710292687</v>
      </c>
      <c r="Y103" s="6">
        <f t="shared" ca="1" si="6"/>
        <v>35.873631053511637</v>
      </c>
      <c r="Z103" s="6">
        <f t="shared" ca="1" si="6"/>
        <v>36.764011631501802</v>
      </c>
      <c r="AA103" s="6">
        <f t="shared" ca="1" si="6"/>
        <v>35.723310757031598</v>
      </c>
      <c r="AB103" s="6">
        <f t="shared" ca="1" si="8"/>
        <v>35.723310757031598</v>
      </c>
      <c r="AC103" s="6">
        <f t="shared" ca="1" si="9"/>
        <v>6</v>
      </c>
    </row>
    <row r="104" spans="1:29">
      <c r="A104" s="11">
        <v>103</v>
      </c>
      <c r="B104" s="12">
        <v>5</v>
      </c>
      <c r="C104" s="11">
        <v>2</v>
      </c>
      <c r="D104" s="11">
        <v>2</v>
      </c>
      <c r="E104" s="11">
        <v>3</v>
      </c>
      <c r="F104" s="11">
        <v>3</v>
      </c>
      <c r="G104" s="11">
        <v>2</v>
      </c>
      <c r="H104" s="11">
        <v>3</v>
      </c>
      <c r="I104" s="11">
        <v>2</v>
      </c>
      <c r="J104" s="11">
        <v>1</v>
      </c>
      <c r="K104" s="11">
        <v>4</v>
      </c>
      <c r="L104" s="11">
        <v>1</v>
      </c>
      <c r="M104" s="11">
        <v>3</v>
      </c>
      <c r="N104" s="11">
        <v>2</v>
      </c>
      <c r="O104" s="11">
        <v>2</v>
      </c>
      <c r="P104" s="11">
        <v>5</v>
      </c>
      <c r="Q104" s="11">
        <v>1</v>
      </c>
      <c r="R104" s="11">
        <v>2</v>
      </c>
      <c r="S104" s="11">
        <v>1</v>
      </c>
      <c r="T104" s="11">
        <v>3</v>
      </c>
      <c r="U104" s="10">
        <v>5</v>
      </c>
      <c r="V104" s="6">
        <f t="shared" ca="1" si="7"/>
        <v>35.686887506478811</v>
      </c>
      <c r="W104" s="6">
        <f t="shared" ca="1" si="7"/>
        <v>35.683660694035972</v>
      </c>
      <c r="X104" s="6">
        <f t="shared" ca="1" si="7"/>
        <v>35.823093796374309</v>
      </c>
      <c r="Y104" s="6">
        <f t="shared" ca="1" si="6"/>
        <v>36.068592274175813</v>
      </c>
      <c r="Z104" s="6">
        <f t="shared" ca="1" si="6"/>
        <v>36.065313744099406</v>
      </c>
      <c r="AA104" s="6">
        <f t="shared" ca="1" si="6"/>
        <v>36.178055767471854</v>
      </c>
      <c r="AB104" s="6">
        <f t="shared" ca="1" si="8"/>
        <v>35.683660694035972</v>
      </c>
      <c r="AC104" s="6">
        <f t="shared" ca="1" si="9"/>
        <v>2</v>
      </c>
    </row>
    <row r="105" spans="1:29">
      <c r="A105" s="11">
        <v>104</v>
      </c>
      <c r="B105" s="12">
        <v>2</v>
      </c>
      <c r="C105" s="11">
        <v>1</v>
      </c>
      <c r="D105" s="11">
        <v>1</v>
      </c>
      <c r="E105" s="11">
        <v>2</v>
      </c>
      <c r="F105" s="11">
        <v>2</v>
      </c>
      <c r="G105" s="11">
        <v>4</v>
      </c>
      <c r="H105" s="11">
        <v>2</v>
      </c>
      <c r="I105" s="11">
        <v>2</v>
      </c>
      <c r="J105" s="11">
        <v>2</v>
      </c>
      <c r="K105" s="11">
        <v>2</v>
      </c>
      <c r="L105" s="11">
        <v>1</v>
      </c>
      <c r="M105" s="11">
        <v>3</v>
      </c>
      <c r="N105" s="11">
        <v>3</v>
      </c>
      <c r="O105" s="11">
        <v>2</v>
      </c>
      <c r="P105" s="11">
        <v>4</v>
      </c>
      <c r="Q105" s="11">
        <v>2</v>
      </c>
      <c r="R105" s="11">
        <v>1</v>
      </c>
      <c r="S105" s="11">
        <v>2</v>
      </c>
      <c r="T105" s="11">
        <v>1</v>
      </c>
      <c r="U105" s="10">
        <v>1</v>
      </c>
      <c r="V105" s="6">
        <f t="shared" ca="1" si="7"/>
        <v>35.841175766085193</v>
      </c>
      <c r="W105" s="6">
        <f t="shared" ca="1" si="7"/>
        <v>35.929616785458833</v>
      </c>
      <c r="X105" s="6">
        <f t="shared" ca="1" si="7"/>
        <v>36.235721710292687</v>
      </c>
      <c r="Y105" s="6">
        <f t="shared" ca="1" si="6"/>
        <v>35.873631053511637</v>
      </c>
      <c r="Z105" s="6">
        <f t="shared" ca="1" si="6"/>
        <v>36.764011631501802</v>
      </c>
      <c r="AA105" s="6">
        <f t="shared" ca="1" si="6"/>
        <v>35.723310757031598</v>
      </c>
      <c r="AB105" s="6">
        <f t="shared" ca="1" si="8"/>
        <v>35.723310757031598</v>
      </c>
      <c r="AC105" s="6">
        <f t="shared" ca="1" si="9"/>
        <v>6</v>
      </c>
    </row>
    <row r="106" spans="1:29">
      <c r="A106" s="11">
        <v>105</v>
      </c>
      <c r="B106" s="12">
        <v>2</v>
      </c>
      <c r="C106" s="11">
        <v>2</v>
      </c>
      <c r="D106" s="11">
        <v>3</v>
      </c>
      <c r="E106" s="11">
        <v>3</v>
      </c>
      <c r="F106" s="11">
        <v>3</v>
      </c>
      <c r="G106" s="11">
        <v>2</v>
      </c>
      <c r="H106" s="11">
        <v>3</v>
      </c>
      <c r="I106" s="11">
        <v>2</v>
      </c>
      <c r="J106" s="11">
        <v>2</v>
      </c>
      <c r="K106" s="11">
        <v>3</v>
      </c>
      <c r="L106" s="11">
        <v>4</v>
      </c>
      <c r="M106" s="11">
        <v>2</v>
      </c>
      <c r="N106" s="11">
        <v>3</v>
      </c>
      <c r="O106" s="11">
        <v>4</v>
      </c>
      <c r="P106" s="11">
        <v>4</v>
      </c>
      <c r="Q106" s="11">
        <v>3</v>
      </c>
      <c r="R106" s="11">
        <v>3</v>
      </c>
      <c r="S106" s="11">
        <v>4</v>
      </c>
      <c r="T106" s="11">
        <v>4</v>
      </c>
      <c r="U106" s="10">
        <v>3</v>
      </c>
      <c r="V106" s="6">
        <f t="shared" ca="1" si="7"/>
        <v>11.451634308643607</v>
      </c>
      <c r="W106" s="6">
        <f t="shared" ca="1" si="7"/>
        <v>10.938892815117486</v>
      </c>
      <c r="X106" s="6">
        <f t="shared" ca="1" si="7"/>
        <v>11.031851341456234</v>
      </c>
      <c r="Y106" s="6">
        <f t="shared" ca="1" si="6"/>
        <v>10.944394120970344</v>
      </c>
      <c r="Z106" s="6">
        <f t="shared" ca="1" si="6"/>
        <v>10.995817143544738</v>
      </c>
      <c r="AA106" s="6">
        <f t="shared" ca="1" si="6"/>
        <v>11.169783989782825</v>
      </c>
      <c r="AB106" s="6">
        <f t="shared" ca="1" si="8"/>
        <v>10.938892815117486</v>
      </c>
      <c r="AC106" s="6">
        <f t="shared" ca="1" si="9"/>
        <v>2</v>
      </c>
    </row>
    <row r="107" spans="1:29">
      <c r="A107" s="11">
        <v>106</v>
      </c>
      <c r="B107" s="12">
        <v>4</v>
      </c>
      <c r="C107" s="11">
        <v>4</v>
      </c>
      <c r="D107" s="11">
        <v>4</v>
      </c>
      <c r="E107" s="11">
        <v>2</v>
      </c>
      <c r="F107" s="11">
        <v>4</v>
      </c>
      <c r="G107" s="11">
        <v>4</v>
      </c>
      <c r="H107" s="11">
        <v>3</v>
      </c>
      <c r="I107" s="11">
        <v>2</v>
      </c>
      <c r="J107" s="11">
        <v>2</v>
      </c>
      <c r="K107" s="11">
        <v>3</v>
      </c>
      <c r="L107" s="11">
        <v>2</v>
      </c>
      <c r="M107" s="11">
        <v>2</v>
      </c>
      <c r="N107" s="11">
        <v>2</v>
      </c>
      <c r="O107" s="11">
        <v>4</v>
      </c>
      <c r="P107" s="11">
        <v>3</v>
      </c>
      <c r="Q107" s="11">
        <v>2</v>
      </c>
      <c r="R107" s="11">
        <v>2</v>
      </c>
      <c r="S107" s="11">
        <v>4</v>
      </c>
      <c r="T107" s="11">
        <v>3</v>
      </c>
      <c r="U107" s="10">
        <v>2</v>
      </c>
      <c r="V107" s="6">
        <f t="shared" ca="1" si="7"/>
        <v>16.084857729809872</v>
      </c>
      <c r="W107" s="6">
        <f t="shared" ca="1" si="7"/>
        <v>15.793205713851918</v>
      </c>
      <c r="X107" s="6">
        <f t="shared" ca="1" si="7"/>
        <v>15.732056253623849</v>
      </c>
      <c r="Y107" s="6">
        <f t="shared" ca="1" si="6"/>
        <v>15.88939556402438</v>
      </c>
      <c r="Z107" s="6">
        <f t="shared" ca="1" si="6"/>
        <v>16.043501189236064</v>
      </c>
      <c r="AA107" s="6">
        <f t="shared" ca="1" si="6"/>
        <v>16.328948124482007</v>
      </c>
      <c r="AB107" s="6">
        <f t="shared" ca="1" si="8"/>
        <v>15.732056253623849</v>
      </c>
      <c r="AC107" s="6">
        <f t="shared" ca="1" si="9"/>
        <v>3</v>
      </c>
    </row>
    <row r="108" spans="1:29">
      <c r="A108" s="11">
        <v>107</v>
      </c>
      <c r="B108" s="12">
        <v>1</v>
      </c>
      <c r="C108" s="11">
        <v>3</v>
      </c>
      <c r="D108" s="11">
        <v>2</v>
      </c>
      <c r="E108" s="11">
        <v>4</v>
      </c>
      <c r="F108" s="11">
        <v>3</v>
      </c>
      <c r="G108" s="11">
        <v>4</v>
      </c>
      <c r="H108" s="11">
        <v>3</v>
      </c>
      <c r="I108" s="11">
        <v>3</v>
      </c>
      <c r="J108" s="11">
        <v>3</v>
      </c>
      <c r="K108" s="11">
        <v>4</v>
      </c>
      <c r="L108" s="11">
        <v>2</v>
      </c>
      <c r="M108" s="11">
        <v>2</v>
      </c>
      <c r="N108" s="11">
        <v>2</v>
      </c>
      <c r="O108" s="11">
        <v>5</v>
      </c>
      <c r="P108" s="11">
        <v>5</v>
      </c>
      <c r="Q108" s="11">
        <v>3</v>
      </c>
      <c r="R108" s="11">
        <v>2</v>
      </c>
      <c r="S108" s="11">
        <v>4</v>
      </c>
      <c r="T108" s="11">
        <v>2</v>
      </c>
      <c r="U108" s="10">
        <v>4</v>
      </c>
      <c r="V108" s="6">
        <f t="shared" ca="1" si="7"/>
        <v>23.073484398999931</v>
      </c>
      <c r="W108" s="6">
        <f t="shared" ca="1" si="7"/>
        <v>22.646579525614548</v>
      </c>
      <c r="X108" s="6">
        <f t="shared" ca="1" si="7"/>
        <v>23.106652890693837</v>
      </c>
      <c r="Y108" s="6">
        <f t="shared" ca="1" si="6"/>
        <v>23.025103647581442</v>
      </c>
      <c r="Z108" s="6">
        <f t="shared" ca="1" si="6"/>
        <v>22.973975390265842</v>
      </c>
      <c r="AA108" s="6">
        <f t="shared" ca="1" si="6"/>
        <v>22.929998094122361</v>
      </c>
      <c r="AB108" s="6">
        <f t="shared" ca="1" si="8"/>
        <v>22.646579525614548</v>
      </c>
      <c r="AC108" s="6">
        <f t="shared" ca="1" si="9"/>
        <v>2</v>
      </c>
    </row>
    <row r="109" spans="1:29">
      <c r="A109" s="11">
        <v>108</v>
      </c>
      <c r="B109" s="12">
        <v>3</v>
      </c>
      <c r="C109" s="11">
        <v>2</v>
      </c>
      <c r="D109" s="11">
        <v>1</v>
      </c>
      <c r="E109" s="11">
        <v>1</v>
      </c>
      <c r="F109" s="11">
        <v>4</v>
      </c>
      <c r="G109" s="11">
        <v>3</v>
      </c>
      <c r="H109" s="11">
        <v>3</v>
      </c>
      <c r="I109" s="11">
        <v>2</v>
      </c>
      <c r="J109" s="11">
        <v>2</v>
      </c>
      <c r="K109" s="11">
        <v>3</v>
      </c>
      <c r="L109" s="11">
        <v>2</v>
      </c>
      <c r="M109" s="11">
        <v>2</v>
      </c>
      <c r="N109" s="11">
        <v>1</v>
      </c>
      <c r="O109" s="11">
        <v>4</v>
      </c>
      <c r="P109" s="11">
        <v>4</v>
      </c>
      <c r="Q109" s="11">
        <v>1</v>
      </c>
      <c r="R109" s="11">
        <v>1</v>
      </c>
      <c r="S109" s="11">
        <v>5</v>
      </c>
      <c r="T109" s="11">
        <v>2</v>
      </c>
      <c r="U109" s="10">
        <v>4</v>
      </c>
      <c r="V109" s="6">
        <f t="shared" ca="1" si="7"/>
        <v>34.127890894939974</v>
      </c>
      <c r="W109" s="6">
        <f t="shared" ca="1" si="7"/>
        <v>33.494786961330426</v>
      </c>
      <c r="X109" s="6">
        <f t="shared" ca="1" si="7"/>
        <v>34.023981345568799</v>
      </c>
      <c r="Y109" s="6">
        <f t="shared" ca="1" si="6"/>
        <v>33.743506366713021</v>
      </c>
      <c r="Z109" s="6">
        <f t="shared" ca="1" si="6"/>
        <v>34.016285246309828</v>
      </c>
      <c r="AA109" s="6">
        <f t="shared" ca="1" si="6"/>
        <v>34.237163128088348</v>
      </c>
      <c r="AB109" s="6">
        <f t="shared" ca="1" si="8"/>
        <v>33.494786961330426</v>
      </c>
      <c r="AC109" s="6">
        <f t="shared" ca="1" si="9"/>
        <v>2</v>
      </c>
    </row>
    <row r="110" spans="1:29">
      <c r="A110" s="11">
        <v>109</v>
      </c>
      <c r="B110" s="12">
        <v>1</v>
      </c>
      <c r="C110" s="11">
        <v>3</v>
      </c>
      <c r="D110" s="11">
        <v>3</v>
      </c>
      <c r="E110" s="11">
        <v>3</v>
      </c>
      <c r="F110" s="11">
        <v>2</v>
      </c>
      <c r="G110" s="11">
        <v>2</v>
      </c>
      <c r="H110" s="11">
        <v>3</v>
      </c>
      <c r="I110" s="11">
        <v>3</v>
      </c>
      <c r="J110" s="11">
        <v>2</v>
      </c>
      <c r="K110" s="11">
        <v>1</v>
      </c>
      <c r="L110" s="11">
        <v>1</v>
      </c>
      <c r="M110" s="11">
        <v>1</v>
      </c>
      <c r="N110" s="11">
        <v>1</v>
      </c>
      <c r="O110" s="11">
        <v>3</v>
      </c>
      <c r="P110" s="11">
        <v>3</v>
      </c>
      <c r="Q110" s="11">
        <v>2</v>
      </c>
      <c r="R110" s="11">
        <v>1</v>
      </c>
      <c r="S110" s="11">
        <v>3</v>
      </c>
      <c r="T110" s="11">
        <v>2</v>
      </c>
      <c r="U110" s="10">
        <v>5</v>
      </c>
      <c r="V110" s="6">
        <f t="shared" ca="1" si="7"/>
        <v>32.710076659085907</v>
      </c>
      <c r="W110" s="6">
        <f t="shared" ca="1" si="7"/>
        <v>32.492655993912713</v>
      </c>
      <c r="X110" s="6">
        <f t="shared" ca="1" si="7"/>
        <v>32.657038659751819</v>
      </c>
      <c r="Y110" s="6">
        <f t="shared" ca="1" si="6"/>
        <v>32.687338098626782</v>
      </c>
      <c r="Z110" s="6">
        <f t="shared" ca="1" si="6"/>
        <v>33.59197019883203</v>
      </c>
      <c r="AA110" s="6">
        <f t="shared" ca="1" si="6"/>
        <v>33.018460713014257</v>
      </c>
      <c r="AB110" s="6">
        <f t="shared" ca="1" si="8"/>
        <v>32.492655993912713</v>
      </c>
      <c r="AC110" s="6">
        <f t="shared" ca="1" si="9"/>
        <v>2</v>
      </c>
    </row>
    <row r="111" spans="1:29">
      <c r="A111" s="11">
        <v>110</v>
      </c>
      <c r="B111" s="12">
        <v>2</v>
      </c>
      <c r="C111" s="11">
        <v>2</v>
      </c>
      <c r="D111" s="11">
        <v>2</v>
      </c>
      <c r="E111" s="11">
        <v>3</v>
      </c>
      <c r="F111" s="11">
        <v>2</v>
      </c>
      <c r="G111" s="11">
        <v>4</v>
      </c>
      <c r="H111" s="11">
        <v>4</v>
      </c>
      <c r="I111" s="11">
        <v>1</v>
      </c>
      <c r="J111" s="11">
        <v>2</v>
      </c>
      <c r="K111" s="11">
        <v>2</v>
      </c>
      <c r="L111" s="11">
        <v>2</v>
      </c>
      <c r="M111" s="11">
        <v>2</v>
      </c>
      <c r="N111" s="11">
        <v>3</v>
      </c>
      <c r="O111" s="11">
        <v>4</v>
      </c>
      <c r="P111" s="11">
        <v>4</v>
      </c>
      <c r="Q111" s="11">
        <v>1</v>
      </c>
      <c r="R111" s="11">
        <v>2</v>
      </c>
      <c r="S111" s="11">
        <v>4</v>
      </c>
      <c r="T111" s="11">
        <v>3</v>
      </c>
      <c r="U111" s="10">
        <v>4</v>
      </c>
      <c r="V111" s="6">
        <f t="shared" ca="1" si="7"/>
        <v>23.24608648929031</v>
      </c>
      <c r="W111" s="6">
        <f t="shared" ca="1" si="7"/>
        <v>22.535388364895983</v>
      </c>
      <c r="X111" s="6">
        <f t="shared" ca="1" si="7"/>
        <v>22.705192491283398</v>
      </c>
      <c r="Y111" s="6">
        <f t="shared" ca="1" si="6"/>
        <v>23.039419275456318</v>
      </c>
      <c r="Z111" s="6">
        <f t="shared" ca="1" si="6"/>
        <v>23.231516138606413</v>
      </c>
      <c r="AA111" s="6">
        <f t="shared" ca="1" si="6"/>
        <v>23.430966000726027</v>
      </c>
      <c r="AB111" s="6">
        <f t="shared" ca="1" si="8"/>
        <v>22.535388364895983</v>
      </c>
      <c r="AC111" s="6">
        <f t="shared" ca="1" si="9"/>
        <v>2</v>
      </c>
    </row>
    <row r="112" spans="1:29">
      <c r="A112" s="11">
        <v>111</v>
      </c>
      <c r="B112" s="12">
        <v>2</v>
      </c>
      <c r="C112" s="11">
        <v>3</v>
      </c>
      <c r="D112" s="11">
        <v>2</v>
      </c>
      <c r="E112" s="11">
        <v>2</v>
      </c>
      <c r="F112" s="11">
        <v>3</v>
      </c>
      <c r="G112" s="11">
        <v>3</v>
      </c>
      <c r="H112" s="11">
        <v>4</v>
      </c>
      <c r="I112" s="11">
        <v>2</v>
      </c>
      <c r="J112" s="11">
        <v>3</v>
      </c>
      <c r="K112" s="11">
        <v>4</v>
      </c>
      <c r="L112" s="11">
        <v>3</v>
      </c>
      <c r="M112" s="11">
        <v>2</v>
      </c>
      <c r="N112" s="11">
        <v>4</v>
      </c>
      <c r="O112" s="11">
        <v>2</v>
      </c>
      <c r="P112" s="11">
        <v>2</v>
      </c>
      <c r="Q112" s="11">
        <v>2</v>
      </c>
      <c r="R112" s="11">
        <v>3</v>
      </c>
      <c r="S112" s="11">
        <v>2</v>
      </c>
      <c r="T112" s="11">
        <v>4</v>
      </c>
      <c r="U112" s="10">
        <v>2</v>
      </c>
      <c r="V112" s="6">
        <f t="shared" ca="1" si="7"/>
        <v>14.042243477869592</v>
      </c>
      <c r="W112" s="6">
        <f t="shared" ca="1" si="7"/>
        <v>14.27033902005361</v>
      </c>
      <c r="X112" s="6">
        <f t="shared" ca="1" si="7"/>
        <v>14.106418129597584</v>
      </c>
      <c r="Y112" s="6">
        <f t="shared" ca="1" si="6"/>
        <v>14.083400884334873</v>
      </c>
      <c r="Z112" s="6">
        <f t="shared" ca="1" si="6"/>
        <v>14.133933793913403</v>
      </c>
      <c r="AA112" s="6">
        <f t="shared" ca="1" si="6"/>
        <v>13.941461501581875</v>
      </c>
      <c r="AB112" s="6">
        <f t="shared" ca="1" si="8"/>
        <v>13.941461501581875</v>
      </c>
      <c r="AC112" s="6">
        <f t="shared" ca="1" si="9"/>
        <v>6</v>
      </c>
    </row>
    <row r="113" spans="1:29">
      <c r="A113" s="11">
        <v>112</v>
      </c>
      <c r="B113" s="12">
        <v>5</v>
      </c>
      <c r="C113" s="11">
        <v>2</v>
      </c>
      <c r="D113" s="11">
        <v>1</v>
      </c>
      <c r="E113" s="11">
        <v>3</v>
      </c>
      <c r="F113" s="11">
        <v>2</v>
      </c>
      <c r="G113" s="11">
        <v>1</v>
      </c>
      <c r="H113" s="11">
        <v>5</v>
      </c>
      <c r="I113" s="11">
        <v>2</v>
      </c>
      <c r="J113" s="11">
        <v>2</v>
      </c>
      <c r="K113" s="11">
        <v>2</v>
      </c>
      <c r="L113" s="11">
        <v>1</v>
      </c>
      <c r="M113" s="11">
        <v>1</v>
      </c>
      <c r="N113" s="11">
        <v>1</v>
      </c>
      <c r="O113" s="11">
        <v>4</v>
      </c>
      <c r="P113" s="11">
        <v>2</v>
      </c>
      <c r="Q113" s="11">
        <v>3</v>
      </c>
      <c r="R113" s="11">
        <v>2</v>
      </c>
      <c r="S113" s="11">
        <v>2</v>
      </c>
      <c r="T113" s="11">
        <v>3</v>
      </c>
      <c r="U113" s="10">
        <v>5</v>
      </c>
      <c r="V113" s="6">
        <f t="shared" ca="1" si="7"/>
        <v>40.937673879781144</v>
      </c>
      <c r="W113" s="6">
        <f t="shared" ca="1" si="7"/>
        <v>40.90364124602241</v>
      </c>
      <c r="X113" s="6">
        <f t="shared" ca="1" si="7"/>
        <v>40.746985162805281</v>
      </c>
      <c r="Y113" s="6">
        <f t="shared" ca="1" si="6"/>
        <v>40.721330939073162</v>
      </c>
      <c r="Z113" s="6">
        <f t="shared" ca="1" si="6"/>
        <v>41.184601034916817</v>
      </c>
      <c r="AA113" s="6">
        <f t="shared" ca="1" si="6"/>
        <v>41.564205216124073</v>
      </c>
      <c r="AB113" s="6">
        <f t="shared" ca="1" si="8"/>
        <v>40.721330939073162</v>
      </c>
      <c r="AC113" s="6">
        <f t="shared" ca="1" si="9"/>
        <v>4</v>
      </c>
    </row>
    <row r="114" spans="1:29">
      <c r="A114" s="11">
        <v>113</v>
      </c>
      <c r="B114" s="12">
        <v>3</v>
      </c>
      <c r="C114" s="11">
        <v>2</v>
      </c>
      <c r="D114" s="11">
        <v>2</v>
      </c>
      <c r="E114" s="11">
        <v>2</v>
      </c>
      <c r="F114" s="11">
        <v>3</v>
      </c>
      <c r="G114" s="11">
        <v>2</v>
      </c>
      <c r="H114" s="11">
        <v>3</v>
      </c>
      <c r="I114" s="11">
        <v>2</v>
      </c>
      <c r="J114" s="11">
        <v>2</v>
      </c>
      <c r="K114" s="11">
        <v>3</v>
      </c>
      <c r="L114" s="11">
        <v>3</v>
      </c>
      <c r="M114" s="11">
        <v>3</v>
      </c>
      <c r="N114" s="11">
        <v>2</v>
      </c>
      <c r="O114" s="11">
        <v>3</v>
      </c>
      <c r="P114" s="11">
        <v>4</v>
      </c>
      <c r="Q114" s="11">
        <v>2</v>
      </c>
      <c r="R114" s="11">
        <v>3</v>
      </c>
      <c r="S114" s="11">
        <v>4</v>
      </c>
      <c r="T114" s="11">
        <v>3</v>
      </c>
      <c r="U114" s="10">
        <v>4</v>
      </c>
      <c r="V114" s="6">
        <f t="shared" ca="1" si="7"/>
        <v>11.171185650099805</v>
      </c>
      <c r="W114" s="6">
        <f t="shared" ca="1" si="7"/>
        <v>10.697785342690754</v>
      </c>
      <c r="X114" s="6">
        <f t="shared" ca="1" si="7"/>
        <v>11.002557689719463</v>
      </c>
      <c r="Y114" s="6">
        <f t="shared" ca="1" si="6"/>
        <v>10.908514607493398</v>
      </c>
      <c r="Z114" s="6">
        <f t="shared" ca="1" si="6"/>
        <v>10.946991913802119</v>
      </c>
      <c r="AA114" s="6">
        <f t="shared" ca="1" si="6"/>
        <v>11.137231261661412</v>
      </c>
      <c r="AB114" s="6">
        <f t="shared" ca="1" si="8"/>
        <v>10.697785342690754</v>
      </c>
      <c r="AC114" s="6">
        <f t="shared" ca="1" si="9"/>
        <v>2</v>
      </c>
    </row>
    <row r="115" spans="1:29">
      <c r="A115" s="11">
        <v>114</v>
      </c>
      <c r="B115" s="12">
        <v>3</v>
      </c>
      <c r="C115" s="11">
        <v>2</v>
      </c>
      <c r="D115" s="11">
        <v>1</v>
      </c>
      <c r="E115" s="11">
        <v>3</v>
      </c>
      <c r="F115" s="11">
        <v>4</v>
      </c>
      <c r="G115" s="11">
        <v>4</v>
      </c>
      <c r="H115" s="11">
        <v>4</v>
      </c>
      <c r="I115" s="11">
        <v>1</v>
      </c>
      <c r="J115" s="11">
        <v>1</v>
      </c>
      <c r="K115" s="11">
        <v>1</v>
      </c>
      <c r="L115" s="11">
        <v>1</v>
      </c>
      <c r="M115" s="11">
        <v>1</v>
      </c>
      <c r="N115" s="11">
        <v>1</v>
      </c>
      <c r="O115" s="11">
        <v>5</v>
      </c>
      <c r="P115" s="11">
        <v>1</v>
      </c>
      <c r="Q115" s="11">
        <v>5</v>
      </c>
      <c r="R115" s="11">
        <v>1</v>
      </c>
      <c r="S115" s="11">
        <v>5</v>
      </c>
      <c r="T115" s="11">
        <v>1</v>
      </c>
      <c r="U115" s="10">
        <v>1</v>
      </c>
      <c r="V115" s="6">
        <f t="shared" ca="1" si="7"/>
        <v>60.064114788123504</v>
      </c>
      <c r="W115" s="6">
        <f t="shared" ca="1" si="7"/>
        <v>59.908316747955283</v>
      </c>
      <c r="X115" s="6">
        <f t="shared" ca="1" si="7"/>
        <v>59.949435768225605</v>
      </c>
      <c r="Y115" s="6">
        <f t="shared" ca="1" si="6"/>
        <v>59.416405895162612</v>
      </c>
      <c r="Z115" s="6">
        <f t="shared" ca="1" si="6"/>
        <v>60.582066326141295</v>
      </c>
      <c r="AA115" s="6">
        <f t="shared" ca="1" si="6"/>
        <v>60.672635863238902</v>
      </c>
      <c r="AB115" s="6">
        <f t="shared" ca="1" si="8"/>
        <v>59.416405895162612</v>
      </c>
      <c r="AC115" s="6">
        <f t="shared" ca="1" si="9"/>
        <v>4</v>
      </c>
    </row>
    <row r="116" spans="1:29">
      <c r="A116" s="11">
        <v>115</v>
      </c>
      <c r="B116" s="12">
        <v>3</v>
      </c>
      <c r="C116" s="11">
        <v>4</v>
      </c>
      <c r="D116" s="11">
        <v>2</v>
      </c>
      <c r="E116" s="11">
        <v>3</v>
      </c>
      <c r="F116" s="11">
        <v>2</v>
      </c>
      <c r="G116" s="11">
        <v>3</v>
      </c>
      <c r="H116" s="11">
        <v>3</v>
      </c>
      <c r="I116" s="11">
        <v>2</v>
      </c>
      <c r="J116" s="11">
        <v>2</v>
      </c>
      <c r="K116" s="11">
        <v>4</v>
      </c>
      <c r="L116" s="11">
        <v>2</v>
      </c>
      <c r="M116" s="11">
        <v>1</v>
      </c>
      <c r="N116" s="11">
        <v>2</v>
      </c>
      <c r="O116" s="11">
        <v>2</v>
      </c>
      <c r="P116" s="11">
        <v>4</v>
      </c>
      <c r="Q116" s="11">
        <v>2</v>
      </c>
      <c r="R116" s="11">
        <v>2</v>
      </c>
      <c r="S116" s="11">
        <v>2</v>
      </c>
      <c r="T116" s="11">
        <v>4</v>
      </c>
      <c r="U116" s="10">
        <v>2</v>
      </c>
      <c r="V116" s="6">
        <f t="shared" ca="1" si="7"/>
        <v>18.94421978927026</v>
      </c>
      <c r="W116" s="6">
        <f t="shared" ca="1" si="7"/>
        <v>19.120280923734324</v>
      </c>
      <c r="X116" s="6">
        <f t="shared" ca="1" si="7"/>
        <v>18.805543014176209</v>
      </c>
      <c r="Y116" s="6">
        <f t="shared" ca="1" si="6"/>
        <v>18.98993228094988</v>
      </c>
      <c r="Z116" s="6">
        <f t="shared" ca="1" si="6"/>
        <v>19.358210514732583</v>
      </c>
      <c r="AA116" s="6">
        <f t="shared" ca="1" si="6"/>
        <v>18.931400009862017</v>
      </c>
      <c r="AB116" s="6">
        <f t="shared" ca="1" si="8"/>
        <v>18.805543014176209</v>
      </c>
      <c r="AC116" s="6">
        <f t="shared" ca="1" si="9"/>
        <v>3</v>
      </c>
    </row>
    <row r="117" spans="1:29">
      <c r="A117" s="11">
        <v>116</v>
      </c>
      <c r="B117" s="12">
        <v>4</v>
      </c>
      <c r="C117" s="11">
        <v>2</v>
      </c>
      <c r="D117" s="11">
        <v>2</v>
      </c>
      <c r="E117" s="11">
        <v>3</v>
      </c>
      <c r="F117" s="11">
        <v>4</v>
      </c>
      <c r="G117" s="11">
        <v>2</v>
      </c>
      <c r="H117" s="11">
        <v>3</v>
      </c>
      <c r="I117" s="11">
        <v>4</v>
      </c>
      <c r="J117" s="11">
        <v>3</v>
      </c>
      <c r="K117" s="11">
        <v>2</v>
      </c>
      <c r="L117" s="11">
        <v>3</v>
      </c>
      <c r="M117" s="11">
        <v>3</v>
      </c>
      <c r="N117" s="11">
        <v>2</v>
      </c>
      <c r="O117" s="11">
        <v>2</v>
      </c>
      <c r="P117" s="11">
        <v>5</v>
      </c>
      <c r="Q117" s="11">
        <v>1</v>
      </c>
      <c r="R117" s="11">
        <v>3</v>
      </c>
      <c r="S117" s="11">
        <v>4</v>
      </c>
      <c r="T117" s="11">
        <v>3</v>
      </c>
      <c r="U117" s="10">
        <v>4</v>
      </c>
      <c r="V117" s="6">
        <f t="shared" ca="1" si="7"/>
        <v>19.243577445396195</v>
      </c>
      <c r="W117" s="6">
        <f t="shared" ca="1" si="7"/>
        <v>18.502786421795307</v>
      </c>
      <c r="X117" s="6">
        <f t="shared" ca="1" si="7"/>
        <v>19.075498737852502</v>
      </c>
      <c r="Y117" s="6">
        <f t="shared" ca="1" si="6"/>
        <v>18.983398139098902</v>
      </c>
      <c r="Z117" s="6">
        <f t="shared" ca="1" si="6"/>
        <v>18.796182656848799</v>
      </c>
      <c r="AA117" s="6">
        <f t="shared" ca="1" si="6"/>
        <v>19.110596737524276</v>
      </c>
      <c r="AB117" s="6">
        <f t="shared" ca="1" si="8"/>
        <v>18.502786421795307</v>
      </c>
      <c r="AC117" s="6">
        <f t="shared" ca="1" si="9"/>
        <v>2</v>
      </c>
    </row>
    <row r="118" spans="1:29">
      <c r="A118" s="11">
        <v>117</v>
      </c>
      <c r="B118" s="12">
        <v>2</v>
      </c>
      <c r="C118" s="11">
        <v>1</v>
      </c>
      <c r="D118" s="11">
        <v>5</v>
      </c>
      <c r="E118" s="11">
        <v>3</v>
      </c>
      <c r="F118" s="11">
        <v>2</v>
      </c>
      <c r="G118" s="11">
        <v>3</v>
      </c>
      <c r="H118" s="11">
        <v>3</v>
      </c>
      <c r="I118" s="11">
        <v>2</v>
      </c>
      <c r="J118" s="11">
        <v>1</v>
      </c>
      <c r="K118" s="11">
        <v>2</v>
      </c>
      <c r="L118" s="11">
        <v>3</v>
      </c>
      <c r="M118" s="11">
        <v>2</v>
      </c>
      <c r="N118" s="11">
        <v>1</v>
      </c>
      <c r="O118" s="11">
        <v>3</v>
      </c>
      <c r="P118" s="11">
        <v>5</v>
      </c>
      <c r="Q118" s="11">
        <v>3</v>
      </c>
      <c r="R118" s="11">
        <v>1</v>
      </c>
      <c r="S118" s="11">
        <v>1</v>
      </c>
      <c r="T118" s="11">
        <v>2</v>
      </c>
      <c r="U118" s="10">
        <v>5</v>
      </c>
      <c r="V118" s="6">
        <f t="shared" ca="1" si="7"/>
        <v>37.76818310999149</v>
      </c>
      <c r="W118" s="6">
        <f t="shared" ca="1" si="7"/>
        <v>37.487328554357774</v>
      </c>
      <c r="X118" s="6">
        <f t="shared" ca="1" si="7"/>
        <v>37.842054329831008</v>
      </c>
      <c r="Y118" s="6">
        <f t="shared" ca="1" si="6"/>
        <v>37.830340816051248</v>
      </c>
      <c r="Z118" s="6">
        <f t="shared" ca="1" si="6"/>
        <v>38.453887062101629</v>
      </c>
      <c r="AA118" s="6">
        <f t="shared" ca="1" si="6"/>
        <v>37.78250688016923</v>
      </c>
      <c r="AB118" s="6">
        <f t="shared" ca="1" si="8"/>
        <v>37.487328554357774</v>
      </c>
      <c r="AC118" s="6">
        <f t="shared" ca="1" si="9"/>
        <v>2</v>
      </c>
    </row>
    <row r="119" spans="1:29">
      <c r="A119" s="11">
        <v>118</v>
      </c>
      <c r="B119" s="12">
        <v>4</v>
      </c>
      <c r="C119" s="11">
        <v>2</v>
      </c>
      <c r="D119" s="11">
        <v>3</v>
      </c>
      <c r="E119" s="11">
        <v>2</v>
      </c>
      <c r="F119" s="11">
        <v>2</v>
      </c>
      <c r="G119" s="11">
        <v>2</v>
      </c>
      <c r="H119" s="11">
        <v>2</v>
      </c>
      <c r="I119" s="11">
        <v>2</v>
      </c>
      <c r="J119" s="11">
        <v>2</v>
      </c>
      <c r="K119" s="11">
        <v>2</v>
      </c>
      <c r="L119" s="11">
        <v>2</v>
      </c>
      <c r="M119" s="11">
        <v>3</v>
      </c>
      <c r="N119" s="11">
        <v>2</v>
      </c>
      <c r="O119" s="11">
        <v>4</v>
      </c>
      <c r="P119" s="11">
        <v>4</v>
      </c>
      <c r="Q119" s="11">
        <v>2</v>
      </c>
      <c r="R119" s="11">
        <v>4</v>
      </c>
      <c r="S119" s="11">
        <v>3</v>
      </c>
      <c r="T119" s="11">
        <v>4</v>
      </c>
      <c r="U119" s="10">
        <v>4</v>
      </c>
      <c r="V119" s="6">
        <f t="shared" ca="1" si="7"/>
        <v>17.17046056589362</v>
      </c>
      <c r="W119" s="6">
        <f t="shared" ca="1" si="7"/>
        <v>16.707959260078734</v>
      </c>
      <c r="X119" s="6">
        <f t="shared" ca="1" si="7"/>
        <v>16.713857659985639</v>
      </c>
      <c r="Y119" s="6">
        <f t="shared" ca="1" si="6"/>
        <v>16.858741611967162</v>
      </c>
      <c r="Z119" s="6">
        <f t="shared" ca="1" si="6"/>
        <v>17.15619147865603</v>
      </c>
      <c r="AA119" s="6">
        <f t="shared" ca="1" si="6"/>
        <v>17.435762071011794</v>
      </c>
      <c r="AB119" s="6">
        <f t="shared" ca="1" si="8"/>
        <v>16.707959260078734</v>
      </c>
      <c r="AC119" s="6">
        <f t="shared" ca="1" si="9"/>
        <v>2</v>
      </c>
    </row>
    <row r="120" spans="1:29">
      <c r="A120" s="11">
        <v>119</v>
      </c>
      <c r="B120" s="12">
        <v>5</v>
      </c>
      <c r="C120" s="11">
        <v>2</v>
      </c>
      <c r="D120" s="11">
        <v>1</v>
      </c>
      <c r="E120" s="11">
        <v>2</v>
      </c>
      <c r="F120" s="11">
        <v>4</v>
      </c>
      <c r="G120" s="11">
        <v>4</v>
      </c>
      <c r="H120" s="11">
        <v>2</v>
      </c>
      <c r="I120" s="11">
        <v>1</v>
      </c>
      <c r="J120" s="11">
        <v>1</v>
      </c>
      <c r="K120" s="11">
        <v>4</v>
      </c>
      <c r="L120" s="11">
        <v>1</v>
      </c>
      <c r="M120" s="11">
        <v>1</v>
      </c>
      <c r="N120" s="11">
        <v>4</v>
      </c>
      <c r="O120" s="11">
        <v>5</v>
      </c>
      <c r="P120" s="11">
        <v>5</v>
      </c>
      <c r="Q120" s="11">
        <v>1</v>
      </c>
      <c r="R120" s="11">
        <v>1</v>
      </c>
      <c r="S120" s="11">
        <v>2</v>
      </c>
      <c r="T120" s="11">
        <v>2</v>
      </c>
      <c r="U120" s="10">
        <v>4</v>
      </c>
      <c r="V120" s="6">
        <f t="shared" ca="1" si="7"/>
        <v>49.999922759037645</v>
      </c>
      <c r="W120" s="6">
        <f t="shared" ca="1" si="7"/>
        <v>49.931140052925414</v>
      </c>
      <c r="X120" s="6">
        <f t="shared" ca="1" si="7"/>
        <v>49.827592336631128</v>
      </c>
      <c r="Y120" s="6">
        <f t="shared" ca="1" si="6"/>
        <v>50.051441573498174</v>
      </c>
      <c r="Z120" s="6">
        <f t="shared" ca="1" si="6"/>
        <v>49.953204653756089</v>
      </c>
      <c r="AA120" s="6">
        <f t="shared" ca="1" si="6"/>
        <v>50.714699272221921</v>
      </c>
      <c r="AB120" s="6">
        <f t="shared" ca="1" si="8"/>
        <v>49.827592336631128</v>
      </c>
      <c r="AC120" s="6">
        <f t="shared" ca="1" si="9"/>
        <v>3</v>
      </c>
    </row>
    <row r="121" spans="1:29">
      <c r="A121" s="11">
        <v>120</v>
      </c>
      <c r="B121" s="12">
        <v>5</v>
      </c>
      <c r="C121" s="11">
        <v>2</v>
      </c>
      <c r="D121" s="11">
        <v>1</v>
      </c>
      <c r="E121" s="11">
        <v>2</v>
      </c>
      <c r="F121" s="11">
        <v>1</v>
      </c>
      <c r="G121" s="11">
        <v>2</v>
      </c>
      <c r="H121" s="11">
        <v>3</v>
      </c>
      <c r="I121" s="11">
        <v>2</v>
      </c>
      <c r="J121" s="11">
        <v>2</v>
      </c>
      <c r="K121" s="11">
        <v>2</v>
      </c>
      <c r="L121" s="11">
        <v>3</v>
      </c>
      <c r="M121" s="11">
        <v>2</v>
      </c>
      <c r="N121" s="11">
        <v>3</v>
      </c>
      <c r="O121" s="11">
        <v>4</v>
      </c>
      <c r="P121" s="11">
        <v>2</v>
      </c>
      <c r="Q121" s="11">
        <v>1</v>
      </c>
      <c r="R121" s="11">
        <v>1</v>
      </c>
      <c r="S121" s="11">
        <v>1</v>
      </c>
      <c r="T121" s="11">
        <v>3</v>
      </c>
      <c r="U121" s="10">
        <v>1</v>
      </c>
      <c r="V121" s="6">
        <f t="shared" ca="1" si="7"/>
        <v>37.363277454549227</v>
      </c>
      <c r="W121" s="6">
        <f t="shared" ca="1" si="7"/>
        <v>37.484042943741478</v>
      </c>
      <c r="X121" s="6">
        <f t="shared" ca="1" si="7"/>
        <v>37.018044379747558</v>
      </c>
      <c r="Y121" s="6">
        <f t="shared" ca="1" si="6"/>
        <v>36.885205909434774</v>
      </c>
      <c r="Z121" s="6">
        <f t="shared" ca="1" si="6"/>
        <v>37.431107298219089</v>
      </c>
      <c r="AA121" s="6">
        <f t="shared" ca="1" si="6"/>
        <v>37.075895854249332</v>
      </c>
      <c r="AB121" s="6">
        <f t="shared" ca="1" si="8"/>
        <v>36.885205909434774</v>
      </c>
      <c r="AC121" s="6">
        <f t="shared" ca="1" si="9"/>
        <v>4</v>
      </c>
    </row>
    <row r="122" spans="1:29">
      <c r="A122" s="11">
        <v>121</v>
      </c>
      <c r="B122" s="12">
        <v>2</v>
      </c>
      <c r="C122" s="11">
        <v>1</v>
      </c>
      <c r="D122" s="11">
        <v>2</v>
      </c>
      <c r="E122" s="11">
        <v>3</v>
      </c>
      <c r="F122" s="11">
        <v>3</v>
      </c>
      <c r="G122" s="11">
        <v>3</v>
      </c>
      <c r="H122" s="11">
        <v>4</v>
      </c>
      <c r="I122" s="11">
        <v>2</v>
      </c>
      <c r="J122" s="11">
        <v>2</v>
      </c>
      <c r="K122" s="11">
        <v>3</v>
      </c>
      <c r="L122" s="11">
        <v>2</v>
      </c>
      <c r="M122" s="11">
        <v>2</v>
      </c>
      <c r="N122" s="11">
        <v>2</v>
      </c>
      <c r="O122" s="11">
        <v>4</v>
      </c>
      <c r="P122" s="11">
        <v>4</v>
      </c>
      <c r="Q122" s="11">
        <v>3</v>
      </c>
      <c r="R122" s="11">
        <v>3</v>
      </c>
      <c r="S122" s="11">
        <v>2</v>
      </c>
      <c r="T122" s="11">
        <v>3</v>
      </c>
      <c r="U122" s="10">
        <v>2</v>
      </c>
      <c r="V122" s="6">
        <f t="shared" ca="1" si="7"/>
        <v>16.240537133807607</v>
      </c>
      <c r="W122" s="6">
        <f t="shared" ca="1" si="7"/>
        <v>15.772848417578288</v>
      </c>
      <c r="X122" s="6">
        <f t="shared" ca="1" si="7"/>
        <v>16.262916447618512</v>
      </c>
      <c r="Y122" s="6">
        <f t="shared" ca="1" si="6"/>
        <v>15.868051223570141</v>
      </c>
      <c r="Z122" s="6">
        <f t="shared" ca="1" si="6"/>
        <v>16.258910920382558</v>
      </c>
      <c r="AA122" s="6">
        <f t="shared" ca="1" si="6"/>
        <v>16.023606092357891</v>
      </c>
      <c r="AB122" s="6">
        <f t="shared" ca="1" si="8"/>
        <v>15.772848417578288</v>
      </c>
      <c r="AC122" s="6">
        <f t="shared" ca="1" si="9"/>
        <v>2</v>
      </c>
    </row>
    <row r="123" spans="1:29">
      <c r="A123" s="11">
        <v>122</v>
      </c>
      <c r="B123" s="12">
        <v>3</v>
      </c>
      <c r="C123" s="11">
        <v>3</v>
      </c>
      <c r="D123" s="11">
        <v>2</v>
      </c>
      <c r="E123" s="11">
        <v>3</v>
      </c>
      <c r="F123" s="11">
        <v>1</v>
      </c>
      <c r="G123" s="11">
        <v>2</v>
      </c>
      <c r="H123" s="11">
        <v>2</v>
      </c>
      <c r="I123" s="11">
        <v>3</v>
      </c>
      <c r="J123" s="11">
        <v>2</v>
      </c>
      <c r="K123" s="11">
        <v>2</v>
      </c>
      <c r="L123" s="11">
        <v>3</v>
      </c>
      <c r="M123" s="11">
        <v>1</v>
      </c>
      <c r="N123" s="11">
        <v>2</v>
      </c>
      <c r="O123" s="11">
        <v>3</v>
      </c>
      <c r="P123" s="11">
        <v>4</v>
      </c>
      <c r="Q123" s="11">
        <v>2</v>
      </c>
      <c r="R123" s="11">
        <v>3</v>
      </c>
      <c r="S123" s="11">
        <v>2</v>
      </c>
      <c r="T123" s="11">
        <v>1</v>
      </c>
      <c r="U123" s="10">
        <v>3</v>
      </c>
      <c r="V123" s="6">
        <f t="shared" ca="1" si="7"/>
        <v>21.222536679878569</v>
      </c>
      <c r="W123" s="6">
        <f t="shared" ca="1" si="7"/>
        <v>20.86687619016709</v>
      </c>
      <c r="X123" s="6">
        <f t="shared" ca="1" si="7"/>
        <v>20.898333111564597</v>
      </c>
      <c r="Y123" s="6">
        <f t="shared" ca="1" si="6"/>
        <v>20.904230507922684</v>
      </c>
      <c r="Z123" s="6">
        <f t="shared" ca="1" si="6"/>
        <v>21.133632509810624</v>
      </c>
      <c r="AA123" s="6">
        <f t="shared" ca="1" si="6"/>
        <v>20.829135163303167</v>
      </c>
      <c r="AB123" s="6">
        <f t="shared" ca="1" si="8"/>
        <v>20.829135163303167</v>
      </c>
      <c r="AC123" s="6">
        <f t="shared" ca="1" si="9"/>
        <v>6</v>
      </c>
    </row>
    <row r="124" spans="1:29">
      <c r="A124" s="11">
        <v>123</v>
      </c>
      <c r="B124" s="12">
        <v>3</v>
      </c>
      <c r="C124" s="11">
        <v>3</v>
      </c>
      <c r="D124" s="11">
        <v>1</v>
      </c>
      <c r="E124" s="11">
        <v>2</v>
      </c>
      <c r="F124" s="11">
        <v>2</v>
      </c>
      <c r="G124" s="11">
        <v>4</v>
      </c>
      <c r="H124" s="11">
        <v>3</v>
      </c>
      <c r="I124" s="11">
        <v>2</v>
      </c>
      <c r="J124" s="11">
        <v>2</v>
      </c>
      <c r="K124" s="11">
        <v>3</v>
      </c>
      <c r="L124" s="11">
        <v>2</v>
      </c>
      <c r="M124" s="11">
        <v>2</v>
      </c>
      <c r="N124" s="11">
        <v>3</v>
      </c>
      <c r="O124" s="11">
        <v>3</v>
      </c>
      <c r="P124" s="11">
        <v>4</v>
      </c>
      <c r="Q124" s="11">
        <v>3</v>
      </c>
      <c r="R124" s="11">
        <v>3</v>
      </c>
      <c r="S124" s="11">
        <v>2</v>
      </c>
      <c r="T124" s="11">
        <v>3</v>
      </c>
      <c r="U124" s="10">
        <v>3</v>
      </c>
      <c r="V124" s="6">
        <f t="shared" ca="1" si="7"/>
        <v>12.814948464076661</v>
      </c>
      <c r="W124" s="6">
        <f t="shared" ca="1" si="7"/>
        <v>13.027697184368195</v>
      </c>
      <c r="X124" s="6">
        <f t="shared" ca="1" si="7"/>
        <v>12.896892467911576</v>
      </c>
      <c r="Y124" s="6">
        <f t="shared" ca="1" si="7"/>
        <v>12.86582238930629</v>
      </c>
      <c r="Z124" s="6">
        <f t="shared" ca="1" si="7"/>
        <v>13.247849088011993</v>
      </c>
      <c r="AA124" s="6">
        <f t="shared" ca="1" si="7"/>
        <v>13.229537372263636</v>
      </c>
      <c r="AB124" s="6">
        <f t="shared" ca="1" si="8"/>
        <v>12.814948464076661</v>
      </c>
      <c r="AC124" s="6">
        <f t="shared" ca="1" si="9"/>
        <v>1</v>
      </c>
    </row>
    <row r="125" spans="1:29">
      <c r="A125" s="11">
        <v>124</v>
      </c>
      <c r="B125" s="12">
        <v>2</v>
      </c>
      <c r="C125" s="11">
        <v>4</v>
      </c>
      <c r="D125" s="11">
        <v>3</v>
      </c>
      <c r="E125" s="11">
        <v>4</v>
      </c>
      <c r="F125" s="11">
        <v>5</v>
      </c>
      <c r="G125" s="11">
        <v>4</v>
      </c>
      <c r="H125" s="11">
        <v>4</v>
      </c>
      <c r="I125" s="11">
        <v>3</v>
      </c>
      <c r="J125" s="11">
        <v>2</v>
      </c>
      <c r="K125" s="11">
        <v>3</v>
      </c>
      <c r="L125" s="11">
        <v>4</v>
      </c>
      <c r="M125" s="11">
        <v>3</v>
      </c>
      <c r="N125" s="11">
        <v>3</v>
      </c>
      <c r="O125" s="11">
        <v>1</v>
      </c>
      <c r="P125" s="11">
        <v>2</v>
      </c>
      <c r="Q125" s="11">
        <v>3</v>
      </c>
      <c r="R125" s="11">
        <v>4</v>
      </c>
      <c r="S125" s="11">
        <v>3</v>
      </c>
      <c r="T125" s="11">
        <v>4</v>
      </c>
      <c r="U125" s="10">
        <v>5</v>
      </c>
      <c r="V125" s="6">
        <f t="shared" ref="V125:AA167" ca="1" si="10">SUMXMY2($B125:$U125,AG$2:AG$21)</f>
        <v>21.599487693640281</v>
      </c>
      <c r="W125" s="6">
        <f t="shared" ca="1" si="10"/>
        <v>21.7956349609269</v>
      </c>
      <c r="X125" s="6">
        <f t="shared" ca="1" si="10"/>
        <v>21.746805937357163</v>
      </c>
      <c r="Y125" s="6">
        <f t="shared" ca="1" si="10"/>
        <v>21.956731692096398</v>
      </c>
      <c r="Z125" s="6">
        <f t="shared" ca="1" si="10"/>
        <v>21.912159697558256</v>
      </c>
      <c r="AA125" s="6">
        <f t="shared" ca="1" si="10"/>
        <v>22.37138199228886</v>
      </c>
      <c r="AB125" s="6">
        <f t="shared" ca="1" si="8"/>
        <v>21.599487693640281</v>
      </c>
      <c r="AC125" s="6">
        <f t="shared" ca="1" si="9"/>
        <v>1</v>
      </c>
    </row>
    <row r="126" spans="1:29">
      <c r="A126" s="11">
        <v>125</v>
      </c>
      <c r="B126" s="12">
        <v>2</v>
      </c>
      <c r="C126" s="11">
        <v>2</v>
      </c>
      <c r="D126" s="11">
        <v>4</v>
      </c>
      <c r="E126" s="11">
        <v>2</v>
      </c>
      <c r="F126" s="11">
        <v>5</v>
      </c>
      <c r="G126" s="11">
        <v>3</v>
      </c>
      <c r="H126" s="11">
        <v>3</v>
      </c>
      <c r="I126" s="11">
        <v>2</v>
      </c>
      <c r="J126" s="11">
        <v>2</v>
      </c>
      <c r="K126" s="11">
        <v>3</v>
      </c>
      <c r="L126" s="11">
        <v>4</v>
      </c>
      <c r="M126" s="11">
        <v>2</v>
      </c>
      <c r="N126" s="11">
        <v>3</v>
      </c>
      <c r="O126" s="11">
        <v>4</v>
      </c>
      <c r="P126" s="11">
        <v>3</v>
      </c>
      <c r="Q126" s="11">
        <v>2</v>
      </c>
      <c r="R126" s="11">
        <v>3</v>
      </c>
      <c r="S126" s="11">
        <v>4</v>
      </c>
      <c r="T126" s="11">
        <v>3</v>
      </c>
      <c r="U126" s="10">
        <v>5</v>
      </c>
      <c r="V126" s="6">
        <f t="shared" ca="1" si="10"/>
        <v>19.188918832758119</v>
      </c>
      <c r="W126" s="6">
        <f t="shared" ca="1" si="10"/>
        <v>18.597889968329891</v>
      </c>
      <c r="X126" s="6">
        <f t="shared" ca="1" si="10"/>
        <v>18.910761690847909</v>
      </c>
      <c r="Y126" s="6">
        <f t="shared" ca="1" si="10"/>
        <v>18.93563389581962</v>
      </c>
      <c r="Z126" s="6">
        <f t="shared" ca="1" si="10"/>
        <v>18.74794300679682</v>
      </c>
      <c r="AA126" s="6">
        <f t="shared" ca="1" si="10"/>
        <v>19.395962195123634</v>
      </c>
      <c r="AB126" s="6">
        <f t="shared" ca="1" si="8"/>
        <v>18.597889968329891</v>
      </c>
      <c r="AC126" s="6">
        <f t="shared" ca="1" si="9"/>
        <v>2</v>
      </c>
    </row>
    <row r="127" spans="1:29">
      <c r="A127" s="11">
        <v>126</v>
      </c>
      <c r="B127" s="12">
        <v>4</v>
      </c>
      <c r="C127" s="11">
        <v>1</v>
      </c>
      <c r="D127" s="11">
        <v>1</v>
      </c>
      <c r="E127" s="11">
        <v>2</v>
      </c>
      <c r="F127" s="11">
        <v>2</v>
      </c>
      <c r="G127" s="11">
        <v>2</v>
      </c>
      <c r="H127" s="11">
        <v>4</v>
      </c>
      <c r="I127" s="11">
        <v>2</v>
      </c>
      <c r="J127" s="11">
        <v>2</v>
      </c>
      <c r="K127" s="11">
        <v>2</v>
      </c>
      <c r="L127" s="11">
        <v>1</v>
      </c>
      <c r="M127" s="11">
        <v>4</v>
      </c>
      <c r="N127" s="11">
        <v>4</v>
      </c>
      <c r="O127" s="11">
        <v>4</v>
      </c>
      <c r="P127" s="11">
        <v>1</v>
      </c>
      <c r="Q127" s="11">
        <v>2</v>
      </c>
      <c r="R127" s="11">
        <v>3</v>
      </c>
      <c r="S127" s="11">
        <v>2</v>
      </c>
      <c r="T127" s="11">
        <v>3</v>
      </c>
      <c r="U127" s="10">
        <v>4</v>
      </c>
      <c r="V127" s="6">
        <f t="shared" ca="1" si="10"/>
        <v>29.921201548084074</v>
      </c>
      <c r="W127" s="6">
        <f t="shared" ca="1" si="10"/>
        <v>29.98965749667304</v>
      </c>
      <c r="X127" s="6">
        <f t="shared" ca="1" si="10"/>
        <v>29.924786011496824</v>
      </c>
      <c r="Y127" s="6">
        <f t="shared" ca="1" si="10"/>
        <v>29.86372656389349</v>
      </c>
      <c r="Z127" s="6">
        <f t="shared" ca="1" si="10"/>
        <v>30.243830774080795</v>
      </c>
      <c r="AA127" s="6">
        <f t="shared" ca="1" si="10"/>
        <v>30.532565499074746</v>
      </c>
      <c r="AB127" s="6">
        <f t="shared" ca="1" si="8"/>
        <v>29.86372656389349</v>
      </c>
      <c r="AC127" s="6">
        <f t="shared" ca="1" si="9"/>
        <v>4</v>
      </c>
    </row>
    <row r="128" spans="1:29">
      <c r="A128" s="11">
        <v>127</v>
      </c>
      <c r="B128" s="12">
        <v>1</v>
      </c>
      <c r="C128" s="11">
        <v>1</v>
      </c>
      <c r="D128" s="11">
        <v>1</v>
      </c>
      <c r="E128" s="11">
        <v>4</v>
      </c>
      <c r="F128" s="11">
        <v>3</v>
      </c>
      <c r="G128" s="11">
        <v>2</v>
      </c>
      <c r="H128" s="11">
        <v>2</v>
      </c>
      <c r="I128" s="11">
        <v>2</v>
      </c>
      <c r="J128" s="11">
        <v>2</v>
      </c>
      <c r="K128" s="11">
        <v>2</v>
      </c>
      <c r="L128" s="11">
        <v>2</v>
      </c>
      <c r="M128" s="11">
        <v>2</v>
      </c>
      <c r="N128" s="11">
        <v>3</v>
      </c>
      <c r="O128" s="11">
        <v>4</v>
      </c>
      <c r="P128" s="11">
        <v>3</v>
      </c>
      <c r="Q128" s="11">
        <v>4</v>
      </c>
      <c r="R128" s="11">
        <v>4</v>
      </c>
      <c r="S128" s="11">
        <v>3</v>
      </c>
      <c r="T128" s="11">
        <v>2</v>
      </c>
      <c r="U128" s="10">
        <v>4</v>
      </c>
      <c r="V128" s="6">
        <f t="shared" ca="1" si="10"/>
        <v>25.091876146767284</v>
      </c>
      <c r="W128" s="6">
        <f t="shared" ca="1" si="10"/>
        <v>24.89579968404005</v>
      </c>
      <c r="X128" s="6">
        <f t="shared" ca="1" si="10"/>
        <v>25.103645491781243</v>
      </c>
      <c r="Y128" s="6">
        <f t="shared" ca="1" si="10"/>
        <v>24.832825572950163</v>
      </c>
      <c r="Z128" s="6">
        <f t="shared" ca="1" si="10"/>
        <v>25.307972884194012</v>
      </c>
      <c r="AA128" s="6">
        <f t="shared" ca="1" si="10"/>
        <v>25.355038416371293</v>
      </c>
      <c r="AB128" s="6">
        <f t="shared" ca="1" si="8"/>
        <v>24.832825572950163</v>
      </c>
      <c r="AC128" s="6">
        <f t="shared" ca="1" si="9"/>
        <v>4</v>
      </c>
    </row>
    <row r="129" spans="1:29">
      <c r="A129" s="11">
        <v>128</v>
      </c>
      <c r="B129" s="12">
        <v>1</v>
      </c>
      <c r="C129" s="11">
        <v>3</v>
      </c>
      <c r="D129" s="11">
        <v>2</v>
      </c>
      <c r="E129" s="11">
        <v>3</v>
      </c>
      <c r="F129" s="11">
        <v>4</v>
      </c>
      <c r="G129" s="11">
        <v>4</v>
      </c>
      <c r="H129" s="11">
        <v>3</v>
      </c>
      <c r="I129" s="11">
        <v>3</v>
      </c>
      <c r="J129" s="11">
        <v>3</v>
      </c>
      <c r="K129" s="11">
        <v>3</v>
      </c>
      <c r="L129" s="11">
        <v>3</v>
      </c>
      <c r="M129" s="11">
        <v>3</v>
      </c>
      <c r="N129" s="11">
        <v>2</v>
      </c>
      <c r="O129" s="11">
        <v>3</v>
      </c>
      <c r="P129" s="11">
        <v>3</v>
      </c>
      <c r="Q129" s="11">
        <v>3</v>
      </c>
      <c r="R129" s="11">
        <v>4</v>
      </c>
      <c r="S129" s="11">
        <v>2</v>
      </c>
      <c r="T129" s="11">
        <v>3</v>
      </c>
      <c r="U129" s="10">
        <v>4</v>
      </c>
      <c r="V129" s="6">
        <f t="shared" ca="1" si="10"/>
        <v>10.749204551761801</v>
      </c>
      <c r="W129" s="6">
        <f t="shared" ca="1" si="10"/>
        <v>10.835523841784019</v>
      </c>
      <c r="X129" s="6">
        <f t="shared" ca="1" si="10"/>
        <v>11.141956760473114</v>
      </c>
      <c r="Y129" s="6">
        <f t="shared" ca="1" si="10"/>
        <v>10.895721389776313</v>
      </c>
      <c r="Z129" s="6">
        <f t="shared" ca="1" si="10"/>
        <v>11.123149580473315</v>
      </c>
      <c r="AA129" s="6">
        <f t="shared" ca="1" si="10"/>
        <v>11.016377805739417</v>
      </c>
      <c r="AB129" s="6">
        <f t="shared" ca="1" si="8"/>
        <v>10.749204551761801</v>
      </c>
      <c r="AC129" s="6">
        <f t="shared" ca="1" si="9"/>
        <v>1</v>
      </c>
    </row>
    <row r="130" spans="1:29">
      <c r="A130" s="11">
        <v>129</v>
      </c>
      <c r="B130" s="12">
        <v>2</v>
      </c>
      <c r="C130" s="11">
        <v>3</v>
      </c>
      <c r="D130" s="11">
        <v>4</v>
      </c>
      <c r="E130" s="11">
        <v>2</v>
      </c>
      <c r="F130" s="11">
        <v>3</v>
      </c>
      <c r="G130" s="11">
        <v>2</v>
      </c>
      <c r="H130" s="11">
        <v>4</v>
      </c>
      <c r="I130" s="11">
        <v>3</v>
      </c>
      <c r="J130" s="11">
        <v>3</v>
      </c>
      <c r="K130" s="11">
        <v>4</v>
      </c>
      <c r="L130" s="11">
        <v>2</v>
      </c>
      <c r="M130" s="11">
        <v>3</v>
      </c>
      <c r="N130" s="11">
        <v>4</v>
      </c>
      <c r="O130" s="11">
        <v>4</v>
      </c>
      <c r="P130" s="11">
        <v>2</v>
      </c>
      <c r="Q130" s="11">
        <v>4</v>
      </c>
      <c r="R130" s="11">
        <v>2</v>
      </c>
      <c r="S130" s="11">
        <v>3</v>
      </c>
      <c r="T130" s="11">
        <v>2</v>
      </c>
      <c r="U130" s="10">
        <v>4</v>
      </c>
      <c r="V130" s="6">
        <f t="shared" ca="1" si="10"/>
        <v>13.782011853987662</v>
      </c>
      <c r="W130" s="6">
        <f t="shared" ca="1" si="10"/>
        <v>14.043630817964432</v>
      </c>
      <c r="X130" s="6">
        <f t="shared" ca="1" si="10"/>
        <v>14.120583530306426</v>
      </c>
      <c r="Y130" s="6">
        <f t="shared" ca="1" si="10"/>
        <v>14.000124219501426</v>
      </c>
      <c r="Z130" s="6">
        <f t="shared" ca="1" si="10"/>
        <v>13.875471428455599</v>
      </c>
      <c r="AA130" s="6">
        <f t="shared" ca="1" si="10"/>
        <v>13.842026185186104</v>
      </c>
      <c r="AB130" s="6">
        <f t="shared" ca="1" si="8"/>
        <v>13.782011853987662</v>
      </c>
      <c r="AC130" s="6">
        <f t="shared" ca="1" si="9"/>
        <v>1</v>
      </c>
    </row>
    <row r="131" spans="1:29">
      <c r="A131" s="11">
        <v>130</v>
      </c>
      <c r="B131" s="12">
        <v>2</v>
      </c>
      <c r="C131" s="11">
        <v>2</v>
      </c>
      <c r="D131" s="11">
        <v>2</v>
      </c>
      <c r="E131" s="11">
        <v>2</v>
      </c>
      <c r="F131" s="11">
        <v>3</v>
      </c>
      <c r="G131" s="11">
        <v>2</v>
      </c>
      <c r="H131" s="11">
        <v>3</v>
      </c>
      <c r="I131" s="11">
        <v>2</v>
      </c>
      <c r="J131" s="11">
        <v>2</v>
      </c>
      <c r="K131" s="11">
        <v>3</v>
      </c>
      <c r="L131" s="11">
        <v>2</v>
      </c>
      <c r="M131" s="11">
        <v>2</v>
      </c>
      <c r="N131" s="11">
        <v>3</v>
      </c>
      <c r="O131" s="11">
        <v>4</v>
      </c>
      <c r="P131" s="11">
        <v>3</v>
      </c>
      <c r="Q131" s="11">
        <v>2</v>
      </c>
      <c r="R131" s="11">
        <v>2</v>
      </c>
      <c r="S131" s="11">
        <v>2</v>
      </c>
      <c r="T131" s="11">
        <v>2</v>
      </c>
      <c r="U131" s="10">
        <v>4</v>
      </c>
      <c r="V131" s="6">
        <f t="shared" ca="1" si="10"/>
        <v>14.968723257463912</v>
      </c>
      <c r="W131" s="6">
        <f t="shared" ca="1" si="10"/>
        <v>14.919325139839515</v>
      </c>
      <c r="X131" s="6">
        <f t="shared" ca="1" si="10"/>
        <v>15.091367290289146</v>
      </c>
      <c r="Y131" s="6">
        <f t="shared" ca="1" si="10"/>
        <v>14.918532276510673</v>
      </c>
      <c r="Z131" s="6">
        <f t="shared" ca="1" si="10"/>
        <v>15.1487750507653</v>
      </c>
      <c r="AA131" s="6">
        <f t="shared" ca="1" si="10"/>
        <v>15.0610558847743</v>
      </c>
      <c r="AB131" s="6">
        <f t="shared" ref="AB131:AB194" ca="1" si="11">MIN(V131:AA131)</f>
        <v>14.918532276510673</v>
      </c>
      <c r="AC131" s="6">
        <f t="shared" ref="AC131:AC194" ca="1" si="12">IF(AB131=V131,1,IF(AB131=W131,2,IF(AB131=X131,3,IF(AB131=Y131,4,IF(AB131=Z131,5,6)))))</f>
        <v>4</v>
      </c>
    </row>
    <row r="132" spans="1:29">
      <c r="A132" s="11">
        <v>131</v>
      </c>
      <c r="B132" s="12">
        <v>3</v>
      </c>
      <c r="C132" s="11">
        <v>4</v>
      </c>
      <c r="D132" s="11">
        <v>2</v>
      </c>
      <c r="E132" s="11">
        <v>2</v>
      </c>
      <c r="F132" s="11">
        <v>5</v>
      </c>
      <c r="G132" s="11">
        <v>5</v>
      </c>
      <c r="H132" s="11">
        <v>5</v>
      </c>
      <c r="I132" s="11">
        <v>5</v>
      </c>
      <c r="J132" s="11">
        <v>4</v>
      </c>
      <c r="K132" s="11">
        <v>4</v>
      </c>
      <c r="L132" s="11">
        <v>1</v>
      </c>
      <c r="M132" s="11">
        <v>1</v>
      </c>
      <c r="N132" s="11">
        <v>3</v>
      </c>
      <c r="O132" s="11">
        <v>4</v>
      </c>
      <c r="P132" s="11">
        <v>4</v>
      </c>
      <c r="Q132" s="11">
        <v>3</v>
      </c>
      <c r="R132" s="11">
        <v>4</v>
      </c>
      <c r="S132" s="11">
        <v>4</v>
      </c>
      <c r="T132" s="11">
        <v>3</v>
      </c>
      <c r="U132" s="10">
        <v>5</v>
      </c>
      <c r="V132" s="6">
        <f t="shared" ca="1" si="10"/>
        <v>36.788960637399846</v>
      </c>
      <c r="W132" s="6">
        <f t="shared" ca="1" si="10"/>
        <v>36.35635447701214</v>
      </c>
      <c r="X132" s="6">
        <f t="shared" ca="1" si="10"/>
        <v>36.939920891693326</v>
      </c>
      <c r="Y132" s="6">
        <f t="shared" ca="1" si="10"/>
        <v>36.869363432803674</v>
      </c>
      <c r="Z132" s="6">
        <f t="shared" ca="1" si="10"/>
        <v>36.410243147979898</v>
      </c>
      <c r="AA132" s="6">
        <f t="shared" ca="1" si="10"/>
        <v>37.472830336841966</v>
      </c>
      <c r="AB132" s="6">
        <f t="shared" ca="1" si="11"/>
        <v>36.35635447701214</v>
      </c>
      <c r="AC132" s="6">
        <f t="shared" ca="1" si="12"/>
        <v>2</v>
      </c>
    </row>
    <row r="133" spans="1:29">
      <c r="A133" s="11">
        <v>132</v>
      </c>
      <c r="B133" s="12">
        <v>2</v>
      </c>
      <c r="C133" s="11">
        <v>2</v>
      </c>
      <c r="D133" s="11">
        <v>2</v>
      </c>
      <c r="E133" s="11">
        <v>2</v>
      </c>
      <c r="F133" s="11">
        <v>3</v>
      </c>
      <c r="G133" s="11">
        <v>5</v>
      </c>
      <c r="H133" s="11">
        <v>4</v>
      </c>
      <c r="I133" s="11">
        <v>2</v>
      </c>
      <c r="J133" s="11">
        <v>1</v>
      </c>
      <c r="K133" s="11">
        <v>4</v>
      </c>
      <c r="L133" s="11">
        <v>2</v>
      </c>
      <c r="M133" s="11">
        <v>2</v>
      </c>
      <c r="N133" s="11">
        <v>2</v>
      </c>
      <c r="O133" s="11">
        <v>4</v>
      </c>
      <c r="P133" s="11">
        <v>4</v>
      </c>
      <c r="Q133" s="11">
        <v>2</v>
      </c>
      <c r="R133" s="11">
        <v>3</v>
      </c>
      <c r="S133" s="11">
        <v>5</v>
      </c>
      <c r="T133" s="11">
        <v>3</v>
      </c>
      <c r="U133" s="10">
        <v>2</v>
      </c>
      <c r="V133" s="6">
        <f t="shared" ca="1" si="10"/>
        <v>26.310355621713978</v>
      </c>
      <c r="W133" s="6">
        <f t="shared" ca="1" si="10"/>
        <v>25.303576348662236</v>
      </c>
      <c r="X133" s="6">
        <f t="shared" ca="1" si="10"/>
        <v>25.898040573925353</v>
      </c>
      <c r="Y133" s="6">
        <f t="shared" ca="1" si="10"/>
        <v>25.763108590156641</v>
      </c>
      <c r="Z133" s="6">
        <f t="shared" ca="1" si="10"/>
        <v>26.034495992948692</v>
      </c>
      <c r="AA133" s="6">
        <f t="shared" ca="1" si="10"/>
        <v>26.245785002249132</v>
      </c>
      <c r="AB133" s="6">
        <f t="shared" ca="1" si="11"/>
        <v>25.303576348662236</v>
      </c>
      <c r="AC133" s="6">
        <f t="shared" ca="1" si="12"/>
        <v>2</v>
      </c>
    </row>
    <row r="134" spans="1:29">
      <c r="A134" s="11">
        <v>133</v>
      </c>
      <c r="B134" s="12">
        <v>2</v>
      </c>
      <c r="C134" s="11">
        <v>1</v>
      </c>
      <c r="D134" s="11">
        <v>1</v>
      </c>
      <c r="E134" s="11">
        <v>3</v>
      </c>
      <c r="F134" s="11">
        <v>3</v>
      </c>
      <c r="G134" s="11">
        <v>4</v>
      </c>
      <c r="H134" s="11">
        <v>3</v>
      </c>
      <c r="I134" s="11">
        <v>2</v>
      </c>
      <c r="J134" s="11">
        <v>4</v>
      </c>
      <c r="K134" s="11">
        <v>3</v>
      </c>
      <c r="L134" s="11">
        <v>1</v>
      </c>
      <c r="M134" s="11">
        <v>1</v>
      </c>
      <c r="N134" s="11">
        <v>4</v>
      </c>
      <c r="O134" s="11">
        <v>2</v>
      </c>
      <c r="P134" s="11">
        <v>3</v>
      </c>
      <c r="Q134" s="11">
        <v>2</v>
      </c>
      <c r="R134" s="11">
        <v>3</v>
      </c>
      <c r="S134" s="11">
        <v>2</v>
      </c>
      <c r="T134" s="11">
        <v>3</v>
      </c>
      <c r="U134" s="10">
        <v>4</v>
      </c>
      <c r="V134" s="6">
        <f t="shared" ca="1" si="10"/>
        <v>24.897323419846892</v>
      </c>
      <c r="W134" s="6">
        <f t="shared" ca="1" si="10"/>
        <v>24.929244017535765</v>
      </c>
      <c r="X134" s="6">
        <f t="shared" ca="1" si="10"/>
        <v>24.979616253879307</v>
      </c>
      <c r="Y134" s="6">
        <f t="shared" ca="1" si="10"/>
        <v>25.137027585363708</v>
      </c>
      <c r="Z134" s="6">
        <f t="shared" ca="1" si="10"/>
        <v>25.348043936277119</v>
      </c>
      <c r="AA134" s="6">
        <f t="shared" ca="1" si="10"/>
        <v>25.299366106130808</v>
      </c>
      <c r="AB134" s="6">
        <f t="shared" ca="1" si="11"/>
        <v>24.897323419846892</v>
      </c>
      <c r="AC134" s="6">
        <f t="shared" ca="1" si="12"/>
        <v>1</v>
      </c>
    </row>
    <row r="135" spans="1:29">
      <c r="A135" s="11">
        <v>134</v>
      </c>
      <c r="B135" s="12">
        <v>5</v>
      </c>
      <c r="C135" s="11">
        <v>2</v>
      </c>
      <c r="D135" s="11">
        <v>1</v>
      </c>
      <c r="E135" s="11">
        <v>3</v>
      </c>
      <c r="F135" s="11">
        <v>4</v>
      </c>
      <c r="G135" s="11">
        <v>3</v>
      </c>
      <c r="H135" s="11">
        <v>3</v>
      </c>
      <c r="I135" s="11">
        <v>2</v>
      </c>
      <c r="J135" s="11">
        <v>2</v>
      </c>
      <c r="K135" s="11">
        <v>2</v>
      </c>
      <c r="L135" s="11">
        <v>1</v>
      </c>
      <c r="M135" s="11">
        <v>2</v>
      </c>
      <c r="N135" s="11">
        <v>2</v>
      </c>
      <c r="O135" s="11">
        <v>4</v>
      </c>
      <c r="P135" s="11">
        <v>4</v>
      </c>
      <c r="Q135" s="11">
        <v>2</v>
      </c>
      <c r="R135" s="11">
        <v>4</v>
      </c>
      <c r="S135" s="11">
        <v>2</v>
      </c>
      <c r="T135" s="11">
        <v>4</v>
      </c>
      <c r="U135" s="10">
        <v>2</v>
      </c>
      <c r="V135" s="6">
        <f t="shared" ca="1" si="10"/>
        <v>26.218393321326786</v>
      </c>
      <c r="W135" s="6">
        <f t="shared" ca="1" si="10"/>
        <v>25.873612905866345</v>
      </c>
      <c r="X135" s="6">
        <f t="shared" ca="1" si="10"/>
        <v>25.962208648445117</v>
      </c>
      <c r="Y135" s="6">
        <f t="shared" ca="1" si="10"/>
        <v>25.850389330901869</v>
      </c>
      <c r="Z135" s="6">
        <f t="shared" ca="1" si="10"/>
        <v>26.179614399421183</v>
      </c>
      <c r="AA135" s="6">
        <f t="shared" ca="1" si="10"/>
        <v>26.719821576021765</v>
      </c>
      <c r="AB135" s="6">
        <f t="shared" ca="1" si="11"/>
        <v>25.850389330901869</v>
      </c>
      <c r="AC135" s="6">
        <f t="shared" ca="1" si="12"/>
        <v>4</v>
      </c>
    </row>
    <row r="136" spans="1:29">
      <c r="A136" s="11">
        <v>135</v>
      </c>
      <c r="B136" s="12">
        <v>5</v>
      </c>
      <c r="C136" s="11">
        <v>1</v>
      </c>
      <c r="D136" s="11">
        <v>1</v>
      </c>
      <c r="E136" s="11">
        <v>3</v>
      </c>
      <c r="F136" s="11">
        <v>3</v>
      </c>
      <c r="G136" s="11">
        <v>3</v>
      </c>
      <c r="H136" s="11">
        <v>3</v>
      </c>
      <c r="I136" s="11">
        <v>2</v>
      </c>
      <c r="J136" s="11">
        <v>1</v>
      </c>
      <c r="K136" s="11">
        <v>3</v>
      </c>
      <c r="L136" s="11">
        <v>3</v>
      </c>
      <c r="M136" s="11">
        <v>3</v>
      </c>
      <c r="N136" s="11">
        <v>4</v>
      </c>
      <c r="O136" s="11">
        <v>4</v>
      </c>
      <c r="P136" s="11">
        <v>3</v>
      </c>
      <c r="Q136" s="11">
        <v>5</v>
      </c>
      <c r="R136" s="11">
        <v>5</v>
      </c>
      <c r="S136" s="11">
        <v>2</v>
      </c>
      <c r="T136" s="11">
        <v>2</v>
      </c>
      <c r="U136" s="10">
        <v>3</v>
      </c>
      <c r="V136" s="6">
        <f t="shared" ca="1" si="10"/>
        <v>29.110459761746309</v>
      </c>
      <c r="W136" s="6">
        <f t="shared" ca="1" si="10"/>
        <v>29.113895806831881</v>
      </c>
      <c r="X136" s="6">
        <f t="shared" ca="1" si="10"/>
        <v>29.089625579706613</v>
      </c>
      <c r="Y136" s="6">
        <f t="shared" ca="1" si="10"/>
        <v>28.830215190910611</v>
      </c>
      <c r="Z136" s="6">
        <f t="shared" ca="1" si="10"/>
        <v>28.808265512511049</v>
      </c>
      <c r="AA136" s="6">
        <f t="shared" ca="1" si="10"/>
        <v>29.617263753113033</v>
      </c>
      <c r="AB136" s="6">
        <f t="shared" ca="1" si="11"/>
        <v>28.808265512511049</v>
      </c>
      <c r="AC136" s="6">
        <f t="shared" ca="1" si="12"/>
        <v>5</v>
      </c>
    </row>
    <row r="137" spans="1:29">
      <c r="A137" s="11">
        <v>136</v>
      </c>
      <c r="B137" s="12">
        <v>2</v>
      </c>
      <c r="C137" s="11">
        <v>2</v>
      </c>
      <c r="D137" s="11">
        <v>3</v>
      </c>
      <c r="E137" s="11">
        <v>4</v>
      </c>
      <c r="F137" s="11">
        <v>3</v>
      </c>
      <c r="G137" s="11">
        <v>2</v>
      </c>
      <c r="H137" s="11">
        <v>4</v>
      </c>
      <c r="I137" s="11">
        <v>3</v>
      </c>
      <c r="J137" s="11">
        <v>2</v>
      </c>
      <c r="K137" s="11">
        <v>1</v>
      </c>
      <c r="L137" s="11">
        <v>2</v>
      </c>
      <c r="M137" s="11">
        <v>5</v>
      </c>
      <c r="N137" s="11">
        <v>3</v>
      </c>
      <c r="O137" s="11">
        <v>4</v>
      </c>
      <c r="P137" s="11">
        <v>2</v>
      </c>
      <c r="Q137" s="11">
        <v>1</v>
      </c>
      <c r="R137" s="11">
        <v>3</v>
      </c>
      <c r="S137" s="11">
        <v>4</v>
      </c>
      <c r="T137" s="11">
        <v>5</v>
      </c>
      <c r="U137" s="10">
        <v>5</v>
      </c>
      <c r="V137" s="6">
        <f t="shared" ca="1" si="10"/>
        <v>30.053952224267547</v>
      </c>
      <c r="W137" s="6">
        <f t="shared" ca="1" si="10"/>
        <v>29.513513125191388</v>
      </c>
      <c r="X137" s="6">
        <f t="shared" ca="1" si="10"/>
        <v>29.715784332080357</v>
      </c>
      <c r="Y137" s="6">
        <f t="shared" ca="1" si="10"/>
        <v>29.898456308185025</v>
      </c>
      <c r="Z137" s="6">
        <f t="shared" ca="1" si="10"/>
        <v>30.271861647382</v>
      </c>
      <c r="AA137" s="6">
        <f t="shared" ca="1" si="10"/>
        <v>30.542821286184452</v>
      </c>
      <c r="AB137" s="6">
        <f t="shared" ca="1" si="11"/>
        <v>29.513513125191388</v>
      </c>
      <c r="AC137" s="6">
        <f t="shared" ca="1" si="12"/>
        <v>2</v>
      </c>
    </row>
    <row r="138" spans="1:29">
      <c r="A138" s="11">
        <v>137</v>
      </c>
      <c r="B138" s="12">
        <v>5</v>
      </c>
      <c r="C138" s="11">
        <v>3</v>
      </c>
      <c r="D138" s="11">
        <v>1</v>
      </c>
      <c r="E138" s="11">
        <v>3</v>
      </c>
      <c r="F138" s="11">
        <v>2</v>
      </c>
      <c r="G138" s="11">
        <v>3</v>
      </c>
      <c r="H138" s="11">
        <v>3</v>
      </c>
      <c r="I138" s="11">
        <v>2</v>
      </c>
      <c r="J138" s="11">
        <v>4</v>
      </c>
      <c r="K138" s="11">
        <v>4</v>
      </c>
      <c r="L138" s="11">
        <v>1</v>
      </c>
      <c r="M138" s="11">
        <v>3</v>
      </c>
      <c r="N138" s="11">
        <v>2</v>
      </c>
      <c r="O138" s="11">
        <v>4</v>
      </c>
      <c r="P138" s="11">
        <v>4</v>
      </c>
      <c r="Q138" s="11">
        <v>4</v>
      </c>
      <c r="R138" s="11">
        <v>3</v>
      </c>
      <c r="S138" s="11">
        <v>1</v>
      </c>
      <c r="T138" s="11">
        <v>3</v>
      </c>
      <c r="U138" s="10">
        <v>1</v>
      </c>
      <c r="V138" s="6">
        <f t="shared" ca="1" si="10"/>
        <v>27.983883529094676</v>
      </c>
      <c r="W138" s="6">
        <f t="shared" ca="1" si="10"/>
        <v>28.531631307079291</v>
      </c>
      <c r="X138" s="6">
        <f t="shared" ca="1" si="10"/>
        <v>28.306769885564457</v>
      </c>
      <c r="Y138" s="6">
        <f t="shared" ca="1" si="10"/>
        <v>28.109996291285924</v>
      </c>
      <c r="Z138" s="6">
        <f t="shared" ca="1" si="10"/>
        <v>28.198721486477606</v>
      </c>
      <c r="AA138" s="6">
        <f t="shared" ca="1" si="10"/>
        <v>27.926322772822509</v>
      </c>
      <c r="AB138" s="6">
        <f t="shared" ca="1" si="11"/>
        <v>27.926322772822509</v>
      </c>
      <c r="AC138" s="6">
        <f t="shared" ca="1" si="12"/>
        <v>6</v>
      </c>
    </row>
    <row r="139" spans="1:29">
      <c r="A139" s="11">
        <v>138</v>
      </c>
      <c r="B139" s="12">
        <v>2</v>
      </c>
      <c r="C139" s="11">
        <v>1</v>
      </c>
      <c r="D139" s="11">
        <v>1</v>
      </c>
      <c r="E139" s="11">
        <v>5</v>
      </c>
      <c r="F139" s="11">
        <v>3</v>
      </c>
      <c r="G139" s="11">
        <v>2</v>
      </c>
      <c r="H139" s="11">
        <v>3</v>
      </c>
      <c r="I139" s="11">
        <v>5</v>
      </c>
      <c r="J139" s="11">
        <v>3</v>
      </c>
      <c r="K139" s="11">
        <v>2</v>
      </c>
      <c r="L139" s="11">
        <v>2</v>
      </c>
      <c r="M139" s="11">
        <v>1</v>
      </c>
      <c r="N139" s="11">
        <v>5</v>
      </c>
      <c r="O139" s="11">
        <v>4</v>
      </c>
      <c r="P139" s="11">
        <v>4</v>
      </c>
      <c r="Q139" s="11">
        <v>5</v>
      </c>
      <c r="R139" s="11">
        <v>1</v>
      </c>
      <c r="S139" s="11">
        <v>4</v>
      </c>
      <c r="T139" s="11">
        <v>5</v>
      </c>
      <c r="U139" s="10">
        <v>3</v>
      </c>
      <c r="V139" s="6">
        <f t="shared" ca="1" si="10"/>
        <v>43.138439337445192</v>
      </c>
      <c r="W139" s="6">
        <f t="shared" ca="1" si="10"/>
        <v>43.2472265260486</v>
      </c>
      <c r="X139" s="6">
        <f t="shared" ca="1" si="10"/>
        <v>43.115148079796334</v>
      </c>
      <c r="Y139" s="6">
        <f t="shared" ca="1" si="10"/>
        <v>42.742786382977329</v>
      </c>
      <c r="Z139" s="6">
        <f t="shared" ca="1" si="10"/>
        <v>43.418137934011632</v>
      </c>
      <c r="AA139" s="6">
        <f t="shared" ca="1" si="10"/>
        <v>43.422470577771932</v>
      </c>
      <c r="AB139" s="6">
        <f t="shared" ca="1" si="11"/>
        <v>42.742786382977329</v>
      </c>
      <c r="AC139" s="6">
        <f t="shared" ca="1" si="12"/>
        <v>4</v>
      </c>
    </row>
    <row r="140" spans="1:29">
      <c r="A140" s="11">
        <v>139</v>
      </c>
      <c r="B140" s="12">
        <v>3</v>
      </c>
      <c r="C140" s="11">
        <v>2</v>
      </c>
      <c r="D140" s="11">
        <v>1</v>
      </c>
      <c r="E140" s="11">
        <v>2</v>
      </c>
      <c r="F140" s="11">
        <v>2</v>
      </c>
      <c r="G140" s="11">
        <v>1</v>
      </c>
      <c r="H140" s="11">
        <v>3</v>
      </c>
      <c r="I140" s="11">
        <v>2</v>
      </c>
      <c r="J140" s="11">
        <v>2</v>
      </c>
      <c r="K140" s="11">
        <v>2</v>
      </c>
      <c r="L140" s="11">
        <v>3</v>
      </c>
      <c r="M140" s="11">
        <v>3</v>
      </c>
      <c r="N140" s="11">
        <v>3</v>
      </c>
      <c r="O140" s="11">
        <v>4</v>
      </c>
      <c r="P140" s="11">
        <v>4</v>
      </c>
      <c r="Q140" s="11">
        <v>1</v>
      </c>
      <c r="R140" s="11">
        <v>2</v>
      </c>
      <c r="S140" s="11">
        <v>1</v>
      </c>
      <c r="T140" s="11">
        <v>3</v>
      </c>
      <c r="U140" s="10">
        <v>3</v>
      </c>
      <c r="V140" s="6">
        <f t="shared" ca="1" si="10"/>
        <v>25.213220879322787</v>
      </c>
      <c r="W140" s="6">
        <f t="shared" ca="1" si="10"/>
        <v>25.187316251987969</v>
      </c>
      <c r="X140" s="6">
        <f t="shared" ca="1" si="10"/>
        <v>25.232570102551314</v>
      </c>
      <c r="Y140" s="6">
        <f t="shared" ca="1" si="10"/>
        <v>24.971079928664054</v>
      </c>
      <c r="Z140" s="6">
        <f t="shared" ca="1" si="10"/>
        <v>25.220011412360652</v>
      </c>
      <c r="AA140" s="6">
        <f t="shared" ca="1" si="10"/>
        <v>24.96616868767207</v>
      </c>
      <c r="AB140" s="6">
        <f t="shared" ca="1" si="11"/>
        <v>24.96616868767207</v>
      </c>
      <c r="AC140" s="6">
        <f t="shared" ca="1" si="12"/>
        <v>6</v>
      </c>
    </row>
    <row r="141" spans="1:29">
      <c r="A141" s="11">
        <v>140</v>
      </c>
      <c r="B141" s="12">
        <v>5</v>
      </c>
      <c r="C141" s="11">
        <v>1</v>
      </c>
      <c r="D141" s="11">
        <v>1</v>
      </c>
      <c r="E141" s="11">
        <v>1</v>
      </c>
      <c r="F141" s="11">
        <v>1</v>
      </c>
      <c r="G141" s="11">
        <v>5</v>
      </c>
      <c r="H141" s="11">
        <v>5</v>
      </c>
      <c r="I141" s="11">
        <v>1</v>
      </c>
      <c r="J141" s="11">
        <v>1</v>
      </c>
      <c r="K141" s="11">
        <v>5</v>
      </c>
      <c r="L141" s="11">
        <v>3</v>
      </c>
      <c r="M141" s="11">
        <v>5</v>
      </c>
      <c r="N141" s="11">
        <v>5</v>
      </c>
      <c r="O141" s="11">
        <v>5</v>
      </c>
      <c r="P141" s="11">
        <v>4</v>
      </c>
      <c r="Q141" s="11">
        <v>3</v>
      </c>
      <c r="R141" s="11">
        <v>5</v>
      </c>
      <c r="S141" s="11">
        <v>1</v>
      </c>
      <c r="T141" s="11">
        <v>5</v>
      </c>
      <c r="U141" s="10">
        <v>5</v>
      </c>
      <c r="V141" s="6">
        <f t="shared" ca="1" si="10"/>
        <v>68.927510521640542</v>
      </c>
      <c r="W141" s="6">
        <f t="shared" ca="1" si="10"/>
        <v>68.9245721106346</v>
      </c>
      <c r="X141" s="6">
        <f t="shared" ca="1" si="10"/>
        <v>68.850414108312918</v>
      </c>
      <c r="Y141" s="6">
        <f t="shared" ca="1" si="10"/>
        <v>69.030674615788811</v>
      </c>
      <c r="Z141" s="6">
        <f t="shared" ca="1" si="10"/>
        <v>68.658798351846272</v>
      </c>
      <c r="AA141" s="6">
        <f t="shared" ca="1" si="10"/>
        <v>69.70287998694856</v>
      </c>
      <c r="AB141" s="6">
        <f t="shared" ca="1" si="11"/>
        <v>68.658798351846272</v>
      </c>
      <c r="AC141" s="6">
        <f t="shared" ca="1" si="12"/>
        <v>5</v>
      </c>
    </row>
    <row r="142" spans="1:29">
      <c r="A142" s="11">
        <v>141</v>
      </c>
      <c r="B142" s="12">
        <v>4</v>
      </c>
      <c r="C142" s="11">
        <v>2</v>
      </c>
      <c r="D142" s="11">
        <v>3</v>
      </c>
      <c r="E142" s="11">
        <v>1</v>
      </c>
      <c r="F142" s="11">
        <v>4</v>
      </c>
      <c r="G142" s="11">
        <v>2</v>
      </c>
      <c r="H142" s="11">
        <v>3</v>
      </c>
      <c r="I142" s="11">
        <v>2</v>
      </c>
      <c r="J142" s="11">
        <v>2</v>
      </c>
      <c r="K142" s="11">
        <v>1</v>
      </c>
      <c r="L142" s="11">
        <v>1</v>
      </c>
      <c r="M142" s="11">
        <v>4</v>
      </c>
      <c r="N142" s="11">
        <v>2</v>
      </c>
      <c r="O142" s="11">
        <v>1</v>
      </c>
      <c r="P142" s="11">
        <v>2</v>
      </c>
      <c r="Q142" s="11">
        <v>3</v>
      </c>
      <c r="R142" s="11">
        <v>3</v>
      </c>
      <c r="S142" s="11">
        <v>4</v>
      </c>
      <c r="T142" s="11">
        <v>3</v>
      </c>
      <c r="U142" s="10">
        <v>5</v>
      </c>
      <c r="V142" s="6">
        <f t="shared" ca="1" si="10"/>
        <v>29.45463100279359</v>
      </c>
      <c r="W142" s="6">
        <f t="shared" ca="1" si="10"/>
        <v>29.60656677784689</v>
      </c>
      <c r="X142" s="6">
        <f t="shared" ca="1" si="10"/>
        <v>29.692095952033611</v>
      </c>
      <c r="Y142" s="6">
        <f t="shared" ca="1" si="10"/>
        <v>29.674348456468316</v>
      </c>
      <c r="Z142" s="6">
        <f t="shared" ca="1" si="10"/>
        <v>30.316620129945971</v>
      </c>
      <c r="AA142" s="6">
        <f t="shared" ca="1" si="10"/>
        <v>30.528901435946182</v>
      </c>
      <c r="AB142" s="6">
        <f t="shared" ca="1" si="11"/>
        <v>29.45463100279359</v>
      </c>
      <c r="AC142" s="6">
        <f t="shared" ca="1" si="12"/>
        <v>1</v>
      </c>
    </row>
    <row r="143" spans="1:29">
      <c r="A143" s="11">
        <v>142</v>
      </c>
      <c r="B143" s="12">
        <v>3</v>
      </c>
      <c r="C143" s="11">
        <v>3</v>
      </c>
      <c r="D143" s="11">
        <v>2</v>
      </c>
      <c r="E143" s="11">
        <v>3</v>
      </c>
      <c r="F143" s="11">
        <v>4</v>
      </c>
      <c r="G143" s="11">
        <v>3</v>
      </c>
      <c r="H143" s="11">
        <v>3</v>
      </c>
      <c r="I143" s="11">
        <v>2</v>
      </c>
      <c r="J143" s="11">
        <v>2</v>
      </c>
      <c r="K143" s="11">
        <v>2</v>
      </c>
      <c r="L143" s="11">
        <v>2</v>
      </c>
      <c r="M143" s="11">
        <v>4</v>
      </c>
      <c r="N143" s="11">
        <v>2</v>
      </c>
      <c r="O143" s="11">
        <v>2</v>
      </c>
      <c r="P143" s="11">
        <v>2</v>
      </c>
      <c r="Q143" s="11">
        <v>2</v>
      </c>
      <c r="R143" s="11">
        <v>5</v>
      </c>
      <c r="S143" s="11">
        <v>2</v>
      </c>
      <c r="T143" s="11">
        <v>1</v>
      </c>
      <c r="U143" s="10">
        <v>4</v>
      </c>
      <c r="V143" s="6">
        <f t="shared" ca="1" si="10"/>
        <v>20.743517644792675</v>
      </c>
      <c r="W143" s="6">
        <f t="shared" ca="1" si="10"/>
        <v>20.651360124218265</v>
      </c>
      <c r="X143" s="6">
        <f t="shared" ca="1" si="10"/>
        <v>20.972029879153471</v>
      </c>
      <c r="Y143" s="6">
        <f t="shared" ca="1" si="10"/>
        <v>20.978675383356666</v>
      </c>
      <c r="Z143" s="6">
        <f t="shared" ca="1" si="10"/>
        <v>20.987960567123686</v>
      </c>
      <c r="AA143" s="6">
        <f t="shared" ca="1" si="10"/>
        <v>21.224903869334398</v>
      </c>
      <c r="AB143" s="6">
        <f t="shared" ca="1" si="11"/>
        <v>20.651360124218265</v>
      </c>
      <c r="AC143" s="6">
        <f t="shared" ca="1" si="12"/>
        <v>2</v>
      </c>
    </row>
    <row r="144" spans="1:29">
      <c r="A144" s="11">
        <v>143</v>
      </c>
      <c r="B144" s="12">
        <v>4</v>
      </c>
      <c r="C144" s="11">
        <v>3</v>
      </c>
      <c r="D144" s="11">
        <v>3</v>
      </c>
      <c r="E144" s="11">
        <v>2</v>
      </c>
      <c r="F144" s="11">
        <v>2</v>
      </c>
      <c r="G144" s="11">
        <v>3</v>
      </c>
      <c r="H144" s="11">
        <v>2</v>
      </c>
      <c r="I144" s="11">
        <v>2</v>
      </c>
      <c r="J144" s="11">
        <v>3</v>
      </c>
      <c r="K144" s="11">
        <v>2</v>
      </c>
      <c r="L144" s="11">
        <v>2</v>
      </c>
      <c r="M144" s="11">
        <v>3</v>
      </c>
      <c r="N144" s="11">
        <v>3</v>
      </c>
      <c r="O144" s="11">
        <v>3</v>
      </c>
      <c r="P144" s="11">
        <v>3</v>
      </c>
      <c r="Q144" s="11">
        <v>2</v>
      </c>
      <c r="R144" s="11">
        <v>2</v>
      </c>
      <c r="S144" s="11">
        <v>2</v>
      </c>
      <c r="T144" s="11">
        <v>3</v>
      </c>
      <c r="U144" s="10">
        <v>4</v>
      </c>
      <c r="V144" s="6">
        <f t="shared" ca="1" si="10"/>
        <v>10.760790963481673</v>
      </c>
      <c r="W144" s="6">
        <f t="shared" ca="1" si="10"/>
        <v>11.121899406734443</v>
      </c>
      <c r="X144" s="6">
        <f t="shared" ca="1" si="10"/>
        <v>10.724802251934854</v>
      </c>
      <c r="Y144" s="6">
        <f t="shared" ca="1" si="10"/>
        <v>11.016439837410864</v>
      </c>
      <c r="Z144" s="6">
        <f t="shared" ca="1" si="10"/>
        <v>11.332212087528188</v>
      </c>
      <c r="AA144" s="6">
        <f t="shared" ca="1" si="10"/>
        <v>11.212174160548681</v>
      </c>
      <c r="AB144" s="6">
        <f t="shared" ca="1" si="11"/>
        <v>10.724802251934854</v>
      </c>
      <c r="AC144" s="6">
        <f t="shared" ca="1" si="12"/>
        <v>3</v>
      </c>
    </row>
    <row r="145" spans="1:29">
      <c r="A145" s="11">
        <v>144</v>
      </c>
      <c r="B145" s="12">
        <v>4</v>
      </c>
      <c r="C145" s="11">
        <v>2</v>
      </c>
      <c r="D145" s="11">
        <v>2</v>
      </c>
      <c r="E145" s="11">
        <v>2</v>
      </c>
      <c r="F145" s="11">
        <v>2</v>
      </c>
      <c r="G145" s="11">
        <v>3</v>
      </c>
      <c r="H145" s="11">
        <v>3</v>
      </c>
      <c r="I145" s="11">
        <v>1</v>
      </c>
      <c r="J145" s="11">
        <v>2</v>
      </c>
      <c r="K145" s="11">
        <v>4</v>
      </c>
      <c r="L145" s="11">
        <v>4</v>
      </c>
      <c r="M145" s="11">
        <v>3</v>
      </c>
      <c r="N145" s="11">
        <v>2</v>
      </c>
      <c r="O145" s="11">
        <v>4</v>
      </c>
      <c r="P145" s="11">
        <v>5</v>
      </c>
      <c r="Q145" s="11">
        <v>2</v>
      </c>
      <c r="R145" s="11">
        <v>2</v>
      </c>
      <c r="S145" s="11">
        <v>2</v>
      </c>
      <c r="T145" s="11">
        <v>3</v>
      </c>
      <c r="U145" s="10">
        <v>4</v>
      </c>
      <c r="V145" s="6">
        <f t="shared" ca="1" si="10"/>
        <v>22.167688537691436</v>
      </c>
      <c r="W145" s="6">
        <f t="shared" ca="1" si="10"/>
        <v>22.039741043530242</v>
      </c>
      <c r="X145" s="6">
        <f t="shared" ca="1" si="10"/>
        <v>22.054677934061335</v>
      </c>
      <c r="Y145" s="6">
        <f t="shared" ca="1" si="10"/>
        <v>22.088600637210806</v>
      </c>
      <c r="Z145" s="6">
        <f t="shared" ca="1" si="10"/>
        <v>21.926588987898999</v>
      </c>
      <c r="AA145" s="6">
        <f t="shared" ca="1" si="10"/>
        <v>21.993025616487127</v>
      </c>
      <c r="AB145" s="6">
        <f t="shared" ca="1" si="11"/>
        <v>21.926588987898999</v>
      </c>
      <c r="AC145" s="6">
        <f t="shared" ca="1" si="12"/>
        <v>5</v>
      </c>
    </row>
    <row r="146" spans="1:29">
      <c r="A146" s="11">
        <v>145</v>
      </c>
      <c r="B146" s="12">
        <v>1</v>
      </c>
      <c r="C146" s="11">
        <v>1</v>
      </c>
      <c r="D146" s="11">
        <v>1</v>
      </c>
      <c r="E146" s="11">
        <v>1</v>
      </c>
      <c r="F146" s="11">
        <v>1</v>
      </c>
      <c r="G146" s="11">
        <v>5</v>
      </c>
      <c r="H146" s="11">
        <v>5</v>
      </c>
      <c r="I146" s="11">
        <v>1</v>
      </c>
      <c r="J146" s="11">
        <v>1</v>
      </c>
      <c r="K146" s="11">
        <v>1</v>
      </c>
      <c r="L146" s="11">
        <v>1</v>
      </c>
      <c r="M146" s="11">
        <v>1</v>
      </c>
      <c r="N146" s="11">
        <v>1</v>
      </c>
      <c r="O146" s="11">
        <v>1</v>
      </c>
      <c r="P146" s="11">
        <v>1</v>
      </c>
      <c r="Q146" s="11">
        <v>1</v>
      </c>
      <c r="R146" s="11">
        <v>5</v>
      </c>
      <c r="S146" s="11">
        <v>5</v>
      </c>
      <c r="T146" s="11">
        <v>5</v>
      </c>
      <c r="U146" s="10">
        <v>5</v>
      </c>
      <c r="V146" s="6">
        <f t="shared" ca="1" si="10"/>
        <v>79.917955282468341</v>
      </c>
      <c r="W146" s="6">
        <f t="shared" ca="1" si="10"/>
        <v>78.860387217775255</v>
      </c>
      <c r="X146" s="6">
        <f t="shared" ca="1" si="10"/>
        <v>79.130541214742991</v>
      </c>
      <c r="Y146" s="6">
        <f t="shared" ca="1" si="10"/>
        <v>79.431395809000207</v>
      </c>
      <c r="Z146" s="6">
        <f t="shared" ca="1" si="10"/>
        <v>80.698641767836889</v>
      </c>
      <c r="AA146" s="6">
        <f t="shared" ca="1" si="10"/>
        <v>80.891789829338691</v>
      </c>
      <c r="AB146" s="6">
        <f t="shared" ca="1" si="11"/>
        <v>78.860387217775255</v>
      </c>
      <c r="AC146" s="6">
        <f t="shared" ca="1" si="12"/>
        <v>2</v>
      </c>
    </row>
    <row r="147" spans="1:29">
      <c r="A147" s="11">
        <v>146</v>
      </c>
      <c r="B147" s="12">
        <v>3</v>
      </c>
      <c r="C147" s="11">
        <v>3</v>
      </c>
      <c r="D147" s="11">
        <v>3</v>
      </c>
      <c r="E147" s="11">
        <v>2</v>
      </c>
      <c r="F147" s="11">
        <v>2</v>
      </c>
      <c r="G147" s="11">
        <v>3</v>
      </c>
      <c r="H147" s="11">
        <v>2</v>
      </c>
      <c r="I147" s="11">
        <v>1</v>
      </c>
      <c r="J147" s="11">
        <v>2</v>
      </c>
      <c r="K147" s="11">
        <v>4</v>
      </c>
      <c r="L147" s="11">
        <v>1</v>
      </c>
      <c r="M147" s="11">
        <v>3</v>
      </c>
      <c r="N147" s="11">
        <v>2</v>
      </c>
      <c r="O147" s="11">
        <v>4</v>
      </c>
      <c r="P147" s="11">
        <v>3</v>
      </c>
      <c r="Q147" s="11">
        <v>2</v>
      </c>
      <c r="R147" s="11">
        <v>1</v>
      </c>
      <c r="S147" s="11">
        <v>5</v>
      </c>
      <c r="T147" s="11">
        <v>3</v>
      </c>
      <c r="U147" s="10">
        <v>3</v>
      </c>
      <c r="V147" s="6">
        <f t="shared" ca="1" si="10"/>
        <v>23.992638346927809</v>
      </c>
      <c r="W147" s="6">
        <f t="shared" ca="1" si="10"/>
        <v>23.871265651372401</v>
      </c>
      <c r="X147" s="6">
        <f t="shared" ca="1" si="10"/>
        <v>23.691703204267224</v>
      </c>
      <c r="Y147" s="6">
        <f t="shared" ca="1" si="10"/>
        <v>23.956637561556299</v>
      </c>
      <c r="Z147" s="6">
        <f t="shared" ca="1" si="10"/>
        <v>24.34512920400616</v>
      </c>
      <c r="AA147" s="6">
        <f t="shared" ca="1" si="10"/>
        <v>24.131986188100033</v>
      </c>
      <c r="AB147" s="6">
        <f t="shared" ca="1" si="11"/>
        <v>23.691703204267224</v>
      </c>
      <c r="AC147" s="6">
        <f t="shared" ca="1" si="12"/>
        <v>3</v>
      </c>
    </row>
    <row r="148" spans="1:29">
      <c r="A148" s="11">
        <v>147</v>
      </c>
      <c r="B148" s="12">
        <v>3</v>
      </c>
      <c r="C148" s="11">
        <v>2</v>
      </c>
      <c r="D148" s="11">
        <v>2</v>
      </c>
      <c r="E148" s="11">
        <v>4</v>
      </c>
      <c r="F148" s="11">
        <v>3</v>
      </c>
      <c r="G148" s="11">
        <v>2</v>
      </c>
      <c r="H148" s="11">
        <v>3</v>
      </c>
      <c r="I148" s="11">
        <v>2</v>
      </c>
      <c r="J148" s="11">
        <v>2</v>
      </c>
      <c r="K148" s="11">
        <v>3</v>
      </c>
      <c r="L148" s="11">
        <v>2</v>
      </c>
      <c r="M148" s="11">
        <v>2</v>
      </c>
      <c r="N148" s="11">
        <v>2</v>
      </c>
      <c r="O148" s="11">
        <v>4</v>
      </c>
      <c r="P148" s="11">
        <v>4</v>
      </c>
      <c r="Q148" s="11">
        <v>2</v>
      </c>
      <c r="R148" s="11">
        <v>4</v>
      </c>
      <c r="S148" s="11">
        <v>1</v>
      </c>
      <c r="T148" s="11">
        <v>2</v>
      </c>
      <c r="U148" s="10">
        <v>2</v>
      </c>
      <c r="V148" s="6">
        <f t="shared" ca="1" si="10"/>
        <v>19.352235967919984</v>
      </c>
      <c r="W148" s="6">
        <f t="shared" ca="1" si="10"/>
        <v>18.885808668558578</v>
      </c>
      <c r="X148" s="6">
        <f t="shared" ca="1" si="10"/>
        <v>19.223107158835457</v>
      </c>
      <c r="Y148" s="6">
        <f t="shared" ca="1" si="10"/>
        <v>19.074736347722933</v>
      </c>
      <c r="Z148" s="6">
        <f t="shared" ca="1" si="10"/>
        <v>19.06089483629502</v>
      </c>
      <c r="AA148" s="6">
        <f t="shared" ca="1" si="10"/>
        <v>18.998129050963474</v>
      </c>
      <c r="AB148" s="6">
        <f t="shared" ca="1" si="11"/>
        <v>18.885808668558578</v>
      </c>
      <c r="AC148" s="6">
        <f t="shared" ca="1" si="12"/>
        <v>2</v>
      </c>
    </row>
    <row r="149" spans="1:29">
      <c r="A149" s="11">
        <v>148</v>
      </c>
      <c r="B149" s="12">
        <v>2</v>
      </c>
      <c r="C149" s="11">
        <v>2</v>
      </c>
      <c r="D149" s="11">
        <v>2</v>
      </c>
      <c r="E149" s="11">
        <v>3</v>
      </c>
      <c r="F149" s="11">
        <v>4</v>
      </c>
      <c r="G149" s="11">
        <v>4</v>
      </c>
      <c r="H149" s="11">
        <v>3</v>
      </c>
      <c r="I149" s="11">
        <v>2</v>
      </c>
      <c r="J149" s="11">
        <v>1</v>
      </c>
      <c r="K149" s="11">
        <v>4</v>
      </c>
      <c r="L149" s="11">
        <v>2</v>
      </c>
      <c r="M149" s="11">
        <v>2</v>
      </c>
      <c r="N149" s="11">
        <v>3</v>
      </c>
      <c r="O149" s="11">
        <v>4</v>
      </c>
      <c r="P149" s="11">
        <v>5</v>
      </c>
      <c r="Q149" s="11">
        <v>2</v>
      </c>
      <c r="R149" s="11">
        <v>3</v>
      </c>
      <c r="S149" s="11">
        <v>2</v>
      </c>
      <c r="T149" s="11">
        <v>3</v>
      </c>
      <c r="U149" s="10">
        <v>2</v>
      </c>
      <c r="V149" s="6">
        <f t="shared" ca="1" si="10"/>
        <v>21.153454630012131</v>
      </c>
      <c r="W149" s="6">
        <f t="shared" ca="1" si="10"/>
        <v>20.712954977360194</v>
      </c>
      <c r="X149" s="6">
        <f t="shared" ca="1" si="10"/>
        <v>21.154826448972241</v>
      </c>
      <c r="Y149" s="6">
        <f t="shared" ca="1" si="10"/>
        <v>20.959322261220564</v>
      </c>
      <c r="Z149" s="6">
        <f t="shared" ca="1" si="10"/>
        <v>21.095803484555226</v>
      </c>
      <c r="AA149" s="6">
        <f t="shared" ca="1" si="10"/>
        <v>21.149095232566705</v>
      </c>
      <c r="AB149" s="6">
        <f t="shared" ca="1" si="11"/>
        <v>20.712954977360194</v>
      </c>
      <c r="AC149" s="6">
        <f t="shared" ca="1" si="12"/>
        <v>2</v>
      </c>
    </row>
    <row r="150" spans="1:29">
      <c r="A150" s="11">
        <v>149</v>
      </c>
      <c r="B150" s="12">
        <v>4</v>
      </c>
      <c r="C150" s="11">
        <v>3</v>
      </c>
      <c r="D150" s="11">
        <v>1</v>
      </c>
      <c r="E150" s="11">
        <v>2</v>
      </c>
      <c r="F150" s="11">
        <v>4</v>
      </c>
      <c r="G150" s="11">
        <v>3</v>
      </c>
      <c r="H150" s="11">
        <v>3</v>
      </c>
      <c r="I150" s="11">
        <v>4</v>
      </c>
      <c r="J150" s="11">
        <v>1</v>
      </c>
      <c r="K150" s="11">
        <v>4</v>
      </c>
      <c r="L150" s="11">
        <v>3</v>
      </c>
      <c r="M150" s="11">
        <v>2</v>
      </c>
      <c r="N150" s="11">
        <v>3</v>
      </c>
      <c r="O150" s="11">
        <v>4</v>
      </c>
      <c r="P150" s="11">
        <v>4</v>
      </c>
      <c r="Q150" s="11">
        <v>3</v>
      </c>
      <c r="R150" s="11">
        <v>4</v>
      </c>
      <c r="S150" s="11">
        <v>3</v>
      </c>
      <c r="T150" s="11">
        <v>3</v>
      </c>
      <c r="U150" s="10">
        <v>1</v>
      </c>
      <c r="V150" s="6">
        <f t="shared" ca="1" si="10"/>
        <v>21.296142905953793</v>
      </c>
      <c r="W150" s="6">
        <f t="shared" ca="1" si="10"/>
        <v>20.919195944305542</v>
      </c>
      <c r="X150" s="6">
        <f t="shared" ca="1" si="10"/>
        <v>21.227164242928474</v>
      </c>
      <c r="Y150" s="6">
        <f t="shared" ca="1" si="10"/>
        <v>20.682689355206691</v>
      </c>
      <c r="Z150" s="6">
        <f t="shared" ca="1" si="10"/>
        <v>20.715416037680068</v>
      </c>
      <c r="AA150" s="6">
        <f t="shared" ca="1" si="10"/>
        <v>21.203993405394865</v>
      </c>
      <c r="AB150" s="6">
        <f t="shared" ca="1" si="11"/>
        <v>20.682689355206691</v>
      </c>
      <c r="AC150" s="6">
        <f t="shared" ca="1" si="12"/>
        <v>4</v>
      </c>
    </row>
    <row r="151" spans="1:29">
      <c r="A151" s="11">
        <v>150</v>
      </c>
      <c r="B151" s="12">
        <v>3</v>
      </c>
      <c r="C151" s="11">
        <v>3</v>
      </c>
      <c r="D151" s="11">
        <v>2</v>
      </c>
      <c r="E151" s="11">
        <v>3</v>
      </c>
      <c r="F151" s="11">
        <v>4</v>
      </c>
      <c r="G151" s="11">
        <v>2</v>
      </c>
      <c r="H151" s="11">
        <v>3</v>
      </c>
      <c r="I151" s="11">
        <v>4</v>
      </c>
      <c r="J151" s="11">
        <v>3</v>
      </c>
      <c r="K151" s="11">
        <v>2</v>
      </c>
      <c r="L151" s="11">
        <v>3</v>
      </c>
      <c r="M151" s="11">
        <v>4</v>
      </c>
      <c r="N151" s="11">
        <v>4</v>
      </c>
      <c r="O151" s="11">
        <v>3</v>
      </c>
      <c r="P151" s="11">
        <v>5</v>
      </c>
      <c r="Q151" s="11">
        <v>3</v>
      </c>
      <c r="R151" s="11">
        <v>2</v>
      </c>
      <c r="S151" s="11">
        <v>4</v>
      </c>
      <c r="T151" s="11">
        <v>5</v>
      </c>
      <c r="U151" s="10">
        <v>5</v>
      </c>
      <c r="V151" s="6">
        <f t="shared" ca="1" si="10"/>
        <v>20.81388564207613</v>
      </c>
      <c r="W151" s="6">
        <f t="shared" ca="1" si="10"/>
        <v>21.002260811279744</v>
      </c>
      <c r="X151" s="6">
        <f t="shared" ca="1" si="10"/>
        <v>21.016710108010077</v>
      </c>
      <c r="Y151" s="6">
        <f t="shared" ca="1" si="10"/>
        <v>20.933937808605364</v>
      </c>
      <c r="Z151" s="6">
        <f t="shared" ca="1" si="10"/>
        <v>20.97091651045136</v>
      </c>
      <c r="AA151" s="6">
        <f t="shared" ca="1" si="10"/>
        <v>21.361712096757422</v>
      </c>
      <c r="AB151" s="6">
        <f t="shared" ca="1" si="11"/>
        <v>20.81388564207613</v>
      </c>
      <c r="AC151" s="6">
        <f t="shared" ca="1" si="12"/>
        <v>1</v>
      </c>
    </row>
    <row r="152" spans="1:29">
      <c r="A152" s="11">
        <v>151</v>
      </c>
      <c r="B152" s="12">
        <v>1</v>
      </c>
      <c r="C152" s="11">
        <v>2</v>
      </c>
      <c r="D152" s="11">
        <v>2</v>
      </c>
      <c r="E152" s="11">
        <v>2</v>
      </c>
      <c r="F152" s="11">
        <v>3</v>
      </c>
      <c r="G152" s="11">
        <v>2</v>
      </c>
      <c r="H152" s="11">
        <v>3</v>
      </c>
      <c r="I152" s="11">
        <v>4</v>
      </c>
      <c r="J152" s="11">
        <v>3</v>
      </c>
      <c r="K152" s="11">
        <v>4</v>
      </c>
      <c r="L152" s="11">
        <v>5</v>
      </c>
      <c r="M152" s="11">
        <v>4</v>
      </c>
      <c r="N152" s="11">
        <v>3</v>
      </c>
      <c r="O152" s="11">
        <v>2</v>
      </c>
      <c r="P152" s="11">
        <v>2</v>
      </c>
      <c r="Q152" s="11">
        <v>2</v>
      </c>
      <c r="R152" s="11">
        <v>2</v>
      </c>
      <c r="S152" s="11">
        <v>2</v>
      </c>
      <c r="T152" s="11">
        <v>3</v>
      </c>
      <c r="U152" s="10">
        <v>5</v>
      </c>
      <c r="V152" s="6">
        <f t="shared" ca="1" si="10"/>
        <v>23.784877510675027</v>
      </c>
      <c r="W152" s="6">
        <f t="shared" ca="1" si="10"/>
        <v>24.088943382451937</v>
      </c>
      <c r="X152" s="6">
        <f t="shared" ca="1" si="10"/>
        <v>24.327971364524387</v>
      </c>
      <c r="Y152" s="6">
        <f t="shared" ca="1" si="10"/>
        <v>23.934026561165886</v>
      </c>
      <c r="Z152" s="6">
        <f t="shared" ca="1" si="10"/>
        <v>24.003299136137834</v>
      </c>
      <c r="AA152" s="6">
        <f t="shared" ca="1" si="10"/>
        <v>23.481162377922676</v>
      </c>
      <c r="AB152" s="6">
        <f t="shared" ca="1" si="11"/>
        <v>23.481162377922676</v>
      </c>
      <c r="AC152" s="6">
        <f t="shared" ca="1" si="12"/>
        <v>6</v>
      </c>
    </row>
    <row r="153" spans="1:29">
      <c r="A153" s="11">
        <v>152</v>
      </c>
      <c r="B153" s="12">
        <v>2</v>
      </c>
      <c r="C153" s="11">
        <v>2</v>
      </c>
      <c r="D153" s="11">
        <v>2</v>
      </c>
      <c r="E153" s="11">
        <v>2</v>
      </c>
      <c r="F153" s="11">
        <v>3</v>
      </c>
      <c r="G153" s="11">
        <v>3</v>
      </c>
      <c r="H153" s="11">
        <v>3</v>
      </c>
      <c r="I153" s="11">
        <v>2</v>
      </c>
      <c r="J153" s="11">
        <v>2</v>
      </c>
      <c r="K153" s="11">
        <v>5</v>
      </c>
      <c r="L153" s="11">
        <v>1</v>
      </c>
      <c r="M153" s="11">
        <v>2</v>
      </c>
      <c r="N153" s="11">
        <v>2</v>
      </c>
      <c r="O153" s="11">
        <v>2</v>
      </c>
      <c r="P153" s="11">
        <v>3</v>
      </c>
      <c r="Q153" s="11">
        <v>2</v>
      </c>
      <c r="R153" s="11">
        <v>2</v>
      </c>
      <c r="S153" s="11">
        <v>2</v>
      </c>
      <c r="T153" s="11">
        <v>2</v>
      </c>
      <c r="U153" s="10">
        <v>2</v>
      </c>
      <c r="V153" s="6">
        <f t="shared" ca="1" si="10"/>
        <v>21.842067107054085</v>
      </c>
      <c r="W153" s="6">
        <f t="shared" ca="1" si="10"/>
        <v>21.852843555264442</v>
      </c>
      <c r="X153" s="6">
        <f t="shared" ca="1" si="10"/>
        <v>22.183506555892635</v>
      </c>
      <c r="Y153" s="6">
        <f t="shared" ca="1" si="10"/>
        <v>21.957341326910988</v>
      </c>
      <c r="Z153" s="6">
        <f t="shared" ca="1" si="10"/>
        <v>22.312534419737958</v>
      </c>
      <c r="AA153" s="6">
        <f t="shared" ca="1" si="10"/>
        <v>21.635494151944108</v>
      </c>
      <c r="AB153" s="6">
        <f t="shared" ca="1" si="11"/>
        <v>21.635494151944108</v>
      </c>
      <c r="AC153" s="6">
        <f t="shared" ca="1" si="12"/>
        <v>6</v>
      </c>
    </row>
    <row r="154" spans="1:29">
      <c r="A154" s="11">
        <v>153</v>
      </c>
      <c r="B154" s="12">
        <v>4</v>
      </c>
      <c r="C154" s="11">
        <v>1</v>
      </c>
      <c r="D154" s="11">
        <v>1</v>
      </c>
      <c r="E154" s="11">
        <v>5</v>
      </c>
      <c r="F154" s="11">
        <v>3</v>
      </c>
      <c r="G154" s="11">
        <v>4</v>
      </c>
      <c r="H154" s="11">
        <v>4</v>
      </c>
      <c r="I154" s="11">
        <v>5</v>
      </c>
      <c r="J154" s="11">
        <v>4</v>
      </c>
      <c r="K154" s="11">
        <v>4</v>
      </c>
      <c r="L154" s="11">
        <v>3</v>
      </c>
      <c r="M154" s="11">
        <v>3</v>
      </c>
      <c r="N154" s="11">
        <v>5</v>
      </c>
      <c r="O154" s="11">
        <v>3</v>
      </c>
      <c r="P154" s="11">
        <v>3</v>
      </c>
      <c r="Q154" s="11">
        <v>5</v>
      </c>
      <c r="R154" s="11">
        <v>5</v>
      </c>
      <c r="S154" s="11">
        <v>1</v>
      </c>
      <c r="T154" s="11">
        <v>3</v>
      </c>
      <c r="U154" s="10">
        <v>4</v>
      </c>
      <c r="V154" s="6">
        <f t="shared" ca="1" si="10"/>
        <v>37.943183199315747</v>
      </c>
      <c r="W154" s="6">
        <f t="shared" ca="1" si="10"/>
        <v>38.159626726800475</v>
      </c>
      <c r="X154" s="6">
        <f t="shared" ca="1" si="10"/>
        <v>38.295988154985835</v>
      </c>
      <c r="Y154" s="6">
        <f t="shared" ca="1" si="10"/>
        <v>38.117825108642009</v>
      </c>
      <c r="Z154" s="6">
        <f t="shared" ca="1" si="10"/>
        <v>37.680669298027929</v>
      </c>
      <c r="AA154" s="6">
        <f t="shared" ca="1" si="10"/>
        <v>38.217700022791014</v>
      </c>
      <c r="AB154" s="6">
        <f t="shared" ca="1" si="11"/>
        <v>37.680669298027929</v>
      </c>
      <c r="AC154" s="6">
        <f t="shared" ca="1" si="12"/>
        <v>5</v>
      </c>
    </row>
    <row r="155" spans="1:29">
      <c r="A155" s="11">
        <v>154</v>
      </c>
      <c r="B155" s="12">
        <v>2</v>
      </c>
      <c r="C155" s="11">
        <v>2</v>
      </c>
      <c r="D155" s="11">
        <v>3</v>
      </c>
      <c r="E155" s="11">
        <v>2</v>
      </c>
      <c r="F155" s="11">
        <v>3</v>
      </c>
      <c r="G155" s="11">
        <v>2</v>
      </c>
      <c r="H155" s="11">
        <v>3</v>
      </c>
      <c r="I155" s="11">
        <v>3</v>
      </c>
      <c r="J155" s="11">
        <v>4</v>
      </c>
      <c r="K155" s="11">
        <v>3</v>
      </c>
      <c r="L155" s="11">
        <v>2</v>
      </c>
      <c r="M155" s="11">
        <v>3</v>
      </c>
      <c r="N155" s="11">
        <v>3</v>
      </c>
      <c r="O155" s="11">
        <v>3</v>
      </c>
      <c r="P155" s="11">
        <v>4</v>
      </c>
      <c r="Q155" s="11">
        <v>2</v>
      </c>
      <c r="R155" s="11">
        <v>2</v>
      </c>
      <c r="S155" s="11">
        <v>2</v>
      </c>
      <c r="T155" s="11">
        <v>3</v>
      </c>
      <c r="U155" s="10">
        <v>4</v>
      </c>
      <c r="V155" s="6">
        <f t="shared" ca="1" si="10"/>
        <v>10.901048807267953</v>
      </c>
      <c r="W155" s="6">
        <f t="shared" ca="1" si="10"/>
        <v>10.94873159475152</v>
      </c>
      <c r="X155" s="6">
        <f t="shared" ca="1" si="10"/>
        <v>11.241754962510488</v>
      </c>
      <c r="Y155" s="6">
        <f t="shared" ca="1" si="10"/>
        <v>11.100670585533429</v>
      </c>
      <c r="Z155" s="6">
        <f t="shared" ca="1" si="10"/>
        <v>11.139458275591203</v>
      </c>
      <c r="AA155" s="6">
        <f t="shared" ca="1" si="10"/>
        <v>10.737420024980191</v>
      </c>
      <c r="AB155" s="6">
        <f t="shared" ca="1" si="11"/>
        <v>10.737420024980191</v>
      </c>
      <c r="AC155" s="6">
        <f t="shared" ca="1" si="12"/>
        <v>6</v>
      </c>
    </row>
    <row r="156" spans="1:29">
      <c r="A156" s="11">
        <v>155</v>
      </c>
      <c r="B156" s="12">
        <v>2</v>
      </c>
      <c r="C156" s="11">
        <v>2</v>
      </c>
      <c r="D156" s="11">
        <v>2</v>
      </c>
      <c r="E156" s="11">
        <v>5</v>
      </c>
      <c r="F156" s="11">
        <v>3</v>
      </c>
      <c r="G156" s="11">
        <v>5</v>
      </c>
      <c r="H156" s="11">
        <v>3</v>
      </c>
      <c r="I156" s="11">
        <v>3</v>
      </c>
      <c r="J156" s="11">
        <v>3</v>
      </c>
      <c r="K156" s="11">
        <v>2</v>
      </c>
      <c r="L156" s="11">
        <v>2</v>
      </c>
      <c r="M156" s="11">
        <v>2</v>
      </c>
      <c r="N156" s="11">
        <v>3</v>
      </c>
      <c r="O156" s="11">
        <v>5</v>
      </c>
      <c r="P156" s="11">
        <v>4</v>
      </c>
      <c r="Q156" s="11">
        <v>1</v>
      </c>
      <c r="R156" s="11">
        <v>2</v>
      </c>
      <c r="S156" s="11">
        <v>3</v>
      </c>
      <c r="T156" s="11">
        <v>3</v>
      </c>
      <c r="U156" s="10">
        <v>3</v>
      </c>
      <c r="V156" s="6">
        <f t="shared" ca="1" si="10"/>
        <v>24.32654867271512</v>
      </c>
      <c r="W156" s="6">
        <f t="shared" ca="1" si="10"/>
        <v>23.651890236876877</v>
      </c>
      <c r="X156" s="6">
        <f t="shared" ca="1" si="10"/>
        <v>23.907443091760619</v>
      </c>
      <c r="Y156" s="6">
        <f t="shared" ca="1" si="10"/>
        <v>24.089860432630143</v>
      </c>
      <c r="Z156" s="6">
        <f t="shared" ca="1" si="10"/>
        <v>24.276145538488528</v>
      </c>
      <c r="AA156" s="6">
        <f t="shared" ca="1" si="10"/>
        <v>24.341578377631237</v>
      </c>
      <c r="AB156" s="6">
        <f t="shared" ca="1" si="11"/>
        <v>23.651890236876877</v>
      </c>
      <c r="AC156" s="6">
        <f t="shared" ca="1" si="12"/>
        <v>2</v>
      </c>
    </row>
    <row r="157" spans="1:29">
      <c r="A157" s="11">
        <v>156</v>
      </c>
      <c r="B157" s="12">
        <v>2</v>
      </c>
      <c r="C157" s="11">
        <v>1</v>
      </c>
      <c r="D157" s="11">
        <v>1</v>
      </c>
      <c r="E157" s="11">
        <v>5</v>
      </c>
      <c r="F157" s="11">
        <v>3</v>
      </c>
      <c r="G157" s="11">
        <v>2</v>
      </c>
      <c r="H157" s="11">
        <v>3</v>
      </c>
      <c r="I157" s="11">
        <v>5</v>
      </c>
      <c r="J157" s="11">
        <v>3</v>
      </c>
      <c r="K157" s="11">
        <v>2</v>
      </c>
      <c r="L157" s="11">
        <v>2</v>
      </c>
      <c r="M157" s="11">
        <v>1</v>
      </c>
      <c r="N157" s="11">
        <v>5</v>
      </c>
      <c r="O157" s="11">
        <v>4</v>
      </c>
      <c r="P157" s="11">
        <v>5</v>
      </c>
      <c r="Q157" s="11">
        <v>1</v>
      </c>
      <c r="R157" s="11">
        <v>4</v>
      </c>
      <c r="S157" s="11">
        <v>5</v>
      </c>
      <c r="T157" s="11">
        <v>5</v>
      </c>
      <c r="U157" s="10">
        <v>3</v>
      </c>
      <c r="V157" s="6">
        <f t="shared" ca="1" si="10"/>
        <v>46.823850160536111</v>
      </c>
      <c r="W157" s="6">
        <f t="shared" ca="1" si="10"/>
        <v>45.510262521838122</v>
      </c>
      <c r="X157" s="6">
        <f t="shared" ca="1" si="10"/>
        <v>45.968856918900315</v>
      </c>
      <c r="Y157" s="6">
        <f t="shared" ca="1" si="10"/>
        <v>46.013369207040576</v>
      </c>
      <c r="Z157" s="6">
        <f t="shared" ca="1" si="10"/>
        <v>45.920685386146637</v>
      </c>
      <c r="AA157" s="6">
        <f t="shared" ca="1" si="10"/>
        <v>46.558508120791203</v>
      </c>
      <c r="AB157" s="6">
        <f t="shared" ca="1" si="11"/>
        <v>45.510262521838122</v>
      </c>
      <c r="AC157" s="6">
        <f t="shared" ca="1" si="12"/>
        <v>2</v>
      </c>
    </row>
    <row r="158" spans="1:29">
      <c r="A158" s="11">
        <v>157</v>
      </c>
      <c r="B158" s="12">
        <v>2</v>
      </c>
      <c r="C158" s="11">
        <v>2</v>
      </c>
      <c r="D158" s="11">
        <v>1</v>
      </c>
      <c r="E158" s="11">
        <v>2</v>
      </c>
      <c r="F158" s="11">
        <v>4</v>
      </c>
      <c r="G158" s="11">
        <v>3</v>
      </c>
      <c r="H158" s="11">
        <v>3</v>
      </c>
      <c r="I158" s="11">
        <v>1</v>
      </c>
      <c r="J158" s="11">
        <v>1</v>
      </c>
      <c r="K158" s="11">
        <v>3</v>
      </c>
      <c r="L158" s="11">
        <v>1</v>
      </c>
      <c r="M158" s="11">
        <v>2</v>
      </c>
      <c r="N158" s="11">
        <v>3</v>
      </c>
      <c r="O158" s="11">
        <v>1</v>
      </c>
      <c r="P158" s="11">
        <v>5</v>
      </c>
      <c r="Q158" s="11">
        <v>1</v>
      </c>
      <c r="R158" s="11">
        <v>3</v>
      </c>
      <c r="S158" s="11">
        <v>2</v>
      </c>
      <c r="T158" s="11">
        <v>3</v>
      </c>
      <c r="U158" s="10">
        <v>2</v>
      </c>
      <c r="V158" s="6">
        <f t="shared" ca="1" si="10"/>
        <v>34.904084986134528</v>
      </c>
      <c r="W158" s="6">
        <f t="shared" ca="1" si="10"/>
        <v>34.704535008359805</v>
      </c>
      <c r="X158" s="6">
        <f t="shared" ca="1" si="10"/>
        <v>35.085208735636527</v>
      </c>
      <c r="Y158" s="6">
        <f t="shared" ca="1" si="10"/>
        <v>34.978551300760358</v>
      </c>
      <c r="Z158" s="6">
        <f t="shared" ca="1" si="10"/>
        <v>35.374241781637217</v>
      </c>
      <c r="AA158" s="6">
        <f t="shared" ca="1" si="10"/>
        <v>35.138082427007809</v>
      </c>
      <c r="AB158" s="6">
        <f t="shared" ca="1" si="11"/>
        <v>34.704535008359805</v>
      </c>
      <c r="AC158" s="6">
        <f t="shared" ca="1" si="12"/>
        <v>2</v>
      </c>
    </row>
    <row r="159" spans="1:29">
      <c r="A159" s="11">
        <v>158</v>
      </c>
      <c r="B159" s="12">
        <v>2</v>
      </c>
      <c r="C159" s="11">
        <v>4</v>
      </c>
      <c r="D159" s="11">
        <v>4</v>
      </c>
      <c r="E159" s="11">
        <v>5</v>
      </c>
      <c r="F159" s="11">
        <v>4</v>
      </c>
      <c r="G159" s="11">
        <v>5</v>
      </c>
      <c r="H159" s="11">
        <v>3</v>
      </c>
      <c r="I159" s="11">
        <v>1</v>
      </c>
      <c r="J159" s="11">
        <v>1</v>
      </c>
      <c r="K159" s="11">
        <v>5</v>
      </c>
      <c r="L159" s="11">
        <v>1</v>
      </c>
      <c r="M159" s="11">
        <v>1</v>
      </c>
      <c r="N159" s="11">
        <v>1</v>
      </c>
      <c r="O159" s="11">
        <v>4</v>
      </c>
      <c r="P159" s="11">
        <v>4</v>
      </c>
      <c r="Q159" s="11">
        <v>1</v>
      </c>
      <c r="R159" s="11">
        <v>2</v>
      </c>
      <c r="S159" s="11">
        <v>3</v>
      </c>
      <c r="T159" s="11">
        <v>4</v>
      </c>
      <c r="U159" s="10">
        <v>3</v>
      </c>
      <c r="V159" s="6">
        <f t="shared" ca="1" si="10"/>
        <v>44.016462293048541</v>
      </c>
      <c r="W159" s="6">
        <f t="shared" ca="1" si="10"/>
        <v>43.50068275775611</v>
      </c>
      <c r="X159" s="6">
        <f t="shared" ca="1" si="10"/>
        <v>43.520217245307919</v>
      </c>
      <c r="Y159" s="6">
        <f t="shared" ca="1" si="10"/>
        <v>44.120089995881244</v>
      </c>
      <c r="Z159" s="6">
        <f t="shared" ca="1" si="10"/>
        <v>44.271974472896645</v>
      </c>
      <c r="AA159" s="6">
        <f t="shared" ca="1" si="10"/>
        <v>44.314605996581598</v>
      </c>
      <c r="AB159" s="6">
        <f t="shared" ca="1" si="11"/>
        <v>43.50068275775611</v>
      </c>
      <c r="AC159" s="6">
        <f t="shared" ca="1" si="12"/>
        <v>2</v>
      </c>
    </row>
    <row r="160" spans="1:29">
      <c r="A160" s="11">
        <v>159</v>
      </c>
      <c r="B160" s="12">
        <v>4</v>
      </c>
      <c r="C160" s="11">
        <v>2</v>
      </c>
      <c r="D160" s="11">
        <v>2</v>
      </c>
      <c r="E160" s="11">
        <v>2</v>
      </c>
      <c r="F160" s="11">
        <v>4</v>
      </c>
      <c r="G160" s="11">
        <v>2</v>
      </c>
      <c r="H160" s="11">
        <v>3</v>
      </c>
      <c r="I160" s="11">
        <v>3</v>
      </c>
      <c r="J160" s="11">
        <v>2</v>
      </c>
      <c r="K160" s="11">
        <v>3</v>
      </c>
      <c r="L160" s="11">
        <v>2</v>
      </c>
      <c r="M160" s="11">
        <v>2</v>
      </c>
      <c r="N160" s="11">
        <v>2</v>
      </c>
      <c r="O160" s="11">
        <v>4</v>
      </c>
      <c r="P160" s="11">
        <v>4</v>
      </c>
      <c r="Q160" s="11">
        <v>2</v>
      </c>
      <c r="R160" s="11">
        <v>4</v>
      </c>
      <c r="S160" s="11">
        <v>2</v>
      </c>
      <c r="T160" s="11">
        <v>3</v>
      </c>
      <c r="U160" s="10">
        <v>2</v>
      </c>
      <c r="V160" s="6">
        <f t="shared" ca="1" si="10"/>
        <v>16.30664356869249</v>
      </c>
      <c r="W160" s="6">
        <f t="shared" ca="1" si="10"/>
        <v>15.783195001481584</v>
      </c>
      <c r="X160" s="6">
        <f t="shared" ca="1" si="10"/>
        <v>16.213316463793458</v>
      </c>
      <c r="Y160" s="6">
        <f t="shared" ca="1" si="10"/>
        <v>15.826997481273253</v>
      </c>
      <c r="Z160" s="6">
        <f t="shared" ca="1" si="10"/>
        <v>15.901999395353554</v>
      </c>
      <c r="AA160" s="6">
        <f t="shared" ca="1" si="10"/>
        <v>16.194463845664032</v>
      </c>
      <c r="AB160" s="6">
        <f t="shared" ca="1" si="11"/>
        <v>15.783195001481584</v>
      </c>
      <c r="AC160" s="6">
        <f t="shared" ca="1" si="12"/>
        <v>2</v>
      </c>
    </row>
    <row r="161" spans="1:29">
      <c r="A161" s="11">
        <v>160</v>
      </c>
      <c r="B161" s="12">
        <v>2</v>
      </c>
      <c r="C161" s="11">
        <v>1</v>
      </c>
      <c r="D161" s="11">
        <v>1</v>
      </c>
      <c r="E161" s="11">
        <v>3</v>
      </c>
      <c r="F161" s="11">
        <v>2</v>
      </c>
      <c r="G161" s="11">
        <v>1</v>
      </c>
      <c r="H161" s="11">
        <v>3</v>
      </c>
      <c r="I161" s="11">
        <v>3</v>
      </c>
      <c r="J161" s="11">
        <v>2</v>
      </c>
      <c r="K161" s="11">
        <v>4</v>
      </c>
      <c r="L161" s="11">
        <v>1</v>
      </c>
      <c r="M161" s="11">
        <v>2</v>
      </c>
      <c r="N161" s="11">
        <v>1</v>
      </c>
      <c r="O161" s="11">
        <v>5</v>
      </c>
      <c r="P161" s="11">
        <v>5</v>
      </c>
      <c r="Q161" s="11">
        <v>3</v>
      </c>
      <c r="R161" s="11">
        <v>1</v>
      </c>
      <c r="S161" s="11">
        <v>2</v>
      </c>
      <c r="T161" s="11">
        <v>3</v>
      </c>
      <c r="U161" s="10">
        <v>4</v>
      </c>
      <c r="V161" s="6">
        <f t="shared" ca="1" si="10"/>
        <v>39.015232739253079</v>
      </c>
      <c r="W161" s="6">
        <f t="shared" ca="1" si="10"/>
        <v>38.83775252702894</v>
      </c>
      <c r="X161" s="6">
        <f t="shared" ca="1" si="10"/>
        <v>39.300270088085838</v>
      </c>
      <c r="Y161" s="6">
        <f t="shared" ca="1" si="10"/>
        <v>38.769452280915587</v>
      </c>
      <c r="Z161" s="6">
        <f t="shared" ca="1" si="10"/>
        <v>39.331434019134839</v>
      </c>
      <c r="AA161" s="6">
        <f t="shared" ca="1" si="10"/>
        <v>38.787408401947346</v>
      </c>
      <c r="AB161" s="6">
        <f t="shared" ca="1" si="11"/>
        <v>38.769452280915587</v>
      </c>
      <c r="AC161" s="6">
        <f t="shared" ca="1" si="12"/>
        <v>4</v>
      </c>
    </row>
    <row r="162" spans="1:29">
      <c r="A162" s="11">
        <v>161</v>
      </c>
      <c r="B162" s="12">
        <v>3</v>
      </c>
      <c r="C162" s="11">
        <v>2</v>
      </c>
      <c r="D162" s="11">
        <v>2</v>
      </c>
      <c r="E162" s="11">
        <v>2</v>
      </c>
      <c r="F162" s="11">
        <v>3</v>
      </c>
      <c r="G162" s="11">
        <v>2</v>
      </c>
      <c r="H162" s="11">
        <v>3</v>
      </c>
      <c r="I162" s="11">
        <v>2</v>
      </c>
      <c r="J162" s="11">
        <v>1</v>
      </c>
      <c r="K162" s="11">
        <v>3</v>
      </c>
      <c r="L162" s="11">
        <v>2</v>
      </c>
      <c r="M162" s="11">
        <v>3</v>
      </c>
      <c r="N162" s="11">
        <v>2</v>
      </c>
      <c r="O162" s="11">
        <v>1</v>
      </c>
      <c r="P162" s="11">
        <v>2</v>
      </c>
      <c r="Q162" s="11">
        <v>3</v>
      </c>
      <c r="R162" s="11">
        <v>2</v>
      </c>
      <c r="S162" s="11">
        <v>3</v>
      </c>
      <c r="T162" s="11">
        <v>3</v>
      </c>
      <c r="U162" s="10">
        <v>2</v>
      </c>
      <c r="V162" s="6">
        <f t="shared" ca="1" si="10"/>
        <v>17.765719305093448</v>
      </c>
      <c r="W162" s="6">
        <f t="shared" ca="1" si="10"/>
        <v>17.993802439881556</v>
      </c>
      <c r="X162" s="6">
        <f t="shared" ca="1" si="10"/>
        <v>17.988035334313135</v>
      </c>
      <c r="Y162" s="6">
        <f t="shared" ca="1" si="10"/>
        <v>17.699172629731684</v>
      </c>
      <c r="Z162" s="6">
        <f t="shared" ca="1" si="10"/>
        <v>18.497958060346569</v>
      </c>
      <c r="AA162" s="6">
        <f t="shared" ca="1" si="10"/>
        <v>17.967546987288582</v>
      </c>
      <c r="AB162" s="6">
        <f t="shared" ca="1" si="11"/>
        <v>17.699172629731684</v>
      </c>
      <c r="AC162" s="6">
        <f t="shared" ca="1" si="12"/>
        <v>4</v>
      </c>
    </row>
    <row r="163" spans="1:29">
      <c r="A163" s="11">
        <v>162</v>
      </c>
      <c r="B163" s="12">
        <v>3</v>
      </c>
      <c r="C163" s="11">
        <v>4</v>
      </c>
      <c r="D163" s="11">
        <v>2</v>
      </c>
      <c r="E163" s="11">
        <v>4</v>
      </c>
      <c r="F163" s="11">
        <v>3</v>
      </c>
      <c r="G163" s="11">
        <v>2</v>
      </c>
      <c r="H163" s="11">
        <v>2</v>
      </c>
      <c r="I163" s="11">
        <v>4</v>
      </c>
      <c r="J163" s="11">
        <v>2</v>
      </c>
      <c r="K163" s="11">
        <v>4</v>
      </c>
      <c r="L163" s="11">
        <v>1</v>
      </c>
      <c r="M163" s="11">
        <v>2</v>
      </c>
      <c r="N163" s="11">
        <v>3</v>
      </c>
      <c r="O163" s="11">
        <v>4</v>
      </c>
      <c r="P163" s="11">
        <v>5</v>
      </c>
      <c r="Q163" s="11">
        <v>3</v>
      </c>
      <c r="R163" s="11">
        <v>2</v>
      </c>
      <c r="S163" s="11">
        <v>2</v>
      </c>
      <c r="T163" s="11">
        <v>3</v>
      </c>
      <c r="U163" s="10">
        <v>4</v>
      </c>
      <c r="V163" s="6">
        <f t="shared" ca="1" si="10"/>
        <v>20.736068270922196</v>
      </c>
      <c r="W163" s="6">
        <f t="shared" ca="1" si="10"/>
        <v>21.014319206372924</v>
      </c>
      <c r="X163" s="6">
        <f t="shared" ca="1" si="10"/>
        <v>20.951752400970268</v>
      </c>
      <c r="Y163" s="6">
        <f t="shared" ca="1" si="10"/>
        <v>20.96449322510907</v>
      </c>
      <c r="Z163" s="6">
        <f t="shared" ca="1" si="10"/>
        <v>21.049134591149219</v>
      </c>
      <c r="AA163" s="6">
        <f t="shared" ca="1" si="10"/>
        <v>21.059772927141204</v>
      </c>
      <c r="AB163" s="6">
        <f t="shared" ca="1" si="11"/>
        <v>20.736068270922196</v>
      </c>
      <c r="AC163" s="6">
        <f t="shared" ca="1" si="12"/>
        <v>1</v>
      </c>
    </row>
    <row r="164" spans="1:29">
      <c r="A164" s="11">
        <v>163</v>
      </c>
      <c r="B164" s="12">
        <v>3</v>
      </c>
      <c r="C164" s="11">
        <v>2</v>
      </c>
      <c r="D164" s="11">
        <v>2</v>
      </c>
      <c r="E164" s="11">
        <v>4</v>
      </c>
      <c r="F164" s="11">
        <v>2</v>
      </c>
      <c r="G164" s="11">
        <v>2</v>
      </c>
      <c r="H164" s="11">
        <v>3</v>
      </c>
      <c r="I164" s="11">
        <v>2</v>
      </c>
      <c r="J164" s="11">
        <v>2</v>
      </c>
      <c r="K164" s="11">
        <v>4</v>
      </c>
      <c r="L164" s="11">
        <v>1</v>
      </c>
      <c r="M164" s="11">
        <v>1</v>
      </c>
      <c r="N164" s="11">
        <v>2</v>
      </c>
      <c r="O164" s="11">
        <v>2</v>
      </c>
      <c r="P164" s="11">
        <v>2</v>
      </c>
      <c r="Q164" s="11">
        <v>2</v>
      </c>
      <c r="R164" s="11">
        <v>1</v>
      </c>
      <c r="S164" s="11">
        <v>2</v>
      </c>
      <c r="T164" s="11">
        <v>2</v>
      </c>
      <c r="U164" s="10">
        <v>4</v>
      </c>
      <c r="V164" s="6">
        <f t="shared" ca="1" si="10"/>
        <v>26.814866365267406</v>
      </c>
      <c r="W164" s="6">
        <f t="shared" ca="1" si="10"/>
        <v>26.954523801555581</v>
      </c>
      <c r="X164" s="6">
        <f t="shared" ca="1" si="10"/>
        <v>26.785363899063174</v>
      </c>
      <c r="Y164" s="6">
        <f t="shared" ca="1" si="10"/>
        <v>27.014903347183122</v>
      </c>
      <c r="Z164" s="6">
        <f t="shared" ca="1" si="10"/>
        <v>27.420710267831279</v>
      </c>
      <c r="AA164" s="6">
        <f t="shared" ca="1" si="10"/>
        <v>26.951056577652512</v>
      </c>
      <c r="AB164" s="6">
        <f t="shared" ca="1" si="11"/>
        <v>26.785363899063174</v>
      </c>
      <c r="AC164" s="6">
        <f t="shared" ca="1" si="12"/>
        <v>3</v>
      </c>
    </row>
    <row r="165" spans="1:29">
      <c r="A165" s="11">
        <v>164</v>
      </c>
      <c r="B165" s="12">
        <v>5</v>
      </c>
      <c r="C165" s="11">
        <v>5</v>
      </c>
      <c r="D165" s="11">
        <v>2</v>
      </c>
      <c r="E165" s="11">
        <v>2</v>
      </c>
      <c r="F165" s="11">
        <v>2</v>
      </c>
      <c r="G165" s="11">
        <v>5</v>
      </c>
      <c r="H165" s="11">
        <v>5</v>
      </c>
      <c r="I165" s="11">
        <v>2</v>
      </c>
      <c r="J165" s="11">
        <v>2</v>
      </c>
      <c r="K165" s="11">
        <v>2</v>
      </c>
      <c r="L165" s="11">
        <v>2</v>
      </c>
      <c r="M165" s="11">
        <v>2</v>
      </c>
      <c r="N165" s="11">
        <v>2</v>
      </c>
      <c r="O165" s="11">
        <v>5</v>
      </c>
      <c r="P165" s="11">
        <v>2</v>
      </c>
      <c r="Q165" s="11">
        <v>5</v>
      </c>
      <c r="R165" s="11">
        <v>5</v>
      </c>
      <c r="S165" s="11">
        <v>2</v>
      </c>
      <c r="T165" s="11">
        <v>5</v>
      </c>
      <c r="U165" s="10">
        <v>2</v>
      </c>
      <c r="V165" s="6">
        <f t="shared" ca="1" si="10"/>
        <v>43.848057629593917</v>
      </c>
      <c r="W165" s="6">
        <f t="shared" ca="1" si="10"/>
        <v>44.168620971518813</v>
      </c>
      <c r="X165" s="6">
        <f t="shared" ca="1" si="10"/>
        <v>43.563833829684334</v>
      </c>
      <c r="Y165" s="6">
        <f t="shared" ca="1" si="10"/>
        <v>43.605260940211814</v>
      </c>
      <c r="Z165" s="6">
        <f t="shared" ca="1" si="10"/>
        <v>44.120017962825088</v>
      </c>
      <c r="AA165" s="6">
        <f t="shared" ca="1" si="10"/>
        <v>44.875431244670544</v>
      </c>
      <c r="AB165" s="6">
        <f t="shared" ca="1" si="11"/>
        <v>43.563833829684334</v>
      </c>
      <c r="AC165" s="6">
        <f t="shared" ca="1" si="12"/>
        <v>3</v>
      </c>
    </row>
    <row r="166" spans="1:29">
      <c r="A166" s="11">
        <v>165</v>
      </c>
      <c r="B166" s="12">
        <v>3</v>
      </c>
      <c r="C166" s="11">
        <v>4</v>
      </c>
      <c r="D166" s="11">
        <v>2</v>
      </c>
      <c r="E166" s="11">
        <v>2</v>
      </c>
      <c r="F166" s="11">
        <v>3</v>
      </c>
      <c r="G166" s="11">
        <v>3</v>
      </c>
      <c r="H166" s="11">
        <v>4</v>
      </c>
      <c r="I166" s="11">
        <v>2</v>
      </c>
      <c r="J166" s="11">
        <v>2</v>
      </c>
      <c r="K166" s="11">
        <v>4</v>
      </c>
      <c r="L166" s="11">
        <v>1</v>
      </c>
      <c r="M166" s="11">
        <v>2</v>
      </c>
      <c r="N166" s="11">
        <v>3</v>
      </c>
      <c r="O166" s="11">
        <v>2</v>
      </c>
      <c r="P166" s="11">
        <v>5</v>
      </c>
      <c r="Q166" s="11">
        <v>4</v>
      </c>
      <c r="R166" s="11">
        <v>5</v>
      </c>
      <c r="S166" s="11">
        <v>3</v>
      </c>
      <c r="T166" s="11">
        <v>4</v>
      </c>
      <c r="U166" s="10">
        <v>3</v>
      </c>
      <c r="V166" s="6">
        <f t="shared" ca="1" si="10"/>
        <v>22.779477680905032</v>
      </c>
      <c r="W166" s="6">
        <f t="shared" ca="1" si="10"/>
        <v>22.79807803854402</v>
      </c>
      <c r="X166" s="6">
        <f t="shared" ca="1" si="10"/>
        <v>22.876267300020849</v>
      </c>
      <c r="Y166" s="6">
        <f t="shared" ca="1" si="10"/>
        <v>22.941848280499734</v>
      </c>
      <c r="Z166" s="6">
        <f t="shared" ca="1" si="10"/>
        <v>22.896728138112877</v>
      </c>
      <c r="AA166" s="6">
        <f t="shared" ca="1" si="10"/>
        <v>23.297174445708226</v>
      </c>
      <c r="AB166" s="6">
        <f t="shared" ca="1" si="11"/>
        <v>22.779477680905032</v>
      </c>
      <c r="AC166" s="6">
        <f t="shared" ca="1" si="12"/>
        <v>1</v>
      </c>
    </row>
    <row r="167" spans="1:29">
      <c r="A167" s="11">
        <v>166</v>
      </c>
      <c r="B167" s="12">
        <v>2</v>
      </c>
      <c r="C167" s="11">
        <v>2</v>
      </c>
      <c r="D167" s="11">
        <v>3</v>
      </c>
      <c r="E167" s="11">
        <v>3</v>
      </c>
      <c r="F167" s="11">
        <v>2</v>
      </c>
      <c r="G167" s="11">
        <v>2</v>
      </c>
      <c r="H167" s="11">
        <v>4</v>
      </c>
      <c r="I167" s="11">
        <v>3</v>
      </c>
      <c r="J167" s="11">
        <v>3</v>
      </c>
      <c r="K167" s="11">
        <v>3</v>
      </c>
      <c r="L167" s="11">
        <v>3</v>
      </c>
      <c r="M167" s="11">
        <v>2</v>
      </c>
      <c r="N167" s="11">
        <v>4</v>
      </c>
      <c r="O167" s="11">
        <v>2</v>
      </c>
      <c r="P167" s="11">
        <v>4</v>
      </c>
      <c r="Q167" s="11">
        <v>3</v>
      </c>
      <c r="R167" s="11">
        <v>2</v>
      </c>
      <c r="S167" s="11">
        <v>5</v>
      </c>
      <c r="T167" s="11">
        <v>5</v>
      </c>
      <c r="U167" s="10">
        <v>5</v>
      </c>
      <c r="V167" s="6">
        <f t="shared" ca="1" si="10"/>
        <v>22.080918975386957</v>
      </c>
      <c r="W167" s="6">
        <f t="shared" ca="1" si="10"/>
        <v>21.793024564211013</v>
      </c>
      <c r="X167" s="6">
        <f t="shared" ca="1" si="10"/>
        <v>21.749581666504401</v>
      </c>
      <c r="Y167" s="6">
        <f t="shared" ref="Y167:AA230" ca="1" si="13">SUMXMY2($B167:$U167,AJ$2:AJ$21)</f>
        <v>22.004825434202907</v>
      </c>
      <c r="Z167" s="6">
        <f t="shared" ca="1" si="13"/>
        <v>22.064166764032215</v>
      </c>
      <c r="AA167" s="6">
        <f t="shared" ca="1" si="13"/>
        <v>22.192327959119439</v>
      </c>
      <c r="AB167" s="6">
        <f t="shared" ca="1" si="11"/>
        <v>21.749581666504401</v>
      </c>
      <c r="AC167" s="6">
        <f t="shared" ca="1" si="12"/>
        <v>3</v>
      </c>
    </row>
    <row r="168" spans="1:29">
      <c r="A168" s="11">
        <v>167</v>
      </c>
      <c r="B168" s="12">
        <v>2</v>
      </c>
      <c r="C168" s="11">
        <v>3</v>
      </c>
      <c r="D168" s="11">
        <v>3</v>
      </c>
      <c r="E168" s="11">
        <v>2</v>
      </c>
      <c r="F168" s="11">
        <v>4</v>
      </c>
      <c r="G168" s="11">
        <v>3</v>
      </c>
      <c r="H168" s="11">
        <v>3</v>
      </c>
      <c r="I168" s="11">
        <v>1</v>
      </c>
      <c r="J168" s="11">
        <v>1</v>
      </c>
      <c r="K168" s="11">
        <v>3</v>
      </c>
      <c r="L168" s="11">
        <v>3</v>
      </c>
      <c r="M168" s="11">
        <v>2</v>
      </c>
      <c r="N168" s="11">
        <v>4</v>
      </c>
      <c r="O168" s="11">
        <v>3</v>
      </c>
      <c r="P168" s="11">
        <v>2</v>
      </c>
      <c r="Q168" s="11">
        <v>4</v>
      </c>
      <c r="R168" s="11">
        <v>3</v>
      </c>
      <c r="S168" s="11">
        <v>4</v>
      </c>
      <c r="T168" s="11">
        <v>2</v>
      </c>
      <c r="U168" s="10">
        <v>5</v>
      </c>
      <c r="V168" s="6">
        <f t="shared" ref="V168:AA231" ca="1" si="14">SUMXMY2($B168:$U168,AG$2:AG$21)</f>
        <v>20.734089863845998</v>
      </c>
      <c r="W168" s="6">
        <f t="shared" ca="1" si="14"/>
        <v>20.908188263996671</v>
      </c>
      <c r="X168" s="6">
        <f t="shared" ca="1" si="14"/>
        <v>20.721404648883976</v>
      </c>
      <c r="Y168" s="6">
        <f t="shared" ca="1" si="13"/>
        <v>20.852843869487792</v>
      </c>
      <c r="Z168" s="6">
        <f t="shared" ca="1" si="13"/>
        <v>20.949031670498385</v>
      </c>
      <c r="AA168" s="6">
        <f t="shared" ca="1" si="13"/>
        <v>21.538072114611872</v>
      </c>
      <c r="AB168" s="6">
        <f t="shared" ca="1" si="11"/>
        <v>20.721404648883976</v>
      </c>
      <c r="AC168" s="6">
        <f t="shared" ca="1" si="12"/>
        <v>3</v>
      </c>
    </row>
    <row r="169" spans="1:29">
      <c r="A169" s="11">
        <v>168</v>
      </c>
      <c r="B169" s="12">
        <v>4</v>
      </c>
      <c r="C169" s="11">
        <v>1</v>
      </c>
      <c r="D169" s="11">
        <v>1</v>
      </c>
      <c r="E169" s="11">
        <v>2</v>
      </c>
      <c r="F169" s="11">
        <v>2</v>
      </c>
      <c r="G169" s="11">
        <v>1</v>
      </c>
      <c r="H169" s="11">
        <v>3</v>
      </c>
      <c r="I169" s="11">
        <v>2</v>
      </c>
      <c r="J169" s="11">
        <v>2</v>
      </c>
      <c r="K169" s="11">
        <v>2</v>
      </c>
      <c r="L169" s="11">
        <v>2</v>
      </c>
      <c r="M169" s="11">
        <v>4</v>
      </c>
      <c r="N169" s="11">
        <v>2</v>
      </c>
      <c r="O169" s="11">
        <v>4</v>
      </c>
      <c r="P169" s="11">
        <v>3</v>
      </c>
      <c r="Q169" s="11">
        <v>2</v>
      </c>
      <c r="R169" s="11">
        <v>1</v>
      </c>
      <c r="S169" s="11">
        <v>4</v>
      </c>
      <c r="T169" s="11">
        <v>5</v>
      </c>
      <c r="U169" s="10">
        <v>2</v>
      </c>
      <c r="V169" s="6">
        <f t="shared" ca="1" si="14"/>
        <v>33.280063473661166</v>
      </c>
      <c r="W169" s="6">
        <f t="shared" ca="1" si="14"/>
        <v>33.143930973205144</v>
      </c>
      <c r="X169" s="6">
        <f t="shared" ca="1" si="14"/>
        <v>33.075185801826287</v>
      </c>
      <c r="Y169" s="6">
        <f t="shared" ca="1" si="13"/>
        <v>32.721930486085306</v>
      </c>
      <c r="Z169" s="6">
        <f t="shared" ca="1" si="13"/>
        <v>33.541945650476357</v>
      </c>
      <c r="AA169" s="6">
        <f t="shared" ca="1" si="13"/>
        <v>33.248733422535537</v>
      </c>
      <c r="AB169" s="6">
        <f t="shared" ca="1" si="11"/>
        <v>32.721930486085306</v>
      </c>
      <c r="AC169" s="6">
        <f t="shared" ca="1" si="12"/>
        <v>4</v>
      </c>
    </row>
    <row r="170" spans="1:29">
      <c r="A170" s="11">
        <v>169</v>
      </c>
      <c r="B170" s="12">
        <v>4</v>
      </c>
      <c r="C170" s="11">
        <v>2</v>
      </c>
      <c r="D170" s="11">
        <v>3</v>
      </c>
      <c r="E170" s="11">
        <v>2</v>
      </c>
      <c r="F170" s="11">
        <v>4</v>
      </c>
      <c r="G170" s="11">
        <v>2</v>
      </c>
      <c r="H170" s="11">
        <v>3</v>
      </c>
      <c r="I170" s="11">
        <v>2</v>
      </c>
      <c r="J170" s="11">
        <v>1</v>
      </c>
      <c r="K170" s="11">
        <v>1</v>
      </c>
      <c r="L170" s="11">
        <v>1</v>
      </c>
      <c r="M170" s="11">
        <v>2</v>
      </c>
      <c r="N170" s="11">
        <v>4</v>
      </c>
      <c r="O170" s="11">
        <v>2</v>
      </c>
      <c r="P170" s="11">
        <v>2</v>
      </c>
      <c r="Q170" s="11">
        <v>2</v>
      </c>
      <c r="R170" s="11">
        <v>2</v>
      </c>
      <c r="S170" s="11">
        <v>2</v>
      </c>
      <c r="T170" s="11">
        <v>2</v>
      </c>
      <c r="U170" s="10">
        <v>3</v>
      </c>
      <c r="V170" s="6">
        <f t="shared" ca="1" si="14"/>
        <v>25.769739043530585</v>
      </c>
      <c r="W170" s="6">
        <f t="shared" ca="1" si="14"/>
        <v>25.881182200147137</v>
      </c>
      <c r="X170" s="6">
        <f t="shared" ca="1" si="14"/>
        <v>25.779976006668598</v>
      </c>
      <c r="Y170" s="6">
        <f t="shared" ca="1" si="13"/>
        <v>25.810220074744329</v>
      </c>
      <c r="Z170" s="6">
        <f t="shared" ca="1" si="13"/>
        <v>26.355755165124791</v>
      </c>
      <c r="AA170" s="6">
        <f t="shared" ca="1" si="13"/>
        <v>26.504145083182934</v>
      </c>
      <c r="AB170" s="6">
        <f t="shared" ca="1" si="11"/>
        <v>25.769739043530585</v>
      </c>
      <c r="AC170" s="6">
        <f t="shared" ca="1" si="12"/>
        <v>1</v>
      </c>
    </row>
    <row r="171" spans="1:29">
      <c r="A171" s="11">
        <v>170</v>
      </c>
      <c r="B171" s="12">
        <v>3</v>
      </c>
      <c r="C171" s="11">
        <v>3</v>
      </c>
      <c r="D171" s="11">
        <v>1</v>
      </c>
      <c r="E171" s="11">
        <v>1</v>
      </c>
      <c r="F171" s="11">
        <v>3</v>
      </c>
      <c r="G171" s="11">
        <v>2</v>
      </c>
      <c r="H171" s="11">
        <v>3</v>
      </c>
      <c r="I171" s="11">
        <v>3</v>
      </c>
      <c r="J171" s="11">
        <v>2</v>
      </c>
      <c r="K171" s="11">
        <v>2</v>
      </c>
      <c r="L171" s="11">
        <v>2</v>
      </c>
      <c r="M171" s="11">
        <v>1</v>
      </c>
      <c r="N171" s="11">
        <v>3</v>
      </c>
      <c r="O171" s="11">
        <v>4</v>
      </c>
      <c r="P171" s="11">
        <v>4</v>
      </c>
      <c r="Q171" s="11">
        <v>5</v>
      </c>
      <c r="R171" s="11">
        <v>2</v>
      </c>
      <c r="S171" s="11">
        <v>3</v>
      </c>
      <c r="T171" s="11">
        <v>4</v>
      </c>
      <c r="U171" s="10">
        <v>2</v>
      </c>
      <c r="V171" s="6">
        <f t="shared" ca="1" si="14"/>
        <v>24.893970962523959</v>
      </c>
      <c r="W171" s="6">
        <f t="shared" ca="1" si="14"/>
        <v>25.32001063040326</v>
      </c>
      <c r="X171" s="6">
        <f t="shared" ca="1" si="14"/>
        <v>25.110428808494508</v>
      </c>
      <c r="Y171" s="6">
        <f t="shared" ca="1" si="13"/>
        <v>24.496513168584514</v>
      </c>
      <c r="Z171" s="6">
        <f t="shared" ca="1" si="13"/>
        <v>25.334564134155649</v>
      </c>
      <c r="AA171" s="6">
        <f t="shared" ca="1" si="13"/>
        <v>25.339300561794698</v>
      </c>
      <c r="AB171" s="6">
        <f t="shared" ca="1" si="11"/>
        <v>24.496513168584514</v>
      </c>
      <c r="AC171" s="6">
        <f t="shared" ca="1" si="12"/>
        <v>4</v>
      </c>
    </row>
    <row r="172" spans="1:29">
      <c r="A172" s="11">
        <v>171</v>
      </c>
      <c r="B172" s="12">
        <v>3</v>
      </c>
      <c r="C172" s="11">
        <v>4</v>
      </c>
      <c r="D172" s="11">
        <v>3</v>
      </c>
      <c r="E172" s="11">
        <v>2</v>
      </c>
      <c r="F172" s="11">
        <v>3</v>
      </c>
      <c r="G172" s="11">
        <v>3</v>
      </c>
      <c r="H172" s="11">
        <v>3</v>
      </c>
      <c r="I172" s="11">
        <v>4</v>
      </c>
      <c r="J172" s="11">
        <v>2</v>
      </c>
      <c r="K172" s="11">
        <v>4</v>
      </c>
      <c r="L172" s="11">
        <v>3</v>
      </c>
      <c r="M172" s="11">
        <v>2</v>
      </c>
      <c r="N172" s="11">
        <v>3</v>
      </c>
      <c r="O172" s="11">
        <v>3</v>
      </c>
      <c r="P172" s="11">
        <v>4</v>
      </c>
      <c r="Q172" s="11">
        <v>3</v>
      </c>
      <c r="R172" s="11">
        <v>2</v>
      </c>
      <c r="S172" s="11">
        <v>3</v>
      </c>
      <c r="T172" s="11">
        <v>4</v>
      </c>
      <c r="U172" s="10">
        <v>3</v>
      </c>
      <c r="V172" s="6">
        <f t="shared" ca="1" si="14"/>
        <v>8.8611227000799389</v>
      </c>
      <c r="W172" s="6">
        <f t="shared" ca="1" si="14"/>
        <v>8.993606921363881</v>
      </c>
      <c r="X172" s="6">
        <f t="shared" ca="1" si="14"/>
        <v>8.9146742460725505</v>
      </c>
      <c r="Y172" s="6">
        <f t="shared" ca="1" si="13"/>
        <v>8.8088656075177205</v>
      </c>
      <c r="Z172" s="6">
        <f t="shared" ca="1" si="13"/>
        <v>8.9770047708512131</v>
      </c>
      <c r="AA172" s="6">
        <f t="shared" ca="1" si="13"/>
        <v>8.9580894982814847</v>
      </c>
      <c r="AB172" s="6">
        <f t="shared" ca="1" si="11"/>
        <v>8.8088656075177205</v>
      </c>
      <c r="AC172" s="6">
        <f t="shared" ca="1" si="12"/>
        <v>4</v>
      </c>
    </row>
    <row r="173" spans="1:29">
      <c r="A173" s="11">
        <v>172</v>
      </c>
      <c r="B173" s="12">
        <v>3</v>
      </c>
      <c r="C173" s="11">
        <v>3</v>
      </c>
      <c r="D173" s="11">
        <v>2</v>
      </c>
      <c r="E173" s="11">
        <v>2</v>
      </c>
      <c r="F173" s="11">
        <v>5</v>
      </c>
      <c r="G173" s="11">
        <v>5</v>
      </c>
      <c r="H173" s="11">
        <v>5</v>
      </c>
      <c r="I173" s="11">
        <v>2</v>
      </c>
      <c r="J173" s="11">
        <v>2</v>
      </c>
      <c r="K173" s="11">
        <v>3</v>
      </c>
      <c r="L173" s="11">
        <v>2</v>
      </c>
      <c r="M173" s="11">
        <v>2</v>
      </c>
      <c r="N173" s="11">
        <v>2</v>
      </c>
      <c r="O173" s="11">
        <v>5</v>
      </c>
      <c r="P173" s="11">
        <v>4</v>
      </c>
      <c r="Q173" s="11">
        <v>3</v>
      </c>
      <c r="R173" s="11">
        <v>3</v>
      </c>
      <c r="S173" s="11">
        <v>4</v>
      </c>
      <c r="T173" s="11">
        <v>3</v>
      </c>
      <c r="U173" s="10">
        <v>5</v>
      </c>
      <c r="V173" s="6">
        <f t="shared" ca="1" si="14"/>
        <v>28.884911406321567</v>
      </c>
      <c r="W173" s="6">
        <f t="shared" ca="1" si="14"/>
        <v>28.415385746243814</v>
      </c>
      <c r="X173" s="6">
        <f t="shared" ca="1" si="14"/>
        <v>28.869244871820502</v>
      </c>
      <c r="Y173" s="6">
        <f t="shared" ca="1" si="13"/>
        <v>28.790820404280709</v>
      </c>
      <c r="Z173" s="6">
        <f t="shared" ca="1" si="13"/>
        <v>28.71144870317514</v>
      </c>
      <c r="AA173" s="6">
        <f t="shared" ca="1" si="13"/>
        <v>29.741104800234503</v>
      </c>
      <c r="AB173" s="6">
        <f t="shared" ca="1" si="11"/>
        <v>28.415385746243814</v>
      </c>
      <c r="AC173" s="6">
        <f t="shared" ca="1" si="12"/>
        <v>2</v>
      </c>
    </row>
    <row r="174" spans="1:29">
      <c r="A174" s="11">
        <v>173</v>
      </c>
      <c r="B174" s="12">
        <v>3</v>
      </c>
      <c r="C174" s="11">
        <v>3</v>
      </c>
      <c r="D174" s="11">
        <v>2</v>
      </c>
      <c r="E174" s="11">
        <v>2</v>
      </c>
      <c r="F174" s="11">
        <v>3</v>
      </c>
      <c r="G174" s="11">
        <v>3</v>
      </c>
      <c r="H174" s="11">
        <v>3</v>
      </c>
      <c r="I174" s="11">
        <v>2</v>
      </c>
      <c r="J174" s="11">
        <v>2</v>
      </c>
      <c r="K174" s="11">
        <v>3</v>
      </c>
      <c r="L174" s="11">
        <v>2</v>
      </c>
      <c r="M174" s="11">
        <v>3</v>
      </c>
      <c r="N174" s="11">
        <v>2</v>
      </c>
      <c r="O174" s="11">
        <v>3</v>
      </c>
      <c r="P174" s="11">
        <v>3</v>
      </c>
      <c r="Q174" s="11">
        <v>3</v>
      </c>
      <c r="R174" s="11">
        <v>2</v>
      </c>
      <c r="S174" s="11">
        <v>2</v>
      </c>
      <c r="T174" s="11">
        <v>3</v>
      </c>
      <c r="U174" s="10">
        <v>3</v>
      </c>
      <c r="V174" s="6">
        <f t="shared" ca="1" si="14"/>
        <v>7.6910702763833436</v>
      </c>
      <c r="W174" s="6">
        <f t="shared" ca="1" si="14"/>
        <v>8.0885557599656011</v>
      </c>
      <c r="X174" s="6">
        <f t="shared" ca="1" si="14"/>
        <v>8.0118105538140441</v>
      </c>
      <c r="Y174" s="6">
        <f t="shared" ca="1" si="13"/>
        <v>7.8209645369316663</v>
      </c>
      <c r="Z174" s="6">
        <f t="shared" ca="1" si="13"/>
        <v>8.3389554037346354</v>
      </c>
      <c r="AA174" s="6">
        <f t="shared" ca="1" si="13"/>
        <v>8.0569785872159407</v>
      </c>
      <c r="AB174" s="6">
        <f t="shared" ca="1" si="11"/>
        <v>7.6910702763833436</v>
      </c>
      <c r="AC174" s="6">
        <f t="shared" ca="1" si="12"/>
        <v>1</v>
      </c>
    </row>
    <row r="175" spans="1:29">
      <c r="A175" s="11">
        <v>174</v>
      </c>
      <c r="B175" s="12">
        <v>2</v>
      </c>
      <c r="C175" s="11">
        <v>4</v>
      </c>
      <c r="D175" s="11">
        <v>2</v>
      </c>
      <c r="E175" s="11">
        <v>1</v>
      </c>
      <c r="F175" s="11">
        <v>2</v>
      </c>
      <c r="G175" s="11">
        <v>3</v>
      </c>
      <c r="H175" s="11">
        <v>3</v>
      </c>
      <c r="I175" s="11">
        <v>2</v>
      </c>
      <c r="J175" s="11">
        <v>1</v>
      </c>
      <c r="K175" s="11">
        <v>1</v>
      </c>
      <c r="L175" s="11">
        <v>5</v>
      </c>
      <c r="M175" s="11">
        <v>4</v>
      </c>
      <c r="N175" s="11">
        <v>5</v>
      </c>
      <c r="O175" s="11">
        <v>5</v>
      </c>
      <c r="P175" s="11">
        <v>5</v>
      </c>
      <c r="Q175" s="11">
        <v>2</v>
      </c>
      <c r="R175" s="11">
        <v>4</v>
      </c>
      <c r="S175" s="11">
        <v>2</v>
      </c>
      <c r="T175" s="11">
        <v>5</v>
      </c>
      <c r="U175" s="10">
        <v>2</v>
      </c>
      <c r="V175" s="6">
        <f t="shared" ca="1" si="14"/>
        <v>42.295879482957609</v>
      </c>
      <c r="W175" s="6">
        <f t="shared" ca="1" si="14"/>
        <v>42.236397685613042</v>
      </c>
      <c r="X175" s="6">
        <f t="shared" ca="1" si="14"/>
        <v>42.022732029889831</v>
      </c>
      <c r="Y175" s="6">
        <f t="shared" ca="1" si="13"/>
        <v>41.849868108828346</v>
      </c>
      <c r="Z175" s="6">
        <f t="shared" ca="1" si="13"/>
        <v>42.049269816093847</v>
      </c>
      <c r="AA175" s="6">
        <f t="shared" ca="1" si="13"/>
        <v>42.350773826215686</v>
      </c>
      <c r="AB175" s="6">
        <f t="shared" ca="1" si="11"/>
        <v>41.849868108828346</v>
      </c>
      <c r="AC175" s="6">
        <f t="shared" ca="1" si="12"/>
        <v>4</v>
      </c>
    </row>
    <row r="176" spans="1:29">
      <c r="A176" s="11">
        <v>175</v>
      </c>
      <c r="B176" s="12">
        <v>1</v>
      </c>
      <c r="C176" s="11">
        <v>1</v>
      </c>
      <c r="D176" s="11">
        <v>1</v>
      </c>
      <c r="E176" s="11">
        <v>1</v>
      </c>
      <c r="F176" s="11">
        <v>5</v>
      </c>
      <c r="G176" s="11">
        <v>1</v>
      </c>
      <c r="H176" s="11">
        <v>1</v>
      </c>
      <c r="I176" s="11">
        <v>4</v>
      </c>
      <c r="J176" s="11">
        <v>1</v>
      </c>
      <c r="K176" s="11">
        <v>5</v>
      </c>
      <c r="L176" s="11">
        <v>1</v>
      </c>
      <c r="M176" s="11">
        <v>1</v>
      </c>
      <c r="N176" s="11">
        <v>4</v>
      </c>
      <c r="O176" s="11">
        <v>2</v>
      </c>
      <c r="P176" s="11">
        <v>5</v>
      </c>
      <c r="Q176" s="11">
        <v>4</v>
      </c>
      <c r="R176" s="11">
        <v>3</v>
      </c>
      <c r="S176" s="11">
        <v>3</v>
      </c>
      <c r="T176" s="11">
        <v>3</v>
      </c>
      <c r="U176" s="10">
        <v>2</v>
      </c>
      <c r="V176" s="6">
        <f t="shared" ca="1" si="14"/>
        <v>52.851666643086006</v>
      </c>
      <c r="W176" s="6">
        <f t="shared" ca="1" si="14"/>
        <v>52.914909705869754</v>
      </c>
      <c r="X176" s="6">
        <f t="shared" ca="1" si="14"/>
        <v>53.489917344512335</v>
      </c>
      <c r="Y176" s="6">
        <f t="shared" ca="1" si="13"/>
        <v>52.602357657808533</v>
      </c>
      <c r="Z176" s="6">
        <f t="shared" ca="1" si="13"/>
        <v>53.162589212137775</v>
      </c>
      <c r="AA176" s="6">
        <f t="shared" ca="1" si="13"/>
        <v>52.872394291239189</v>
      </c>
      <c r="AB176" s="6">
        <f t="shared" ca="1" si="11"/>
        <v>52.602357657808533</v>
      </c>
      <c r="AC176" s="6">
        <f t="shared" ca="1" si="12"/>
        <v>4</v>
      </c>
    </row>
    <row r="177" spans="1:29">
      <c r="A177" s="11">
        <v>176</v>
      </c>
      <c r="B177" s="12">
        <v>5</v>
      </c>
      <c r="C177" s="11">
        <v>1</v>
      </c>
      <c r="D177" s="11">
        <v>2</v>
      </c>
      <c r="E177" s="11">
        <v>3</v>
      </c>
      <c r="F177" s="11">
        <v>2</v>
      </c>
      <c r="G177" s="11">
        <v>3</v>
      </c>
      <c r="H177" s="11">
        <v>1</v>
      </c>
      <c r="I177" s="11">
        <v>3</v>
      </c>
      <c r="J177" s="11">
        <v>4</v>
      </c>
      <c r="K177" s="11">
        <v>2</v>
      </c>
      <c r="L177" s="11">
        <v>1</v>
      </c>
      <c r="M177" s="11">
        <v>4</v>
      </c>
      <c r="N177" s="11">
        <v>3</v>
      </c>
      <c r="O177" s="11">
        <v>2</v>
      </c>
      <c r="P177" s="11">
        <v>1</v>
      </c>
      <c r="Q177" s="11">
        <v>3</v>
      </c>
      <c r="R177" s="11">
        <v>2</v>
      </c>
      <c r="S177" s="11">
        <v>3</v>
      </c>
      <c r="T177" s="11">
        <v>3</v>
      </c>
      <c r="U177" s="10">
        <v>2</v>
      </c>
      <c r="V177" s="6">
        <f t="shared" ca="1" si="14"/>
        <v>27.838545317058145</v>
      </c>
      <c r="W177" s="6">
        <f t="shared" ca="1" si="14"/>
        <v>28.336451114468897</v>
      </c>
      <c r="X177" s="6">
        <f t="shared" ca="1" si="14"/>
        <v>27.912422058339967</v>
      </c>
      <c r="Y177" s="6">
        <f t="shared" ca="1" si="13"/>
        <v>27.927263317908682</v>
      </c>
      <c r="Z177" s="6">
        <f t="shared" ca="1" si="13"/>
        <v>28.680443588392535</v>
      </c>
      <c r="AA177" s="6">
        <f t="shared" ca="1" si="13"/>
        <v>28.171524534829796</v>
      </c>
      <c r="AB177" s="6">
        <f t="shared" ca="1" si="11"/>
        <v>27.838545317058145</v>
      </c>
      <c r="AC177" s="6">
        <f t="shared" ca="1" si="12"/>
        <v>1</v>
      </c>
    </row>
    <row r="178" spans="1:29">
      <c r="A178" s="11">
        <v>177</v>
      </c>
      <c r="B178" s="12">
        <v>1</v>
      </c>
      <c r="C178" s="11">
        <v>1</v>
      </c>
      <c r="D178" s="11">
        <v>1</v>
      </c>
      <c r="E178" s="11">
        <v>1</v>
      </c>
      <c r="F178" s="11">
        <v>1</v>
      </c>
      <c r="G178" s="11">
        <v>5</v>
      </c>
      <c r="H178" s="11">
        <v>1</v>
      </c>
      <c r="I178" s="11">
        <v>1</v>
      </c>
      <c r="J178" s="11">
        <v>1</v>
      </c>
      <c r="K178" s="11">
        <v>1</v>
      </c>
      <c r="L178" s="11">
        <v>1</v>
      </c>
      <c r="M178" s="11">
        <v>1</v>
      </c>
      <c r="N178" s="11">
        <v>2</v>
      </c>
      <c r="O178" s="11">
        <v>4</v>
      </c>
      <c r="P178" s="11">
        <v>5</v>
      </c>
      <c r="Q178" s="11">
        <v>1</v>
      </c>
      <c r="R178" s="11">
        <v>1</v>
      </c>
      <c r="S178" s="11">
        <v>4</v>
      </c>
      <c r="T178" s="11">
        <v>4</v>
      </c>
      <c r="U178" s="10">
        <v>4</v>
      </c>
      <c r="V178" s="6">
        <f t="shared" ca="1" si="14"/>
        <v>64.942532844943628</v>
      </c>
      <c r="W178" s="6">
        <f t="shared" ca="1" si="14"/>
        <v>64.454367514212549</v>
      </c>
      <c r="X178" s="6">
        <f t="shared" ca="1" si="14"/>
        <v>64.463601503822389</v>
      </c>
      <c r="Y178" s="6">
        <f t="shared" ca="1" si="13"/>
        <v>64.551255085601426</v>
      </c>
      <c r="Z178" s="6">
        <f t="shared" ca="1" si="13"/>
        <v>66.015875965622755</v>
      </c>
      <c r="AA178" s="6">
        <f t="shared" ca="1" si="13"/>
        <v>65.583522493823168</v>
      </c>
      <c r="AB178" s="6">
        <f t="shared" ca="1" si="11"/>
        <v>64.454367514212549</v>
      </c>
      <c r="AC178" s="6">
        <f t="shared" ca="1" si="12"/>
        <v>2</v>
      </c>
    </row>
    <row r="179" spans="1:29">
      <c r="A179" s="11">
        <v>178</v>
      </c>
      <c r="B179" s="12">
        <v>3</v>
      </c>
      <c r="C179" s="11">
        <v>2</v>
      </c>
      <c r="D179" s="11">
        <v>2</v>
      </c>
      <c r="E179" s="11">
        <v>3</v>
      </c>
      <c r="F179" s="11">
        <v>4</v>
      </c>
      <c r="G179" s="11">
        <v>3</v>
      </c>
      <c r="H179" s="11">
        <v>3</v>
      </c>
      <c r="I179" s="11">
        <v>3</v>
      </c>
      <c r="J179" s="11">
        <v>2</v>
      </c>
      <c r="K179" s="11">
        <v>3</v>
      </c>
      <c r="L179" s="11">
        <v>3</v>
      </c>
      <c r="M179" s="11">
        <v>3</v>
      </c>
      <c r="N179" s="11">
        <v>3</v>
      </c>
      <c r="O179" s="11">
        <v>3</v>
      </c>
      <c r="P179" s="11">
        <v>2</v>
      </c>
      <c r="Q179" s="11">
        <v>2</v>
      </c>
      <c r="R179" s="11">
        <v>4</v>
      </c>
      <c r="S179" s="11">
        <v>4</v>
      </c>
      <c r="T179" s="11">
        <v>3</v>
      </c>
      <c r="U179" s="10">
        <v>2</v>
      </c>
      <c r="V179" s="6">
        <f t="shared" ca="1" si="14"/>
        <v>9.3272707904822649</v>
      </c>
      <c r="W179" s="6">
        <f t="shared" ca="1" si="14"/>
        <v>8.7810488034434382</v>
      </c>
      <c r="X179" s="6">
        <f t="shared" ca="1" si="14"/>
        <v>9.0596808940650888</v>
      </c>
      <c r="Y179" s="6">
        <f t="shared" ca="1" si="13"/>
        <v>8.8789027736011175</v>
      </c>
      <c r="Z179" s="6">
        <f t="shared" ca="1" si="13"/>
        <v>8.9544500278468995</v>
      </c>
      <c r="AA179" s="6">
        <f t="shared" ca="1" si="13"/>
        <v>9.2619859272211187</v>
      </c>
      <c r="AB179" s="6">
        <f t="shared" ca="1" si="11"/>
        <v>8.7810488034434382</v>
      </c>
      <c r="AC179" s="6">
        <f t="shared" ca="1" si="12"/>
        <v>2</v>
      </c>
    </row>
    <row r="180" spans="1:29">
      <c r="A180" s="11">
        <v>179</v>
      </c>
      <c r="B180" s="12">
        <v>5</v>
      </c>
      <c r="C180" s="11">
        <v>1</v>
      </c>
      <c r="D180" s="11">
        <v>1</v>
      </c>
      <c r="E180" s="11">
        <v>1</v>
      </c>
      <c r="F180" s="11">
        <v>2</v>
      </c>
      <c r="G180" s="11">
        <v>3</v>
      </c>
      <c r="H180" s="11">
        <v>4</v>
      </c>
      <c r="I180" s="11">
        <v>2</v>
      </c>
      <c r="J180" s="11">
        <v>2</v>
      </c>
      <c r="K180" s="11">
        <v>4</v>
      </c>
      <c r="L180" s="11">
        <v>3</v>
      </c>
      <c r="M180" s="11">
        <v>2</v>
      </c>
      <c r="N180" s="11">
        <v>4</v>
      </c>
      <c r="O180" s="11">
        <v>2</v>
      </c>
      <c r="P180" s="11">
        <v>4</v>
      </c>
      <c r="Q180" s="11">
        <v>1</v>
      </c>
      <c r="R180" s="11">
        <v>5</v>
      </c>
      <c r="S180" s="11">
        <v>1</v>
      </c>
      <c r="T180" s="11">
        <v>5</v>
      </c>
      <c r="U180" s="10">
        <v>3</v>
      </c>
      <c r="V180" s="6">
        <f t="shared" ca="1" si="14"/>
        <v>41.296060942384841</v>
      </c>
      <c r="W180" s="6">
        <f t="shared" ca="1" si="14"/>
        <v>40.911501797013479</v>
      </c>
      <c r="X180" s="6">
        <f t="shared" ca="1" si="14"/>
        <v>40.940472172025572</v>
      </c>
      <c r="Y180" s="6">
        <f t="shared" ca="1" si="13"/>
        <v>41.030367056076642</v>
      </c>
      <c r="Z180" s="6">
        <f t="shared" ca="1" si="13"/>
        <v>40.839234473779655</v>
      </c>
      <c r="AA180" s="6">
        <f t="shared" ca="1" si="13"/>
        <v>41.386934667387102</v>
      </c>
      <c r="AB180" s="6">
        <f t="shared" ca="1" si="11"/>
        <v>40.839234473779655</v>
      </c>
      <c r="AC180" s="6">
        <f t="shared" ca="1" si="12"/>
        <v>5</v>
      </c>
    </row>
    <row r="181" spans="1:29">
      <c r="A181" s="11">
        <v>180</v>
      </c>
      <c r="B181" s="12">
        <v>3</v>
      </c>
      <c r="C181" s="11">
        <v>2</v>
      </c>
      <c r="D181" s="11">
        <v>2</v>
      </c>
      <c r="E181" s="11">
        <v>2</v>
      </c>
      <c r="F181" s="11">
        <v>3</v>
      </c>
      <c r="G181" s="11">
        <v>4</v>
      </c>
      <c r="H181" s="11">
        <v>3</v>
      </c>
      <c r="I181" s="11">
        <v>2</v>
      </c>
      <c r="J181" s="11">
        <v>2</v>
      </c>
      <c r="K181" s="11">
        <v>3</v>
      </c>
      <c r="L181" s="11">
        <v>2</v>
      </c>
      <c r="M181" s="11">
        <v>2</v>
      </c>
      <c r="N181" s="11">
        <v>3</v>
      </c>
      <c r="O181" s="11">
        <v>4</v>
      </c>
      <c r="P181" s="11">
        <v>4</v>
      </c>
      <c r="Q181" s="11">
        <v>3</v>
      </c>
      <c r="R181" s="11">
        <v>3</v>
      </c>
      <c r="S181" s="11">
        <v>2</v>
      </c>
      <c r="T181" s="11">
        <v>2</v>
      </c>
      <c r="U181" s="10">
        <v>4</v>
      </c>
      <c r="V181" s="6">
        <f t="shared" ca="1" si="14"/>
        <v>12.879154639884259</v>
      </c>
      <c r="W181" s="6">
        <f t="shared" ca="1" si="14"/>
        <v>12.790340082933355</v>
      </c>
      <c r="X181" s="6">
        <f t="shared" ca="1" si="14"/>
        <v>12.971589036754246</v>
      </c>
      <c r="Y181" s="6">
        <f t="shared" ca="1" si="13"/>
        <v>12.895903244844446</v>
      </c>
      <c r="Z181" s="6">
        <f t="shared" ca="1" si="13"/>
        <v>13.042964561195037</v>
      </c>
      <c r="AA181" s="6">
        <f t="shared" ca="1" si="13"/>
        <v>13.301977036871902</v>
      </c>
      <c r="AB181" s="6">
        <f t="shared" ca="1" si="11"/>
        <v>12.790340082933355</v>
      </c>
      <c r="AC181" s="6">
        <f t="shared" ca="1" si="12"/>
        <v>2</v>
      </c>
    </row>
    <row r="182" spans="1:29">
      <c r="A182" s="11">
        <v>181</v>
      </c>
      <c r="B182" s="12">
        <v>2</v>
      </c>
      <c r="C182" s="11">
        <v>3</v>
      </c>
      <c r="D182" s="11">
        <v>1</v>
      </c>
      <c r="E182" s="11">
        <v>3</v>
      </c>
      <c r="F182" s="11">
        <v>5</v>
      </c>
      <c r="G182" s="11">
        <v>4</v>
      </c>
      <c r="H182" s="11">
        <v>3</v>
      </c>
      <c r="I182" s="11">
        <v>2</v>
      </c>
      <c r="J182" s="11">
        <v>1</v>
      </c>
      <c r="K182" s="11">
        <v>3</v>
      </c>
      <c r="L182" s="11">
        <v>2</v>
      </c>
      <c r="M182" s="11">
        <v>2</v>
      </c>
      <c r="N182" s="11">
        <v>2</v>
      </c>
      <c r="O182" s="11">
        <v>4</v>
      </c>
      <c r="P182" s="11">
        <v>4</v>
      </c>
      <c r="Q182" s="11">
        <v>2</v>
      </c>
      <c r="R182" s="11">
        <v>1</v>
      </c>
      <c r="S182" s="11">
        <v>3</v>
      </c>
      <c r="T182" s="11">
        <v>2</v>
      </c>
      <c r="U182" s="10">
        <v>4</v>
      </c>
      <c r="V182" s="6">
        <f t="shared" ca="1" si="14"/>
        <v>26.757081035695688</v>
      </c>
      <c r="W182" s="6">
        <f t="shared" ca="1" si="14"/>
        <v>26.730317407401134</v>
      </c>
      <c r="X182" s="6">
        <f t="shared" ca="1" si="14"/>
        <v>27.018037364251644</v>
      </c>
      <c r="Y182" s="6">
        <f t="shared" ca="1" si="13"/>
        <v>26.799371558355801</v>
      </c>
      <c r="Z182" s="6">
        <f t="shared" ca="1" si="13"/>
        <v>27.173056760308334</v>
      </c>
      <c r="AA182" s="6">
        <f t="shared" ca="1" si="13"/>
        <v>27.351163333750712</v>
      </c>
      <c r="AB182" s="6">
        <f t="shared" ca="1" si="11"/>
        <v>26.730317407401134</v>
      </c>
      <c r="AC182" s="6">
        <f t="shared" ca="1" si="12"/>
        <v>2</v>
      </c>
    </row>
    <row r="183" spans="1:29">
      <c r="A183" s="11">
        <v>182</v>
      </c>
      <c r="B183" s="12">
        <v>3</v>
      </c>
      <c r="C183" s="11">
        <v>2</v>
      </c>
      <c r="D183" s="11">
        <v>2</v>
      </c>
      <c r="E183" s="11">
        <v>3</v>
      </c>
      <c r="F183" s="11">
        <v>1</v>
      </c>
      <c r="G183" s="11">
        <v>3</v>
      </c>
      <c r="H183" s="11">
        <v>1</v>
      </c>
      <c r="I183" s="11">
        <v>4</v>
      </c>
      <c r="J183" s="11">
        <v>1</v>
      </c>
      <c r="K183" s="11">
        <v>4</v>
      </c>
      <c r="L183" s="11">
        <v>1</v>
      </c>
      <c r="M183" s="11">
        <v>1</v>
      </c>
      <c r="N183" s="11">
        <v>2</v>
      </c>
      <c r="O183" s="11">
        <v>2</v>
      </c>
      <c r="P183" s="11">
        <v>4</v>
      </c>
      <c r="Q183" s="11">
        <v>1</v>
      </c>
      <c r="R183" s="11">
        <v>2</v>
      </c>
      <c r="S183" s="11">
        <v>5</v>
      </c>
      <c r="T183" s="11">
        <v>2</v>
      </c>
      <c r="U183" s="10">
        <v>5</v>
      </c>
      <c r="V183" s="6">
        <f t="shared" ca="1" si="14"/>
        <v>40.969519074704166</v>
      </c>
      <c r="W183" s="6">
        <f t="shared" ca="1" si="14"/>
        <v>40.202376322828719</v>
      </c>
      <c r="X183" s="6">
        <f t="shared" ca="1" si="14"/>
        <v>40.401075055721449</v>
      </c>
      <c r="Y183" s="6">
        <f t="shared" ca="1" si="13"/>
        <v>40.766286886634866</v>
      </c>
      <c r="Z183" s="6">
        <f t="shared" ca="1" si="13"/>
        <v>41.199236864511818</v>
      </c>
      <c r="AA183" s="6">
        <f t="shared" ca="1" si="13"/>
        <v>41.099808461816608</v>
      </c>
      <c r="AB183" s="6">
        <f t="shared" ca="1" si="11"/>
        <v>40.202376322828719</v>
      </c>
      <c r="AC183" s="6">
        <f t="shared" ca="1" si="12"/>
        <v>2</v>
      </c>
    </row>
    <row r="184" spans="1:29">
      <c r="A184" s="11">
        <v>183</v>
      </c>
      <c r="B184" s="12">
        <v>3</v>
      </c>
      <c r="C184" s="11">
        <v>3</v>
      </c>
      <c r="D184" s="11">
        <v>1</v>
      </c>
      <c r="E184" s="11">
        <v>2</v>
      </c>
      <c r="F184" s="11">
        <v>2</v>
      </c>
      <c r="G184" s="11">
        <v>3</v>
      </c>
      <c r="H184" s="11">
        <v>3</v>
      </c>
      <c r="I184" s="11">
        <v>3</v>
      </c>
      <c r="J184" s="11">
        <v>1</v>
      </c>
      <c r="K184" s="11">
        <v>3</v>
      </c>
      <c r="L184" s="11">
        <v>1</v>
      </c>
      <c r="M184" s="11">
        <v>1</v>
      </c>
      <c r="N184" s="11">
        <v>3</v>
      </c>
      <c r="O184" s="11">
        <v>4</v>
      </c>
      <c r="P184" s="11">
        <v>3</v>
      </c>
      <c r="Q184" s="11">
        <v>2</v>
      </c>
      <c r="R184" s="11">
        <v>2</v>
      </c>
      <c r="S184" s="11">
        <v>2</v>
      </c>
      <c r="T184" s="11">
        <v>1</v>
      </c>
      <c r="U184" s="10">
        <v>1</v>
      </c>
      <c r="V184" s="6">
        <f t="shared" ca="1" si="14"/>
        <v>30.091236071669996</v>
      </c>
      <c r="W184" s="6">
        <f t="shared" ca="1" si="14"/>
        <v>29.913030503036588</v>
      </c>
      <c r="X184" s="6">
        <f t="shared" ca="1" si="14"/>
        <v>30.038807791453834</v>
      </c>
      <c r="Y184" s="6">
        <f t="shared" ca="1" si="13"/>
        <v>29.732102030445649</v>
      </c>
      <c r="Z184" s="6">
        <f t="shared" ca="1" si="13"/>
        <v>30.247745209851775</v>
      </c>
      <c r="AA184" s="6">
        <f t="shared" ca="1" si="13"/>
        <v>29.987059958040131</v>
      </c>
      <c r="AB184" s="6">
        <f t="shared" ca="1" si="11"/>
        <v>29.732102030445649</v>
      </c>
      <c r="AC184" s="6">
        <f t="shared" ca="1" si="12"/>
        <v>4</v>
      </c>
    </row>
    <row r="185" spans="1:29">
      <c r="A185" s="11">
        <v>184</v>
      </c>
      <c r="B185" s="12">
        <v>2</v>
      </c>
      <c r="C185" s="11">
        <v>3</v>
      </c>
      <c r="D185" s="11">
        <v>4</v>
      </c>
      <c r="E185" s="11">
        <v>3</v>
      </c>
      <c r="F185" s="11">
        <v>2</v>
      </c>
      <c r="G185" s="11">
        <v>3</v>
      </c>
      <c r="H185" s="11">
        <v>3</v>
      </c>
      <c r="I185" s="11">
        <v>2</v>
      </c>
      <c r="J185" s="11">
        <v>2</v>
      </c>
      <c r="K185" s="11">
        <v>2</v>
      </c>
      <c r="L185" s="11">
        <v>4</v>
      </c>
      <c r="M185" s="11">
        <v>3</v>
      </c>
      <c r="N185" s="11">
        <v>2</v>
      </c>
      <c r="O185" s="11">
        <v>2</v>
      </c>
      <c r="P185" s="11">
        <v>2</v>
      </c>
      <c r="Q185" s="11">
        <v>3</v>
      </c>
      <c r="R185" s="11">
        <v>2</v>
      </c>
      <c r="S185" s="11">
        <v>3</v>
      </c>
      <c r="T185" s="11">
        <v>2</v>
      </c>
      <c r="U185" s="10">
        <v>4</v>
      </c>
      <c r="V185" s="6">
        <f t="shared" ca="1" si="14"/>
        <v>12.823832362167588</v>
      </c>
      <c r="W185" s="6">
        <f t="shared" ca="1" si="14"/>
        <v>12.901860817833647</v>
      </c>
      <c r="X185" s="6">
        <f t="shared" ca="1" si="14"/>
        <v>12.766500850370306</v>
      </c>
      <c r="Y185" s="6">
        <f t="shared" ca="1" si="13"/>
        <v>12.909127830226737</v>
      </c>
      <c r="Z185" s="6">
        <f t="shared" ca="1" si="13"/>
        <v>13.30904532855887</v>
      </c>
      <c r="AA185" s="6">
        <f t="shared" ca="1" si="13"/>
        <v>12.851446287154625</v>
      </c>
      <c r="AB185" s="6">
        <f t="shared" ca="1" si="11"/>
        <v>12.766500850370306</v>
      </c>
      <c r="AC185" s="6">
        <f t="shared" ca="1" si="12"/>
        <v>3</v>
      </c>
    </row>
    <row r="186" spans="1:29">
      <c r="A186" s="11">
        <v>185</v>
      </c>
      <c r="B186" s="12">
        <v>5</v>
      </c>
      <c r="C186" s="11">
        <v>2</v>
      </c>
      <c r="D186" s="11">
        <v>4</v>
      </c>
      <c r="E186" s="11">
        <v>4</v>
      </c>
      <c r="F186" s="11">
        <v>4</v>
      </c>
      <c r="G186" s="11">
        <v>5</v>
      </c>
      <c r="H186" s="11">
        <v>3</v>
      </c>
      <c r="I186" s="11">
        <v>4</v>
      </c>
      <c r="J186" s="11">
        <v>5</v>
      </c>
      <c r="K186" s="11">
        <v>4</v>
      </c>
      <c r="L186" s="11">
        <v>1</v>
      </c>
      <c r="M186" s="11">
        <v>4</v>
      </c>
      <c r="N186" s="11">
        <v>4</v>
      </c>
      <c r="O186" s="11">
        <v>1</v>
      </c>
      <c r="P186" s="11">
        <v>5</v>
      </c>
      <c r="Q186" s="11">
        <v>1</v>
      </c>
      <c r="R186" s="11">
        <v>5</v>
      </c>
      <c r="S186" s="11">
        <v>4</v>
      </c>
      <c r="T186" s="11">
        <v>2</v>
      </c>
      <c r="U186" s="10">
        <v>4</v>
      </c>
      <c r="V186" s="6">
        <f t="shared" ca="1" si="14"/>
        <v>43.080994768379028</v>
      </c>
      <c r="W186" s="6">
        <f t="shared" ca="1" si="14"/>
        <v>42.247508822521169</v>
      </c>
      <c r="X186" s="6">
        <f t="shared" ca="1" si="14"/>
        <v>42.904931908308896</v>
      </c>
      <c r="Y186" s="6">
        <f t="shared" ca="1" si="13"/>
        <v>43.557460853282016</v>
      </c>
      <c r="Z186" s="6">
        <f t="shared" ca="1" si="13"/>
        <v>42.445105868987731</v>
      </c>
      <c r="AA186" s="6">
        <f t="shared" ca="1" si="13"/>
        <v>43.105788176584589</v>
      </c>
      <c r="AB186" s="6">
        <f t="shared" ca="1" si="11"/>
        <v>42.247508822521169</v>
      </c>
      <c r="AC186" s="6">
        <f t="shared" ca="1" si="12"/>
        <v>2</v>
      </c>
    </row>
    <row r="187" spans="1:29">
      <c r="A187" s="11">
        <v>186</v>
      </c>
      <c r="B187" s="12">
        <v>2</v>
      </c>
      <c r="C187" s="11">
        <v>2</v>
      </c>
      <c r="D187" s="11">
        <v>2</v>
      </c>
      <c r="E187" s="11">
        <v>4</v>
      </c>
      <c r="F187" s="11">
        <v>4</v>
      </c>
      <c r="G187" s="11">
        <v>3</v>
      </c>
      <c r="H187" s="11">
        <v>4</v>
      </c>
      <c r="I187" s="11">
        <v>3</v>
      </c>
      <c r="J187" s="11">
        <v>2</v>
      </c>
      <c r="K187" s="11">
        <v>3</v>
      </c>
      <c r="L187" s="11">
        <v>2</v>
      </c>
      <c r="M187" s="11">
        <v>1</v>
      </c>
      <c r="N187" s="11">
        <v>2</v>
      </c>
      <c r="O187" s="11">
        <v>4</v>
      </c>
      <c r="P187" s="11">
        <v>4</v>
      </c>
      <c r="Q187" s="11">
        <v>5</v>
      </c>
      <c r="R187" s="11">
        <v>3</v>
      </c>
      <c r="S187" s="11">
        <v>2</v>
      </c>
      <c r="T187" s="11">
        <v>2</v>
      </c>
      <c r="U187" s="10">
        <v>3</v>
      </c>
      <c r="V187" s="6">
        <f t="shared" ca="1" si="14"/>
        <v>20.955065065093464</v>
      </c>
      <c r="W187" s="6">
        <f t="shared" ca="1" si="14"/>
        <v>20.840831124631425</v>
      </c>
      <c r="X187" s="6">
        <f t="shared" ca="1" si="14"/>
        <v>21.250168976323817</v>
      </c>
      <c r="Y187" s="6">
        <f t="shared" ca="1" si="13"/>
        <v>20.775842068558902</v>
      </c>
      <c r="Z187" s="6">
        <f t="shared" ca="1" si="13"/>
        <v>21.082854237795903</v>
      </c>
      <c r="AA187" s="6">
        <f t="shared" ca="1" si="13"/>
        <v>21.121403900943527</v>
      </c>
      <c r="AB187" s="6">
        <f t="shared" ca="1" si="11"/>
        <v>20.775842068558902</v>
      </c>
      <c r="AC187" s="6">
        <f t="shared" ca="1" si="12"/>
        <v>4</v>
      </c>
    </row>
    <row r="188" spans="1:29">
      <c r="A188" s="11">
        <v>187</v>
      </c>
      <c r="B188" s="12">
        <v>4</v>
      </c>
      <c r="C188" s="11">
        <v>2</v>
      </c>
      <c r="D188" s="11">
        <v>2</v>
      </c>
      <c r="E188" s="11">
        <v>4</v>
      </c>
      <c r="F188" s="11">
        <v>4</v>
      </c>
      <c r="G188" s="11">
        <v>2</v>
      </c>
      <c r="H188" s="11">
        <v>3</v>
      </c>
      <c r="I188" s="11">
        <v>1</v>
      </c>
      <c r="J188" s="11">
        <v>1</v>
      </c>
      <c r="K188" s="11">
        <v>2</v>
      </c>
      <c r="L188" s="11">
        <v>2</v>
      </c>
      <c r="M188" s="11">
        <v>4</v>
      </c>
      <c r="N188" s="11">
        <v>2</v>
      </c>
      <c r="O188" s="11">
        <v>4</v>
      </c>
      <c r="P188" s="11">
        <v>4</v>
      </c>
      <c r="Q188" s="11">
        <v>1</v>
      </c>
      <c r="R188" s="11">
        <v>2</v>
      </c>
      <c r="S188" s="11">
        <v>1</v>
      </c>
      <c r="T188" s="11">
        <v>3</v>
      </c>
      <c r="U188" s="10">
        <v>1</v>
      </c>
      <c r="V188" s="6">
        <f t="shared" ca="1" si="14"/>
        <v>33.248492050425966</v>
      </c>
      <c r="W188" s="6">
        <f t="shared" ca="1" si="14"/>
        <v>33.081627637370303</v>
      </c>
      <c r="X188" s="6">
        <f t="shared" ca="1" si="14"/>
        <v>33.235280291891655</v>
      </c>
      <c r="Y188" s="6">
        <f t="shared" ca="1" si="13"/>
        <v>33.059608260352753</v>
      </c>
      <c r="Z188" s="6">
        <f t="shared" ca="1" si="13"/>
        <v>33.371410694582089</v>
      </c>
      <c r="AA188" s="6">
        <f t="shared" ca="1" si="13"/>
        <v>33.166547715859188</v>
      </c>
      <c r="AB188" s="6">
        <f t="shared" ca="1" si="11"/>
        <v>33.059608260352753</v>
      </c>
      <c r="AC188" s="6">
        <f t="shared" ca="1" si="12"/>
        <v>4</v>
      </c>
    </row>
    <row r="189" spans="1:29">
      <c r="A189" s="11">
        <v>188</v>
      </c>
      <c r="B189" s="12">
        <v>2</v>
      </c>
      <c r="C189" s="11">
        <v>2</v>
      </c>
      <c r="D189" s="11">
        <v>2</v>
      </c>
      <c r="E189" s="11">
        <v>1</v>
      </c>
      <c r="F189" s="11">
        <v>2</v>
      </c>
      <c r="G189" s="11">
        <v>2</v>
      </c>
      <c r="H189" s="11">
        <v>1</v>
      </c>
      <c r="I189" s="11">
        <v>2</v>
      </c>
      <c r="J189" s="11">
        <v>3</v>
      </c>
      <c r="K189" s="11">
        <v>2</v>
      </c>
      <c r="L189" s="11">
        <v>1</v>
      </c>
      <c r="M189" s="11">
        <v>2</v>
      </c>
      <c r="N189" s="11">
        <v>3</v>
      </c>
      <c r="O189" s="11">
        <v>1</v>
      </c>
      <c r="P189" s="11">
        <v>3</v>
      </c>
      <c r="Q189" s="11">
        <v>2</v>
      </c>
      <c r="R189" s="11">
        <v>1</v>
      </c>
      <c r="S189" s="11">
        <v>3</v>
      </c>
      <c r="T189" s="11">
        <v>2</v>
      </c>
      <c r="U189" s="10">
        <v>1</v>
      </c>
      <c r="V189" s="6">
        <f t="shared" ca="1" si="14"/>
        <v>33.867788401691378</v>
      </c>
      <c r="W189" s="6">
        <f t="shared" ca="1" si="14"/>
        <v>34.201157803166211</v>
      </c>
      <c r="X189" s="6">
        <f t="shared" ca="1" si="14"/>
        <v>34.093066241984481</v>
      </c>
      <c r="Y189" s="6">
        <f t="shared" ca="1" si="13"/>
        <v>33.872275813973893</v>
      </c>
      <c r="Z189" s="6">
        <f t="shared" ca="1" si="13"/>
        <v>34.8110898916525</v>
      </c>
      <c r="AA189" s="6">
        <f t="shared" ca="1" si="13"/>
        <v>33.663039838225238</v>
      </c>
      <c r="AB189" s="6">
        <f t="shared" ca="1" si="11"/>
        <v>33.663039838225238</v>
      </c>
      <c r="AC189" s="6">
        <f t="shared" ca="1" si="12"/>
        <v>6</v>
      </c>
    </row>
    <row r="190" spans="1:29">
      <c r="A190" s="11">
        <v>189</v>
      </c>
      <c r="B190" s="12">
        <v>2</v>
      </c>
      <c r="C190" s="11">
        <v>1</v>
      </c>
      <c r="D190" s="11">
        <v>1</v>
      </c>
      <c r="E190" s="11">
        <v>2</v>
      </c>
      <c r="F190" s="11">
        <v>1</v>
      </c>
      <c r="G190" s="11">
        <v>4</v>
      </c>
      <c r="H190" s="11">
        <v>3</v>
      </c>
      <c r="I190" s="11">
        <v>3</v>
      </c>
      <c r="J190" s="11">
        <v>2</v>
      </c>
      <c r="K190" s="11">
        <v>4</v>
      </c>
      <c r="L190" s="11">
        <v>2</v>
      </c>
      <c r="M190" s="11">
        <v>3</v>
      </c>
      <c r="N190" s="11">
        <v>3</v>
      </c>
      <c r="O190" s="11">
        <v>4</v>
      </c>
      <c r="P190" s="11">
        <v>5</v>
      </c>
      <c r="Q190" s="11">
        <v>1</v>
      </c>
      <c r="R190" s="11">
        <v>2</v>
      </c>
      <c r="S190" s="11">
        <v>2</v>
      </c>
      <c r="T190" s="11">
        <v>3</v>
      </c>
      <c r="U190" s="10">
        <v>1</v>
      </c>
      <c r="V190" s="6">
        <f t="shared" ca="1" si="14"/>
        <v>33.3260589285373</v>
      </c>
      <c r="W190" s="6">
        <f t="shared" ca="1" si="14"/>
        <v>32.774988527469226</v>
      </c>
      <c r="X190" s="6">
        <f t="shared" ca="1" si="14"/>
        <v>33.296358278646899</v>
      </c>
      <c r="Y190" s="6">
        <f t="shared" ca="1" si="13"/>
        <v>32.940814117432033</v>
      </c>
      <c r="Z190" s="6">
        <f t="shared" ca="1" si="13"/>
        <v>33.3350743481652</v>
      </c>
      <c r="AA190" s="6">
        <f t="shared" ca="1" si="13"/>
        <v>32.626377795029875</v>
      </c>
      <c r="AB190" s="6">
        <f t="shared" ca="1" si="11"/>
        <v>32.626377795029875</v>
      </c>
      <c r="AC190" s="6">
        <f t="shared" ca="1" si="12"/>
        <v>6</v>
      </c>
    </row>
    <row r="191" spans="1:29">
      <c r="A191" s="11">
        <v>190</v>
      </c>
      <c r="B191" s="12">
        <v>2</v>
      </c>
      <c r="C191" s="11">
        <v>2</v>
      </c>
      <c r="D191" s="11">
        <v>4</v>
      </c>
      <c r="E191" s="11">
        <v>2</v>
      </c>
      <c r="F191" s="11">
        <v>5</v>
      </c>
      <c r="G191" s="11">
        <v>3</v>
      </c>
      <c r="H191" s="11">
        <v>3</v>
      </c>
      <c r="I191" s="11">
        <v>2</v>
      </c>
      <c r="J191" s="11">
        <v>2</v>
      </c>
      <c r="K191" s="11">
        <v>2</v>
      </c>
      <c r="L191" s="11">
        <v>2</v>
      </c>
      <c r="M191" s="11">
        <v>3</v>
      </c>
      <c r="N191" s="11">
        <v>4</v>
      </c>
      <c r="O191" s="11">
        <v>3</v>
      </c>
      <c r="P191" s="11">
        <v>2</v>
      </c>
      <c r="Q191" s="11">
        <v>2</v>
      </c>
      <c r="R191" s="11">
        <v>3</v>
      </c>
      <c r="S191" s="11">
        <v>3</v>
      </c>
      <c r="T191" s="11">
        <v>3</v>
      </c>
      <c r="U191" s="10">
        <v>4</v>
      </c>
      <c r="V191" s="6">
        <f t="shared" ca="1" si="14"/>
        <v>15.846540792291693</v>
      </c>
      <c r="W191" s="6">
        <f t="shared" ca="1" si="14"/>
        <v>15.709344535151114</v>
      </c>
      <c r="X191" s="6">
        <f t="shared" ca="1" si="14"/>
        <v>15.890934876063625</v>
      </c>
      <c r="Y191" s="6">
        <f t="shared" ca="1" si="13"/>
        <v>15.928680745328238</v>
      </c>
      <c r="Z191" s="6">
        <f t="shared" ca="1" si="13"/>
        <v>16.139109379534322</v>
      </c>
      <c r="AA191" s="6">
        <f t="shared" ca="1" si="13"/>
        <v>16.449031850885458</v>
      </c>
      <c r="AB191" s="6">
        <f t="shared" ca="1" si="11"/>
        <v>15.709344535151114</v>
      </c>
      <c r="AC191" s="6">
        <f t="shared" ca="1" si="12"/>
        <v>2</v>
      </c>
    </row>
    <row r="192" spans="1:29">
      <c r="A192" s="11">
        <v>191</v>
      </c>
      <c r="B192" s="12">
        <v>2</v>
      </c>
      <c r="C192" s="11">
        <v>3</v>
      </c>
      <c r="D192" s="11">
        <v>3</v>
      </c>
      <c r="E192" s="11">
        <v>2</v>
      </c>
      <c r="F192" s="11">
        <v>3</v>
      </c>
      <c r="G192" s="11">
        <v>3</v>
      </c>
      <c r="H192" s="11">
        <v>2</v>
      </c>
      <c r="I192" s="11">
        <v>2</v>
      </c>
      <c r="J192" s="11">
        <v>2</v>
      </c>
      <c r="K192" s="11">
        <v>1</v>
      </c>
      <c r="L192" s="11">
        <v>2</v>
      </c>
      <c r="M192" s="11">
        <v>2</v>
      </c>
      <c r="N192" s="11">
        <v>2</v>
      </c>
      <c r="O192" s="11">
        <v>4</v>
      </c>
      <c r="P192" s="11">
        <v>4</v>
      </c>
      <c r="Q192" s="11">
        <v>3</v>
      </c>
      <c r="R192" s="11">
        <v>2</v>
      </c>
      <c r="S192" s="11">
        <v>3</v>
      </c>
      <c r="T192" s="11">
        <v>2</v>
      </c>
      <c r="U192" s="10">
        <v>5</v>
      </c>
      <c r="V192" s="6">
        <f t="shared" ca="1" si="14"/>
        <v>19.71553893551911</v>
      </c>
      <c r="W192" s="6">
        <f t="shared" ca="1" si="14"/>
        <v>19.723163376054632</v>
      </c>
      <c r="X192" s="6">
        <f t="shared" ca="1" si="14"/>
        <v>19.754111342333768</v>
      </c>
      <c r="Y192" s="6">
        <f t="shared" ca="1" si="13"/>
        <v>19.747358308687016</v>
      </c>
      <c r="Z192" s="6">
        <f t="shared" ca="1" si="13"/>
        <v>20.338587446903382</v>
      </c>
      <c r="AA192" s="6">
        <f t="shared" ca="1" si="13"/>
        <v>20.332755347567232</v>
      </c>
      <c r="AB192" s="6">
        <f t="shared" ca="1" si="11"/>
        <v>19.71553893551911</v>
      </c>
      <c r="AC192" s="6">
        <f t="shared" ca="1" si="12"/>
        <v>1</v>
      </c>
    </row>
    <row r="193" spans="1:29">
      <c r="A193" s="11">
        <v>192</v>
      </c>
      <c r="B193" s="12">
        <v>3</v>
      </c>
      <c r="C193" s="11">
        <v>4</v>
      </c>
      <c r="D193" s="11">
        <v>5</v>
      </c>
      <c r="E193" s="11">
        <v>2</v>
      </c>
      <c r="F193" s="11">
        <v>3</v>
      </c>
      <c r="G193" s="11">
        <v>2</v>
      </c>
      <c r="H193" s="11">
        <v>2</v>
      </c>
      <c r="I193" s="11">
        <v>1</v>
      </c>
      <c r="J193" s="11">
        <v>1</v>
      </c>
      <c r="K193" s="11">
        <v>4</v>
      </c>
      <c r="L193" s="11">
        <v>1</v>
      </c>
      <c r="M193" s="11">
        <v>4</v>
      </c>
      <c r="N193" s="11">
        <v>5</v>
      </c>
      <c r="O193" s="11">
        <v>5</v>
      </c>
      <c r="P193" s="11">
        <v>5</v>
      </c>
      <c r="Q193" s="11">
        <v>1</v>
      </c>
      <c r="R193" s="11">
        <v>1</v>
      </c>
      <c r="S193" s="11">
        <v>5</v>
      </c>
      <c r="T193" s="11">
        <v>1</v>
      </c>
      <c r="U193" s="10">
        <v>4</v>
      </c>
      <c r="V193" s="6">
        <f t="shared" ca="1" si="14"/>
        <v>51.067655461846655</v>
      </c>
      <c r="W193" s="6">
        <f t="shared" ca="1" si="14"/>
        <v>50.660499827591458</v>
      </c>
      <c r="X193" s="6">
        <f t="shared" ca="1" si="14"/>
        <v>50.740457186241663</v>
      </c>
      <c r="Y193" s="6">
        <f t="shared" ca="1" si="13"/>
        <v>51.322515644241861</v>
      </c>
      <c r="Z193" s="6">
        <f t="shared" ca="1" si="13"/>
        <v>50.693913670091241</v>
      </c>
      <c r="AA193" s="6">
        <f t="shared" ca="1" si="13"/>
        <v>51.120818042321602</v>
      </c>
      <c r="AB193" s="6">
        <f t="shared" ca="1" si="11"/>
        <v>50.660499827591458</v>
      </c>
      <c r="AC193" s="6">
        <f t="shared" ca="1" si="12"/>
        <v>2</v>
      </c>
    </row>
    <row r="194" spans="1:29">
      <c r="A194" s="11">
        <v>193</v>
      </c>
      <c r="B194" s="12">
        <v>5</v>
      </c>
      <c r="C194" s="11">
        <v>4</v>
      </c>
      <c r="D194" s="11">
        <v>4</v>
      </c>
      <c r="E194" s="11">
        <v>4</v>
      </c>
      <c r="F194" s="11">
        <v>4</v>
      </c>
      <c r="G194" s="11">
        <v>4</v>
      </c>
      <c r="H194" s="11">
        <v>4</v>
      </c>
      <c r="I194" s="11">
        <v>5</v>
      </c>
      <c r="J194" s="11">
        <v>4</v>
      </c>
      <c r="K194" s="11">
        <v>4</v>
      </c>
      <c r="L194" s="11">
        <v>3</v>
      </c>
      <c r="M194" s="11">
        <v>4</v>
      </c>
      <c r="N194" s="11">
        <v>4</v>
      </c>
      <c r="O194" s="11">
        <v>3</v>
      </c>
      <c r="P194" s="11">
        <v>4</v>
      </c>
      <c r="Q194" s="11">
        <v>4</v>
      </c>
      <c r="R194" s="11">
        <v>3</v>
      </c>
      <c r="S194" s="11">
        <v>5</v>
      </c>
      <c r="T194" s="11">
        <v>3</v>
      </c>
      <c r="U194" s="10">
        <v>4</v>
      </c>
      <c r="V194" s="6">
        <f t="shared" ca="1" si="14"/>
        <v>24.945575787495471</v>
      </c>
      <c r="W194" s="6">
        <f t="shared" ca="1" si="14"/>
        <v>24.812218784086845</v>
      </c>
      <c r="X194" s="6">
        <f t="shared" ca="1" si="14"/>
        <v>24.931734617675307</v>
      </c>
      <c r="Y194" s="6">
        <f t="shared" ca="1" si="13"/>
        <v>25.181202826400259</v>
      </c>
      <c r="Z194" s="6">
        <f t="shared" ca="1" si="13"/>
        <v>24.35015021992659</v>
      </c>
      <c r="AA194" s="6">
        <f t="shared" ca="1" si="13"/>
        <v>25.161532854350686</v>
      </c>
      <c r="AB194" s="6">
        <f t="shared" ca="1" si="11"/>
        <v>24.35015021992659</v>
      </c>
      <c r="AC194" s="6">
        <f t="shared" ca="1" si="12"/>
        <v>5</v>
      </c>
    </row>
    <row r="195" spans="1:29">
      <c r="A195" s="11">
        <v>194</v>
      </c>
      <c r="B195" s="12">
        <v>4</v>
      </c>
      <c r="C195" s="11">
        <v>4</v>
      </c>
      <c r="D195" s="11">
        <v>5</v>
      </c>
      <c r="E195" s="11">
        <v>4</v>
      </c>
      <c r="F195" s="11">
        <v>5</v>
      </c>
      <c r="G195" s="11">
        <v>3</v>
      </c>
      <c r="H195" s="11">
        <v>5</v>
      </c>
      <c r="I195" s="11">
        <v>3</v>
      </c>
      <c r="J195" s="11">
        <v>5</v>
      </c>
      <c r="K195" s="11">
        <v>4</v>
      </c>
      <c r="L195" s="11">
        <v>3</v>
      </c>
      <c r="M195" s="11">
        <v>4</v>
      </c>
      <c r="N195" s="11">
        <v>3</v>
      </c>
      <c r="O195" s="11">
        <v>4</v>
      </c>
      <c r="P195" s="11">
        <v>5</v>
      </c>
      <c r="Q195" s="11">
        <v>3</v>
      </c>
      <c r="R195" s="11">
        <v>4</v>
      </c>
      <c r="S195" s="11">
        <v>4</v>
      </c>
      <c r="T195" s="11">
        <v>5</v>
      </c>
      <c r="U195" s="10">
        <v>5</v>
      </c>
      <c r="V195" s="6">
        <f t="shared" ca="1" si="14"/>
        <v>36.136129995040534</v>
      </c>
      <c r="W195" s="6">
        <f t="shared" ca="1" si="14"/>
        <v>35.776555201499598</v>
      </c>
      <c r="X195" s="6">
        <f t="shared" ca="1" si="14"/>
        <v>36.030111918661817</v>
      </c>
      <c r="Y195" s="6">
        <f t="shared" ca="1" si="13"/>
        <v>36.444523341528495</v>
      </c>
      <c r="Z195" s="6">
        <f t="shared" ca="1" si="13"/>
        <v>35.285027705715052</v>
      </c>
      <c r="AA195" s="6">
        <f t="shared" ca="1" si="13"/>
        <v>36.274287666084788</v>
      </c>
      <c r="AB195" s="6">
        <f t="shared" ref="AB195:AB258" ca="1" si="15">MIN(V195:AA195)</f>
        <v>35.285027705715052</v>
      </c>
      <c r="AC195" s="6">
        <f t="shared" ref="AC195:AC258" ca="1" si="16">IF(AB195=V195,1,IF(AB195=W195,2,IF(AB195=X195,3,IF(AB195=Y195,4,IF(AB195=Z195,5,6)))))</f>
        <v>5</v>
      </c>
    </row>
    <row r="196" spans="1:29">
      <c r="A196" s="11">
        <v>195</v>
      </c>
      <c r="B196" s="12">
        <v>1</v>
      </c>
      <c r="C196" s="11">
        <v>5</v>
      </c>
      <c r="D196" s="11">
        <v>1</v>
      </c>
      <c r="E196" s="11">
        <v>5</v>
      </c>
      <c r="F196" s="11">
        <v>5</v>
      </c>
      <c r="G196" s="11">
        <v>2</v>
      </c>
      <c r="H196" s="11">
        <v>1</v>
      </c>
      <c r="I196" s="11">
        <v>1</v>
      </c>
      <c r="J196" s="11">
        <v>1</v>
      </c>
      <c r="K196" s="11">
        <v>3</v>
      </c>
      <c r="L196" s="11">
        <v>2</v>
      </c>
      <c r="M196" s="11">
        <v>1</v>
      </c>
      <c r="N196" s="11">
        <v>4</v>
      </c>
      <c r="O196" s="11">
        <v>3</v>
      </c>
      <c r="P196" s="11">
        <v>3</v>
      </c>
      <c r="Q196" s="11">
        <v>1</v>
      </c>
      <c r="R196" s="11">
        <v>3</v>
      </c>
      <c r="S196" s="11">
        <v>1</v>
      </c>
      <c r="T196" s="11">
        <v>3</v>
      </c>
      <c r="U196" s="10">
        <v>1</v>
      </c>
      <c r="V196" s="6">
        <f t="shared" ca="1" si="14"/>
        <v>51.058065616479389</v>
      </c>
      <c r="W196" s="6">
        <f t="shared" ca="1" si="14"/>
        <v>51.515294611044027</v>
      </c>
      <c r="X196" s="6">
        <f t="shared" ca="1" si="14"/>
        <v>51.028760902574831</v>
      </c>
      <c r="Y196" s="6">
        <f t="shared" ca="1" si="13"/>
        <v>51.169058826357976</v>
      </c>
      <c r="Z196" s="6">
        <f t="shared" ca="1" si="13"/>
        <v>51.429037279540857</v>
      </c>
      <c r="AA196" s="6">
        <f t="shared" ca="1" si="13"/>
        <v>51.282088339930731</v>
      </c>
      <c r="AB196" s="6">
        <f t="shared" ca="1" si="15"/>
        <v>51.028760902574831</v>
      </c>
      <c r="AC196" s="6">
        <f t="shared" ca="1" si="16"/>
        <v>3</v>
      </c>
    </row>
    <row r="197" spans="1:29">
      <c r="A197" s="11">
        <v>196</v>
      </c>
      <c r="B197" s="12">
        <v>2</v>
      </c>
      <c r="C197" s="11">
        <v>2</v>
      </c>
      <c r="D197" s="11">
        <v>4</v>
      </c>
      <c r="E197" s="11">
        <v>4</v>
      </c>
      <c r="F197" s="11">
        <v>2</v>
      </c>
      <c r="G197" s="11">
        <v>5</v>
      </c>
      <c r="H197" s="11">
        <v>2</v>
      </c>
      <c r="I197" s="11">
        <v>2</v>
      </c>
      <c r="J197" s="11">
        <v>2</v>
      </c>
      <c r="K197" s="11">
        <v>4</v>
      </c>
      <c r="L197" s="11">
        <v>2</v>
      </c>
      <c r="M197" s="11">
        <v>2</v>
      </c>
      <c r="N197" s="11">
        <v>2</v>
      </c>
      <c r="O197" s="11">
        <v>4</v>
      </c>
      <c r="P197" s="11">
        <v>2</v>
      </c>
      <c r="Q197" s="11">
        <v>2</v>
      </c>
      <c r="R197" s="11">
        <v>2</v>
      </c>
      <c r="S197" s="11">
        <v>4</v>
      </c>
      <c r="T197" s="11">
        <v>4</v>
      </c>
      <c r="U197" s="10">
        <v>4</v>
      </c>
      <c r="V197" s="6">
        <f t="shared" ca="1" si="14"/>
        <v>23.025100603833504</v>
      </c>
      <c r="W197" s="6">
        <f t="shared" ca="1" si="14"/>
        <v>22.622268300450191</v>
      </c>
      <c r="X197" s="6">
        <f t="shared" ca="1" si="14"/>
        <v>22.440549807920828</v>
      </c>
      <c r="Y197" s="6">
        <f t="shared" ca="1" si="13"/>
        <v>22.939016247052216</v>
      </c>
      <c r="Z197" s="6">
        <f t="shared" ca="1" si="13"/>
        <v>23.465461665391757</v>
      </c>
      <c r="AA197" s="6">
        <f t="shared" ca="1" si="13"/>
        <v>23.309164572151484</v>
      </c>
      <c r="AB197" s="6">
        <f t="shared" ca="1" si="15"/>
        <v>22.440549807920828</v>
      </c>
      <c r="AC197" s="6">
        <f t="shared" ca="1" si="16"/>
        <v>3</v>
      </c>
    </row>
    <row r="198" spans="1:29">
      <c r="A198" s="11">
        <v>197</v>
      </c>
      <c r="B198" s="12">
        <v>5</v>
      </c>
      <c r="C198" s="11">
        <v>2</v>
      </c>
      <c r="D198" s="11">
        <v>1</v>
      </c>
      <c r="E198" s="11">
        <v>3</v>
      </c>
      <c r="F198" s="11">
        <v>3</v>
      </c>
      <c r="G198" s="11">
        <v>5</v>
      </c>
      <c r="H198" s="11">
        <v>3</v>
      </c>
      <c r="I198" s="11">
        <v>2</v>
      </c>
      <c r="J198" s="11">
        <v>2</v>
      </c>
      <c r="K198" s="11">
        <v>2</v>
      </c>
      <c r="L198" s="11">
        <v>1</v>
      </c>
      <c r="M198" s="11">
        <v>3</v>
      </c>
      <c r="N198" s="11">
        <v>5</v>
      </c>
      <c r="O198" s="11">
        <v>4</v>
      </c>
      <c r="P198" s="11">
        <v>5</v>
      </c>
      <c r="Q198" s="11">
        <v>2</v>
      </c>
      <c r="R198" s="11">
        <v>2</v>
      </c>
      <c r="S198" s="11">
        <v>4</v>
      </c>
      <c r="T198" s="11">
        <v>3</v>
      </c>
      <c r="U198" s="10">
        <v>2</v>
      </c>
      <c r="V198" s="6">
        <f t="shared" ca="1" si="14"/>
        <v>33.164153870787274</v>
      </c>
      <c r="W198" s="6">
        <f t="shared" ca="1" si="14"/>
        <v>32.875414347148372</v>
      </c>
      <c r="X198" s="6">
        <f t="shared" ca="1" si="14"/>
        <v>32.825011572356971</v>
      </c>
      <c r="Y198" s="6">
        <f t="shared" ca="1" si="13"/>
        <v>33.052733355171455</v>
      </c>
      <c r="Z198" s="6">
        <f t="shared" ca="1" si="13"/>
        <v>33.1167364203029</v>
      </c>
      <c r="AA198" s="6">
        <f t="shared" ca="1" si="13"/>
        <v>33.767007301616864</v>
      </c>
      <c r="AB198" s="6">
        <f t="shared" ca="1" si="15"/>
        <v>32.825011572356971</v>
      </c>
      <c r="AC198" s="6">
        <f t="shared" ca="1" si="16"/>
        <v>3</v>
      </c>
    </row>
    <row r="199" spans="1:29">
      <c r="A199" s="11">
        <v>198</v>
      </c>
      <c r="B199" s="12">
        <v>2</v>
      </c>
      <c r="C199" s="11">
        <v>1</v>
      </c>
      <c r="D199" s="11">
        <v>1</v>
      </c>
      <c r="E199" s="11">
        <v>4</v>
      </c>
      <c r="F199" s="11">
        <v>3</v>
      </c>
      <c r="G199" s="11">
        <v>2</v>
      </c>
      <c r="H199" s="11">
        <v>3</v>
      </c>
      <c r="I199" s="11">
        <v>2</v>
      </c>
      <c r="J199" s="11">
        <v>1</v>
      </c>
      <c r="K199" s="11">
        <v>4</v>
      </c>
      <c r="L199" s="11">
        <v>1</v>
      </c>
      <c r="M199" s="11">
        <v>1</v>
      </c>
      <c r="N199" s="11">
        <v>2</v>
      </c>
      <c r="O199" s="11">
        <v>3</v>
      </c>
      <c r="P199" s="11">
        <v>5</v>
      </c>
      <c r="Q199" s="11">
        <v>2</v>
      </c>
      <c r="R199" s="11">
        <v>2</v>
      </c>
      <c r="S199" s="11">
        <v>2</v>
      </c>
      <c r="T199" s="11">
        <v>4</v>
      </c>
      <c r="U199" s="10">
        <v>3</v>
      </c>
      <c r="V199" s="6">
        <f t="shared" ca="1" si="14"/>
        <v>34.108624192267179</v>
      </c>
      <c r="W199" s="6">
        <f t="shared" ca="1" si="14"/>
        <v>33.749959671992059</v>
      </c>
      <c r="X199" s="6">
        <f t="shared" ca="1" si="14"/>
        <v>34.053261615050509</v>
      </c>
      <c r="Y199" s="6">
        <f t="shared" ca="1" si="13"/>
        <v>33.896794230870768</v>
      </c>
      <c r="Z199" s="6">
        <f t="shared" ca="1" si="13"/>
        <v>34.432268546397594</v>
      </c>
      <c r="AA199" s="6">
        <f t="shared" ca="1" si="13"/>
        <v>34.131184777156598</v>
      </c>
      <c r="AB199" s="6">
        <f t="shared" ca="1" si="15"/>
        <v>33.749959671992059</v>
      </c>
      <c r="AC199" s="6">
        <f t="shared" ca="1" si="16"/>
        <v>2</v>
      </c>
    </row>
    <row r="200" spans="1:29">
      <c r="A200" s="11">
        <v>199</v>
      </c>
      <c r="B200" s="12">
        <v>4</v>
      </c>
      <c r="C200" s="11">
        <v>2</v>
      </c>
      <c r="D200" s="11">
        <v>2</v>
      </c>
      <c r="E200" s="11">
        <v>3</v>
      </c>
      <c r="F200" s="11">
        <v>5</v>
      </c>
      <c r="G200" s="11">
        <v>4</v>
      </c>
      <c r="H200" s="11">
        <v>4</v>
      </c>
      <c r="I200" s="11">
        <v>3</v>
      </c>
      <c r="J200" s="11">
        <v>2</v>
      </c>
      <c r="K200" s="11">
        <v>4</v>
      </c>
      <c r="L200" s="11">
        <v>2</v>
      </c>
      <c r="M200" s="11">
        <v>3</v>
      </c>
      <c r="N200" s="11">
        <v>2</v>
      </c>
      <c r="O200" s="11">
        <v>4</v>
      </c>
      <c r="P200" s="11">
        <v>4</v>
      </c>
      <c r="Q200" s="11">
        <v>2</v>
      </c>
      <c r="R200" s="11">
        <v>3</v>
      </c>
      <c r="S200" s="11">
        <v>3</v>
      </c>
      <c r="T200" s="11">
        <v>3</v>
      </c>
      <c r="U200" s="10">
        <v>2</v>
      </c>
      <c r="V200" s="6">
        <f t="shared" ca="1" si="14"/>
        <v>17.200382715053482</v>
      </c>
      <c r="W200" s="6">
        <f t="shared" ca="1" si="14"/>
        <v>16.625829023501684</v>
      </c>
      <c r="X200" s="6">
        <f t="shared" ca="1" si="14"/>
        <v>17.231327007482314</v>
      </c>
      <c r="Y200" s="6">
        <f t="shared" ca="1" si="13"/>
        <v>16.9293432011576</v>
      </c>
      <c r="Z200" s="6">
        <f t="shared" ca="1" si="13"/>
        <v>16.810381125139443</v>
      </c>
      <c r="AA200" s="6">
        <f t="shared" ca="1" si="13"/>
        <v>17.229221081042741</v>
      </c>
      <c r="AB200" s="6">
        <f t="shared" ca="1" si="15"/>
        <v>16.625829023501684</v>
      </c>
      <c r="AC200" s="6">
        <f t="shared" ca="1" si="16"/>
        <v>2</v>
      </c>
    </row>
    <row r="201" spans="1:29">
      <c r="A201" s="11">
        <v>200</v>
      </c>
      <c r="B201" s="12">
        <v>2</v>
      </c>
      <c r="C201" s="11">
        <v>1</v>
      </c>
      <c r="D201" s="11">
        <v>3</v>
      </c>
      <c r="E201" s="11">
        <v>2</v>
      </c>
      <c r="F201" s="11">
        <v>2</v>
      </c>
      <c r="G201" s="11">
        <v>1</v>
      </c>
      <c r="H201" s="11">
        <v>2</v>
      </c>
      <c r="I201" s="11">
        <v>3</v>
      </c>
      <c r="J201" s="11">
        <v>2</v>
      </c>
      <c r="K201" s="11">
        <v>1</v>
      </c>
      <c r="L201" s="11">
        <v>2</v>
      </c>
      <c r="M201" s="11">
        <v>3</v>
      </c>
      <c r="N201" s="11">
        <v>2</v>
      </c>
      <c r="O201" s="11">
        <v>2</v>
      </c>
      <c r="P201" s="11">
        <v>3</v>
      </c>
      <c r="Q201" s="11">
        <v>2</v>
      </c>
      <c r="R201" s="11">
        <v>3</v>
      </c>
      <c r="S201" s="11">
        <v>2</v>
      </c>
      <c r="T201" s="11">
        <v>3</v>
      </c>
      <c r="U201" s="10">
        <v>1</v>
      </c>
      <c r="V201" s="6">
        <f t="shared" ca="1" si="14"/>
        <v>26.181375310419902</v>
      </c>
      <c r="W201" s="6">
        <f t="shared" ca="1" si="14"/>
        <v>25.856454969645497</v>
      </c>
      <c r="X201" s="6">
        <f t="shared" ca="1" si="14"/>
        <v>26.176744447100141</v>
      </c>
      <c r="Y201" s="6">
        <f t="shared" ca="1" si="13"/>
        <v>25.718637956747905</v>
      </c>
      <c r="Z201" s="6">
        <f t="shared" ca="1" si="13"/>
        <v>26.682838132122168</v>
      </c>
      <c r="AA201" s="6">
        <f t="shared" ca="1" si="13"/>
        <v>25.70704924021511</v>
      </c>
      <c r="AB201" s="6">
        <f t="shared" ca="1" si="15"/>
        <v>25.70704924021511</v>
      </c>
      <c r="AC201" s="6">
        <f t="shared" ca="1" si="16"/>
        <v>6</v>
      </c>
    </row>
    <row r="202" spans="1:29">
      <c r="A202" s="11">
        <v>201</v>
      </c>
      <c r="B202" s="12">
        <v>4</v>
      </c>
      <c r="C202" s="11">
        <v>1</v>
      </c>
      <c r="D202" s="11">
        <v>2</v>
      </c>
      <c r="E202" s="11">
        <v>2</v>
      </c>
      <c r="F202" s="11">
        <v>4</v>
      </c>
      <c r="G202" s="11">
        <v>3</v>
      </c>
      <c r="H202" s="11">
        <v>3</v>
      </c>
      <c r="I202" s="11">
        <v>2</v>
      </c>
      <c r="J202" s="11">
        <v>2</v>
      </c>
      <c r="K202" s="11">
        <v>3</v>
      </c>
      <c r="L202" s="11">
        <v>1</v>
      </c>
      <c r="M202" s="11">
        <v>3</v>
      </c>
      <c r="N202" s="11">
        <v>1</v>
      </c>
      <c r="O202" s="11">
        <v>2</v>
      </c>
      <c r="P202" s="11">
        <v>3</v>
      </c>
      <c r="Q202" s="11">
        <v>2</v>
      </c>
      <c r="R202" s="11">
        <v>3</v>
      </c>
      <c r="S202" s="11">
        <v>5</v>
      </c>
      <c r="T202" s="11">
        <v>1</v>
      </c>
      <c r="U202" s="10">
        <v>5</v>
      </c>
      <c r="V202" s="6">
        <f t="shared" ca="1" si="14"/>
        <v>31.885207830972178</v>
      </c>
      <c r="W202" s="6">
        <f t="shared" ca="1" si="14"/>
        <v>31.198501891042845</v>
      </c>
      <c r="X202" s="6">
        <f t="shared" ca="1" si="14"/>
        <v>31.847415607263883</v>
      </c>
      <c r="Y202" s="6">
        <f t="shared" ca="1" si="13"/>
        <v>31.835627872286359</v>
      </c>
      <c r="Z202" s="6">
        <f t="shared" ca="1" si="13"/>
        <v>31.936094628127098</v>
      </c>
      <c r="AA202" s="6">
        <f t="shared" ca="1" si="13"/>
        <v>32.337811570580762</v>
      </c>
      <c r="AB202" s="6">
        <f t="shared" ca="1" si="15"/>
        <v>31.198501891042845</v>
      </c>
      <c r="AC202" s="6">
        <f t="shared" ca="1" si="16"/>
        <v>2</v>
      </c>
    </row>
    <row r="203" spans="1:29">
      <c r="A203" s="11">
        <v>202</v>
      </c>
      <c r="B203" s="12">
        <v>3</v>
      </c>
      <c r="C203" s="11">
        <v>3</v>
      </c>
      <c r="D203" s="11">
        <v>3</v>
      </c>
      <c r="E203" s="11">
        <v>4</v>
      </c>
      <c r="F203" s="11">
        <v>3</v>
      </c>
      <c r="G203" s="11">
        <v>2</v>
      </c>
      <c r="H203" s="11">
        <v>3</v>
      </c>
      <c r="I203" s="11">
        <v>2</v>
      </c>
      <c r="J203" s="11">
        <v>2</v>
      </c>
      <c r="K203" s="11">
        <v>3</v>
      </c>
      <c r="L203" s="11">
        <v>4</v>
      </c>
      <c r="M203" s="11">
        <v>2</v>
      </c>
      <c r="N203" s="11">
        <v>2</v>
      </c>
      <c r="O203" s="11">
        <v>2</v>
      </c>
      <c r="P203" s="11">
        <v>4</v>
      </c>
      <c r="Q203" s="11">
        <v>3</v>
      </c>
      <c r="R203" s="11">
        <v>5</v>
      </c>
      <c r="S203" s="11">
        <v>3</v>
      </c>
      <c r="T203" s="11">
        <v>3</v>
      </c>
      <c r="U203" s="10">
        <v>3</v>
      </c>
      <c r="V203" s="6">
        <f t="shared" ca="1" si="14"/>
        <v>13.3251385061888</v>
      </c>
      <c r="W203" s="6">
        <f t="shared" ca="1" si="14"/>
        <v>12.839090350822811</v>
      </c>
      <c r="X203" s="6">
        <f t="shared" ca="1" si="14"/>
        <v>12.93652574260782</v>
      </c>
      <c r="Y203" s="6">
        <f t="shared" ca="1" si="13"/>
        <v>13.069470218014203</v>
      </c>
      <c r="Z203" s="6">
        <f t="shared" ca="1" si="13"/>
        <v>12.837178875185293</v>
      </c>
      <c r="AA203" s="6">
        <f t="shared" ca="1" si="13"/>
        <v>13.076262060660229</v>
      </c>
      <c r="AB203" s="6">
        <f t="shared" ca="1" si="15"/>
        <v>12.837178875185293</v>
      </c>
      <c r="AC203" s="6">
        <f t="shared" ca="1" si="16"/>
        <v>5</v>
      </c>
    </row>
    <row r="204" spans="1:29">
      <c r="A204" s="11">
        <v>203</v>
      </c>
      <c r="B204" s="12">
        <v>2</v>
      </c>
      <c r="C204" s="11">
        <v>3</v>
      </c>
      <c r="D204" s="11">
        <v>4</v>
      </c>
      <c r="E204" s="11">
        <v>2</v>
      </c>
      <c r="F204" s="11">
        <v>4</v>
      </c>
      <c r="G204" s="11">
        <v>1</v>
      </c>
      <c r="H204" s="11">
        <v>2</v>
      </c>
      <c r="I204" s="11">
        <v>4</v>
      </c>
      <c r="J204" s="11">
        <v>5</v>
      </c>
      <c r="K204" s="11">
        <v>3</v>
      </c>
      <c r="L204" s="11">
        <v>2</v>
      </c>
      <c r="M204" s="11">
        <v>1</v>
      </c>
      <c r="N204" s="11">
        <v>3</v>
      </c>
      <c r="O204" s="11">
        <v>4</v>
      </c>
      <c r="P204" s="11">
        <v>3</v>
      </c>
      <c r="Q204" s="11">
        <v>4</v>
      </c>
      <c r="R204" s="11">
        <v>5</v>
      </c>
      <c r="S204" s="11">
        <v>4</v>
      </c>
      <c r="T204" s="11">
        <v>5</v>
      </c>
      <c r="U204" s="10">
        <v>5</v>
      </c>
      <c r="V204" s="6">
        <f t="shared" ca="1" si="14"/>
        <v>34.095047586228681</v>
      </c>
      <c r="W204" s="6">
        <f t="shared" ca="1" si="14"/>
        <v>33.946432945529452</v>
      </c>
      <c r="X204" s="6">
        <f t="shared" ca="1" si="14"/>
        <v>33.933729240769125</v>
      </c>
      <c r="Y204" s="6">
        <f t="shared" ca="1" si="13"/>
        <v>33.907689055908726</v>
      </c>
      <c r="Z204" s="6">
        <f t="shared" ca="1" si="13"/>
        <v>33.829030973625265</v>
      </c>
      <c r="AA204" s="6">
        <f t="shared" ca="1" si="13"/>
        <v>34.349766384460096</v>
      </c>
      <c r="AB204" s="6">
        <f t="shared" ca="1" si="15"/>
        <v>33.829030973625265</v>
      </c>
      <c r="AC204" s="6">
        <f t="shared" ca="1" si="16"/>
        <v>5</v>
      </c>
    </row>
    <row r="205" spans="1:29">
      <c r="A205" s="11">
        <v>204</v>
      </c>
      <c r="B205" s="12">
        <v>4</v>
      </c>
      <c r="C205" s="11">
        <v>3</v>
      </c>
      <c r="D205" s="11">
        <v>2</v>
      </c>
      <c r="E205" s="11">
        <v>4</v>
      </c>
      <c r="F205" s="11">
        <v>4</v>
      </c>
      <c r="G205" s="11">
        <v>4</v>
      </c>
      <c r="H205" s="11">
        <v>3</v>
      </c>
      <c r="I205" s="11">
        <v>2</v>
      </c>
      <c r="J205" s="11">
        <v>1</v>
      </c>
      <c r="K205" s="11">
        <v>3</v>
      </c>
      <c r="L205" s="11">
        <v>1</v>
      </c>
      <c r="M205" s="11">
        <v>2</v>
      </c>
      <c r="N205" s="11">
        <v>3</v>
      </c>
      <c r="O205" s="11">
        <v>4</v>
      </c>
      <c r="P205" s="11">
        <v>3</v>
      </c>
      <c r="Q205" s="11">
        <v>2</v>
      </c>
      <c r="R205" s="11">
        <v>2</v>
      </c>
      <c r="S205" s="11">
        <v>4</v>
      </c>
      <c r="T205" s="11">
        <v>3</v>
      </c>
      <c r="U205" s="10">
        <v>3</v>
      </c>
      <c r="V205" s="6">
        <f t="shared" ca="1" si="14"/>
        <v>19.017040552839489</v>
      </c>
      <c r="W205" s="6">
        <f t="shared" ca="1" si="14"/>
        <v>18.735053733859473</v>
      </c>
      <c r="X205" s="6">
        <f t="shared" ca="1" si="14"/>
        <v>18.633995106499206</v>
      </c>
      <c r="Y205" s="6">
        <f t="shared" ca="1" si="13"/>
        <v>18.908625654073482</v>
      </c>
      <c r="Z205" s="6">
        <f t="shared" ca="1" si="13"/>
        <v>19.143449315247761</v>
      </c>
      <c r="AA205" s="6">
        <f t="shared" ca="1" si="13"/>
        <v>19.726708986514296</v>
      </c>
      <c r="AB205" s="6">
        <f t="shared" ca="1" si="15"/>
        <v>18.633995106499206</v>
      </c>
      <c r="AC205" s="6">
        <f t="shared" ca="1" si="16"/>
        <v>3</v>
      </c>
    </row>
    <row r="206" spans="1:29">
      <c r="A206" s="11">
        <v>205</v>
      </c>
      <c r="B206" s="12">
        <v>1</v>
      </c>
      <c r="C206" s="11">
        <v>5</v>
      </c>
      <c r="D206" s="11">
        <v>1</v>
      </c>
      <c r="E206" s="11">
        <v>5</v>
      </c>
      <c r="F206" s="11">
        <v>5</v>
      </c>
      <c r="G206" s="11">
        <v>2</v>
      </c>
      <c r="H206" s="11">
        <v>1</v>
      </c>
      <c r="I206" s="11">
        <v>1</v>
      </c>
      <c r="J206" s="11">
        <v>1</v>
      </c>
      <c r="K206" s="11">
        <v>3</v>
      </c>
      <c r="L206" s="11">
        <v>2</v>
      </c>
      <c r="M206" s="11">
        <v>1</v>
      </c>
      <c r="N206" s="11">
        <v>4</v>
      </c>
      <c r="O206" s="11">
        <v>3</v>
      </c>
      <c r="P206" s="11">
        <v>3</v>
      </c>
      <c r="Q206" s="11">
        <v>3</v>
      </c>
      <c r="R206" s="11">
        <v>1</v>
      </c>
      <c r="S206" s="11">
        <v>1</v>
      </c>
      <c r="T206" s="11">
        <v>3</v>
      </c>
      <c r="U206" s="10">
        <v>1</v>
      </c>
      <c r="V206" s="6">
        <f t="shared" ca="1" si="14"/>
        <v>50.737169788050004</v>
      </c>
      <c r="W206" s="6">
        <f t="shared" ca="1" si="14"/>
        <v>51.855827499212765</v>
      </c>
      <c r="X206" s="6">
        <f t="shared" ca="1" si="14"/>
        <v>51.105850574100579</v>
      </c>
      <c r="Y206" s="6">
        <f t="shared" ca="1" si="13"/>
        <v>51.04133426383666</v>
      </c>
      <c r="Z206" s="6">
        <f t="shared" ca="1" si="13"/>
        <v>51.673206119955687</v>
      </c>
      <c r="AA206" s="6">
        <f t="shared" ca="1" si="13"/>
        <v>51.19344944425918</v>
      </c>
      <c r="AB206" s="6">
        <f t="shared" ca="1" si="15"/>
        <v>50.737169788050004</v>
      </c>
      <c r="AC206" s="6">
        <f t="shared" ca="1" si="16"/>
        <v>1</v>
      </c>
    </row>
    <row r="207" spans="1:29">
      <c r="A207" s="11">
        <v>206</v>
      </c>
      <c r="B207" s="12">
        <v>1</v>
      </c>
      <c r="C207" s="11">
        <v>1</v>
      </c>
      <c r="D207" s="11">
        <v>1</v>
      </c>
      <c r="E207" s="11">
        <v>1</v>
      </c>
      <c r="F207" s="11">
        <v>1</v>
      </c>
      <c r="G207" s="11">
        <v>1</v>
      </c>
      <c r="H207" s="11">
        <v>5</v>
      </c>
      <c r="I207" s="11">
        <v>1</v>
      </c>
      <c r="J207" s="11">
        <v>1</v>
      </c>
      <c r="K207" s="11">
        <v>3</v>
      </c>
      <c r="L207" s="11">
        <v>1</v>
      </c>
      <c r="M207" s="11">
        <v>3</v>
      </c>
      <c r="N207" s="11">
        <v>1</v>
      </c>
      <c r="O207" s="11">
        <v>2</v>
      </c>
      <c r="P207" s="11">
        <v>5</v>
      </c>
      <c r="Q207" s="11">
        <v>1</v>
      </c>
      <c r="R207" s="11">
        <v>5</v>
      </c>
      <c r="S207" s="11">
        <v>3</v>
      </c>
      <c r="T207" s="11">
        <v>3</v>
      </c>
      <c r="U207" s="10">
        <v>5</v>
      </c>
      <c r="V207" s="6">
        <f t="shared" ca="1" si="14"/>
        <v>61.093818370674242</v>
      </c>
      <c r="W207" s="6">
        <f t="shared" ca="1" si="14"/>
        <v>60.028945060578472</v>
      </c>
      <c r="X207" s="6">
        <f t="shared" ca="1" si="14"/>
        <v>60.987116345563756</v>
      </c>
      <c r="Y207" s="6">
        <f t="shared" ca="1" si="13"/>
        <v>60.844348260446559</v>
      </c>
      <c r="Z207" s="6">
        <f t="shared" ca="1" si="13"/>
        <v>61.080623713226075</v>
      </c>
      <c r="AA207" s="6">
        <f t="shared" ca="1" si="13"/>
        <v>60.948151930574817</v>
      </c>
      <c r="AB207" s="6">
        <f t="shared" ca="1" si="15"/>
        <v>60.028945060578472</v>
      </c>
      <c r="AC207" s="6">
        <f t="shared" ca="1" si="16"/>
        <v>2</v>
      </c>
    </row>
    <row r="208" spans="1:29">
      <c r="A208" s="11">
        <v>207</v>
      </c>
      <c r="B208" s="12">
        <v>2</v>
      </c>
      <c r="C208" s="11">
        <v>2</v>
      </c>
      <c r="D208" s="11">
        <v>2</v>
      </c>
      <c r="E208" s="11">
        <v>4</v>
      </c>
      <c r="F208" s="11">
        <v>2</v>
      </c>
      <c r="G208" s="11">
        <v>2</v>
      </c>
      <c r="H208" s="11">
        <v>1</v>
      </c>
      <c r="I208" s="11">
        <v>2</v>
      </c>
      <c r="J208" s="11">
        <v>2</v>
      </c>
      <c r="K208" s="11">
        <v>1</v>
      </c>
      <c r="L208" s="11">
        <v>3</v>
      </c>
      <c r="M208" s="11">
        <v>3</v>
      </c>
      <c r="N208" s="11">
        <v>4</v>
      </c>
      <c r="O208" s="11">
        <v>5</v>
      </c>
      <c r="P208" s="11">
        <v>5</v>
      </c>
      <c r="Q208" s="11">
        <v>3</v>
      </c>
      <c r="R208" s="11">
        <v>2</v>
      </c>
      <c r="S208" s="11">
        <v>2</v>
      </c>
      <c r="T208" s="11">
        <v>4</v>
      </c>
      <c r="U208" s="10">
        <v>2</v>
      </c>
      <c r="V208" s="6">
        <f t="shared" ca="1" si="14"/>
        <v>29.278392655555191</v>
      </c>
      <c r="W208" s="6">
        <f t="shared" ca="1" si="14"/>
        <v>29.402728682470489</v>
      </c>
      <c r="X208" s="6">
        <f t="shared" ca="1" si="14"/>
        <v>29.097813396162206</v>
      </c>
      <c r="Y208" s="6">
        <f t="shared" ca="1" si="13"/>
        <v>28.966286057380586</v>
      </c>
      <c r="Z208" s="6">
        <f t="shared" ca="1" si="13"/>
        <v>29.594602066152468</v>
      </c>
      <c r="AA208" s="6">
        <f t="shared" ca="1" si="13"/>
        <v>29.226321881643347</v>
      </c>
      <c r="AB208" s="6">
        <f t="shared" ca="1" si="15"/>
        <v>28.966286057380586</v>
      </c>
      <c r="AC208" s="6">
        <f t="shared" ca="1" si="16"/>
        <v>4</v>
      </c>
    </row>
    <row r="209" spans="1:29">
      <c r="A209" s="11">
        <v>208</v>
      </c>
      <c r="B209" s="12">
        <v>2</v>
      </c>
      <c r="C209" s="11">
        <v>2</v>
      </c>
      <c r="D209" s="11">
        <v>3</v>
      </c>
      <c r="E209" s="11">
        <v>4</v>
      </c>
      <c r="F209" s="11">
        <v>4</v>
      </c>
      <c r="G209" s="11">
        <v>3</v>
      </c>
      <c r="H209" s="11">
        <v>3</v>
      </c>
      <c r="I209" s="11">
        <v>2</v>
      </c>
      <c r="J209" s="11">
        <v>2</v>
      </c>
      <c r="K209" s="11">
        <v>4</v>
      </c>
      <c r="L209" s="11">
        <v>2</v>
      </c>
      <c r="M209" s="11">
        <v>1</v>
      </c>
      <c r="N209" s="11">
        <v>2</v>
      </c>
      <c r="O209" s="11">
        <v>4</v>
      </c>
      <c r="P209" s="11">
        <v>4</v>
      </c>
      <c r="Q209" s="11">
        <v>3</v>
      </c>
      <c r="R209" s="11">
        <v>4</v>
      </c>
      <c r="S209" s="11">
        <v>3</v>
      </c>
      <c r="T209" s="11">
        <v>3</v>
      </c>
      <c r="U209" s="10">
        <v>3</v>
      </c>
      <c r="V209" s="6">
        <f t="shared" ca="1" si="14"/>
        <v>16.288360560870359</v>
      </c>
      <c r="W209" s="6">
        <f t="shared" ca="1" si="14"/>
        <v>15.643818991864491</v>
      </c>
      <c r="X209" s="6">
        <f t="shared" ca="1" si="14"/>
        <v>16.01190753485789</v>
      </c>
      <c r="Y209" s="6">
        <f t="shared" ca="1" si="13"/>
        <v>15.995939888143431</v>
      </c>
      <c r="Z209" s="6">
        <f t="shared" ca="1" si="13"/>
        <v>15.977118326556365</v>
      </c>
      <c r="AA209" s="6">
        <f t="shared" ca="1" si="13"/>
        <v>16.232826620863687</v>
      </c>
      <c r="AB209" s="6">
        <f t="shared" ca="1" si="15"/>
        <v>15.643818991864491</v>
      </c>
      <c r="AC209" s="6">
        <f t="shared" ca="1" si="16"/>
        <v>2</v>
      </c>
    </row>
    <row r="210" spans="1:29">
      <c r="A210" s="11">
        <v>209</v>
      </c>
      <c r="B210" s="12">
        <v>4</v>
      </c>
      <c r="C210" s="11">
        <v>2</v>
      </c>
      <c r="D210" s="11">
        <v>2</v>
      </c>
      <c r="E210" s="11">
        <v>2</v>
      </c>
      <c r="F210" s="11">
        <v>2</v>
      </c>
      <c r="G210" s="11">
        <v>3</v>
      </c>
      <c r="H210" s="11">
        <v>3</v>
      </c>
      <c r="I210" s="11">
        <v>2</v>
      </c>
      <c r="J210" s="11">
        <v>2</v>
      </c>
      <c r="K210" s="11">
        <v>4</v>
      </c>
      <c r="L210" s="11">
        <v>2</v>
      </c>
      <c r="M210" s="11">
        <v>2</v>
      </c>
      <c r="N210" s="11">
        <v>4</v>
      </c>
      <c r="O210" s="11">
        <v>4</v>
      </c>
      <c r="P210" s="11">
        <v>4</v>
      </c>
      <c r="Q210" s="11">
        <v>3</v>
      </c>
      <c r="R210" s="11">
        <v>2</v>
      </c>
      <c r="S210" s="11">
        <v>2</v>
      </c>
      <c r="T210" s="11">
        <v>4</v>
      </c>
      <c r="U210" s="10">
        <v>4</v>
      </c>
      <c r="V210" s="6">
        <f t="shared" ca="1" si="14"/>
        <v>16.916521863271033</v>
      </c>
      <c r="W210" s="6">
        <f t="shared" ca="1" si="14"/>
        <v>17.147737925917781</v>
      </c>
      <c r="X210" s="6">
        <f t="shared" ca="1" si="14"/>
        <v>16.848242666979232</v>
      </c>
      <c r="Y210" s="6">
        <f t="shared" ca="1" si="13"/>
        <v>16.967069035425261</v>
      </c>
      <c r="Z210" s="6">
        <f t="shared" ca="1" si="13"/>
        <v>17.101388085685358</v>
      </c>
      <c r="AA210" s="6">
        <f t="shared" ca="1" si="13"/>
        <v>17.354984418937686</v>
      </c>
      <c r="AB210" s="6">
        <f t="shared" ca="1" si="15"/>
        <v>16.848242666979232</v>
      </c>
      <c r="AC210" s="6">
        <f t="shared" ca="1" si="16"/>
        <v>3</v>
      </c>
    </row>
    <row r="211" spans="1:29">
      <c r="A211" s="11">
        <v>210</v>
      </c>
      <c r="B211" s="12">
        <v>2</v>
      </c>
      <c r="C211" s="11">
        <v>2</v>
      </c>
      <c r="D211" s="11">
        <v>2</v>
      </c>
      <c r="E211" s="11">
        <v>4</v>
      </c>
      <c r="F211" s="11">
        <v>2</v>
      </c>
      <c r="G211" s="11">
        <v>4</v>
      </c>
      <c r="H211" s="11">
        <v>3</v>
      </c>
      <c r="I211" s="11">
        <v>1</v>
      </c>
      <c r="J211" s="11">
        <v>1</v>
      </c>
      <c r="K211" s="11">
        <v>3</v>
      </c>
      <c r="L211" s="11">
        <v>1</v>
      </c>
      <c r="M211" s="11">
        <v>1</v>
      </c>
      <c r="N211" s="11">
        <v>3</v>
      </c>
      <c r="O211" s="11">
        <v>4</v>
      </c>
      <c r="P211" s="11">
        <v>3</v>
      </c>
      <c r="Q211" s="11">
        <v>4</v>
      </c>
      <c r="R211" s="11">
        <v>1</v>
      </c>
      <c r="S211" s="11">
        <v>2</v>
      </c>
      <c r="T211" s="11">
        <v>3</v>
      </c>
      <c r="U211" s="10">
        <v>1</v>
      </c>
      <c r="V211" s="6">
        <f t="shared" ca="1" si="14"/>
        <v>32.957396101999919</v>
      </c>
      <c r="W211" s="6">
        <f t="shared" ca="1" si="14"/>
        <v>33.209395863444868</v>
      </c>
      <c r="X211" s="6">
        <f t="shared" ca="1" si="14"/>
        <v>32.888643033356971</v>
      </c>
      <c r="Y211" s="6">
        <f t="shared" ca="1" si="13"/>
        <v>32.829201928858545</v>
      </c>
      <c r="Z211" s="6">
        <f t="shared" ca="1" si="13"/>
        <v>33.7963423256355</v>
      </c>
      <c r="AA211" s="6">
        <f t="shared" ca="1" si="13"/>
        <v>33.22455457269168</v>
      </c>
      <c r="AB211" s="6">
        <f t="shared" ca="1" si="15"/>
        <v>32.829201928858545</v>
      </c>
      <c r="AC211" s="6">
        <f t="shared" ca="1" si="16"/>
        <v>4</v>
      </c>
    </row>
    <row r="212" spans="1:29">
      <c r="A212" s="11">
        <v>211</v>
      </c>
      <c r="B212" s="12">
        <v>3</v>
      </c>
      <c r="C212" s="11">
        <v>2</v>
      </c>
      <c r="D212" s="11">
        <v>4</v>
      </c>
      <c r="E212" s="11">
        <v>5</v>
      </c>
      <c r="F212" s="11">
        <v>4</v>
      </c>
      <c r="G212" s="11">
        <v>3</v>
      </c>
      <c r="H212" s="11">
        <v>3</v>
      </c>
      <c r="I212" s="11">
        <v>5</v>
      </c>
      <c r="J212" s="11">
        <v>4</v>
      </c>
      <c r="K212" s="11">
        <v>3</v>
      </c>
      <c r="L212" s="11">
        <v>4</v>
      </c>
      <c r="M212" s="11">
        <v>3</v>
      </c>
      <c r="N212" s="11">
        <v>4</v>
      </c>
      <c r="O212" s="11">
        <v>4</v>
      </c>
      <c r="P212" s="11">
        <v>2</v>
      </c>
      <c r="Q212" s="11">
        <v>2</v>
      </c>
      <c r="R212" s="11">
        <v>3</v>
      </c>
      <c r="S212" s="11">
        <v>1</v>
      </c>
      <c r="T212" s="11">
        <v>4</v>
      </c>
      <c r="U212" s="10">
        <v>5</v>
      </c>
      <c r="V212" s="6">
        <f t="shared" ca="1" si="14"/>
        <v>26.060109214649298</v>
      </c>
      <c r="W212" s="6">
        <f t="shared" ca="1" si="14"/>
        <v>26.040297032523021</v>
      </c>
      <c r="X212" s="6">
        <f t="shared" ca="1" si="14"/>
        <v>26.038380393923969</v>
      </c>
      <c r="Y212" s="6">
        <f t="shared" ca="1" si="13"/>
        <v>26.173874717082192</v>
      </c>
      <c r="Z212" s="6">
        <f t="shared" ca="1" si="13"/>
        <v>25.853515192330207</v>
      </c>
      <c r="AA212" s="6">
        <f t="shared" ca="1" si="13"/>
        <v>26.122027757097051</v>
      </c>
      <c r="AB212" s="6">
        <f t="shared" ca="1" si="15"/>
        <v>25.853515192330207</v>
      </c>
      <c r="AC212" s="6">
        <f t="shared" ca="1" si="16"/>
        <v>5</v>
      </c>
    </row>
    <row r="213" spans="1:29">
      <c r="A213" s="11">
        <v>212</v>
      </c>
      <c r="B213" s="12">
        <v>3</v>
      </c>
      <c r="C213" s="11">
        <v>2</v>
      </c>
      <c r="D213" s="11">
        <v>3</v>
      </c>
      <c r="E213" s="11">
        <v>3</v>
      </c>
      <c r="F213" s="11">
        <v>2</v>
      </c>
      <c r="G213" s="11">
        <v>3</v>
      </c>
      <c r="H213" s="11">
        <v>3</v>
      </c>
      <c r="I213" s="11">
        <v>2</v>
      </c>
      <c r="J213" s="11">
        <v>1</v>
      </c>
      <c r="K213" s="11">
        <v>1</v>
      </c>
      <c r="L213" s="11">
        <v>2</v>
      </c>
      <c r="M213" s="11">
        <v>3</v>
      </c>
      <c r="N213" s="11">
        <v>3</v>
      </c>
      <c r="O213" s="11">
        <v>4</v>
      </c>
      <c r="P213" s="11">
        <v>3</v>
      </c>
      <c r="Q213" s="11">
        <v>3</v>
      </c>
      <c r="R213" s="11">
        <v>3</v>
      </c>
      <c r="S213" s="11">
        <v>3</v>
      </c>
      <c r="T213" s="11">
        <v>3</v>
      </c>
      <c r="U213" s="10">
        <v>2</v>
      </c>
      <c r="V213" s="6">
        <f t="shared" ca="1" si="14"/>
        <v>14.150001486250087</v>
      </c>
      <c r="W213" s="6">
        <f t="shared" ca="1" si="14"/>
        <v>13.806473358772694</v>
      </c>
      <c r="X213" s="6">
        <f t="shared" ca="1" si="14"/>
        <v>13.792864328949271</v>
      </c>
      <c r="Y213" s="6">
        <f t="shared" ca="1" si="13"/>
        <v>13.754851221712501</v>
      </c>
      <c r="Z213" s="6">
        <f t="shared" ca="1" si="13"/>
        <v>14.434781904098074</v>
      </c>
      <c r="AA213" s="6">
        <f t="shared" ca="1" si="13"/>
        <v>14.391561849115615</v>
      </c>
      <c r="AB213" s="6">
        <f t="shared" ca="1" si="15"/>
        <v>13.754851221712501</v>
      </c>
      <c r="AC213" s="6">
        <f t="shared" ca="1" si="16"/>
        <v>4</v>
      </c>
    </row>
    <row r="214" spans="1:29">
      <c r="A214" s="11">
        <v>213</v>
      </c>
      <c r="B214" s="12">
        <v>5</v>
      </c>
      <c r="C214" s="11">
        <v>3</v>
      </c>
      <c r="D214" s="11">
        <v>2</v>
      </c>
      <c r="E214" s="11">
        <v>3</v>
      </c>
      <c r="F214" s="11">
        <v>4</v>
      </c>
      <c r="G214" s="11">
        <v>2</v>
      </c>
      <c r="H214" s="11">
        <v>3</v>
      </c>
      <c r="I214" s="11">
        <v>4</v>
      </c>
      <c r="J214" s="11">
        <v>1</v>
      </c>
      <c r="K214" s="11">
        <v>3</v>
      </c>
      <c r="L214" s="11">
        <v>2</v>
      </c>
      <c r="M214" s="11">
        <v>1</v>
      </c>
      <c r="N214" s="11">
        <v>1</v>
      </c>
      <c r="O214" s="11">
        <v>5</v>
      </c>
      <c r="P214" s="11">
        <v>4</v>
      </c>
      <c r="Q214" s="11">
        <v>3</v>
      </c>
      <c r="R214" s="11">
        <v>2</v>
      </c>
      <c r="S214" s="11">
        <v>4</v>
      </c>
      <c r="T214" s="11">
        <v>5</v>
      </c>
      <c r="U214" s="10">
        <v>5</v>
      </c>
      <c r="V214" s="6">
        <f t="shared" ca="1" si="14"/>
        <v>36.015168302791679</v>
      </c>
      <c r="W214" s="6">
        <f t="shared" ca="1" si="14"/>
        <v>35.660940462459322</v>
      </c>
      <c r="X214" s="6">
        <f t="shared" ca="1" si="14"/>
        <v>35.611602287867633</v>
      </c>
      <c r="Y214" s="6">
        <f t="shared" ca="1" si="13"/>
        <v>35.509468643850752</v>
      </c>
      <c r="Z214" s="6">
        <f t="shared" ca="1" si="13"/>
        <v>35.934891423696257</v>
      </c>
      <c r="AA214" s="6">
        <f t="shared" ca="1" si="13"/>
        <v>36.801300400543447</v>
      </c>
      <c r="AB214" s="6">
        <f t="shared" ca="1" si="15"/>
        <v>35.509468643850752</v>
      </c>
      <c r="AC214" s="6">
        <f t="shared" ca="1" si="16"/>
        <v>4</v>
      </c>
    </row>
    <row r="215" spans="1:29">
      <c r="A215" s="11">
        <v>214</v>
      </c>
      <c r="B215" s="12">
        <v>3</v>
      </c>
      <c r="C215" s="11">
        <v>2</v>
      </c>
      <c r="D215" s="11">
        <v>1</v>
      </c>
      <c r="E215" s="11">
        <v>2</v>
      </c>
      <c r="F215" s="11">
        <v>3</v>
      </c>
      <c r="G215" s="11">
        <v>3</v>
      </c>
      <c r="H215" s="11">
        <v>3</v>
      </c>
      <c r="I215" s="11">
        <v>3</v>
      </c>
      <c r="J215" s="11">
        <v>1</v>
      </c>
      <c r="K215" s="11">
        <v>2</v>
      </c>
      <c r="L215" s="11">
        <v>2</v>
      </c>
      <c r="M215" s="11">
        <v>1</v>
      </c>
      <c r="N215" s="11">
        <v>3</v>
      </c>
      <c r="O215" s="11">
        <v>4</v>
      </c>
      <c r="P215" s="11">
        <v>3</v>
      </c>
      <c r="Q215" s="11">
        <v>2</v>
      </c>
      <c r="R215" s="11">
        <v>2</v>
      </c>
      <c r="S215" s="11">
        <v>1</v>
      </c>
      <c r="T215" s="11">
        <v>1</v>
      </c>
      <c r="U215" s="10">
        <v>1</v>
      </c>
      <c r="V215" s="6">
        <f t="shared" ca="1" si="14"/>
        <v>31.14497339861105</v>
      </c>
      <c r="W215" s="6">
        <f t="shared" ca="1" si="14"/>
        <v>30.972734261522884</v>
      </c>
      <c r="X215" s="6">
        <f t="shared" ca="1" si="14"/>
        <v>31.215536211120806</v>
      </c>
      <c r="Y215" s="6">
        <f t="shared" ca="1" si="13"/>
        <v>30.684122519964099</v>
      </c>
      <c r="Z215" s="6">
        <f t="shared" ca="1" si="13"/>
        <v>31.292458661356271</v>
      </c>
      <c r="AA215" s="6">
        <f t="shared" ca="1" si="13"/>
        <v>31.047545050170893</v>
      </c>
      <c r="AB215" s="6">
        <f t="shared" ca="1" si="15"/>
        <v>30.684122519964099</v>
      </c>
      <c r="AC215" s="6">
        <f t="shared" ca="1" si="16"/>
        <v>4</v>
      </c>
    </row>
    <row r="216" spans="1:29">
      <c r="A216" s="11">
        <v>215</v>
      </c>
      <c r="B216" s="12">
        <v>1</v>
      </c>
      <c r="C216" s="11">
        <v>1</v>
      </c>
      <c r="D216" s="11">
        <v>4</v>
      </c>
      <c r="E216" s="11">
        <v>1</v>
      </c>
      <c r="F216" s="11">
        <v>1</v>
      </c>
      <c r="G216" s="11">
        <v>3</v>
      </c>
      <c r="H216" s="11">
        <v>3</v>
      </c>
      <c r="I216" s="11">
        <v>1</v>
      </c>
      <c r="J216" s="11">
        <v>1</v>
      </c>
      <c r="K216" s="11">
        <v>2</v>
      </c>
      <c r="L216" s="11">
        <v>1</v>
      </c>
      <c r="M216" s="11">
        <v>4</v>
      </c>
      <c r="N216" s="11">
        <v>3</v>
      </c>
      <c r="O216" s="11">
        <v>2</v>
      </c>
      <c r="P216" s="11">
        <v>4</v>
      </c>
      <c r="Q216" s="11">
        <v>2</v>
      </c>
      <c r="R216" s="11">
        <v>5</v>
      </c>
      <c r="S216" s="11">
        <v>1</v>
      </c>
      <c r="T216" s="11">
        <v>4</v>
      </c>
      <c r="U216" s="10">
        <v>2</v>
      </c>
      <c r="V216" s="6">
        <f t="shared" ca="1" si="14"/>
        <v>43.903297906389966</v>
      </c>
      <c r="W216" s="6">
        <f t="shared" ca="1" si="14"/>
        <v>43.511424579570466</v>
      </c>
      <c r="X216" s="6">
        <f t="shared" ca="1" si="14"/>
        <v>43.895958656634733</v>
      </c>
      <c r="Y216" s="6">
        <f t="shared" ca="1" si="13"/>
        <v>43.866695606411383</v>
      </c>
      <c r="Z216" s="6">
        <f t="shared" ca="1" si="13"/>
        <v>44.669339018760297</v>
      </c>
      <c r="AA216" s="6">
        <f t="shared" ca="1" si="13"/>
        <v>43.922605305764563</v>
      </c>
      <c r="AB216" s="6">
        <f t="shared" ca="1" si="15"/>
        <v>43.511424579570466</v>
      </c>
      <c r="AC216" s="6">
        <f t="shared" ca="1" si="16"/>
        <v>2</v>
      </c>
    </row>
    <row r="217" spans="1:29">
      <c r="A217" s="11">
        <v>216</v>
      </c>
      <c r="B217" s="12">
        <v>4</v>
      </c>
      <c r="C217" s="11">
        <v>4</v>
      </c>
      <c r="D217" s="11">
        <v>4</v>
      </c>
      <c r="E217" s="11">
        <v>3</v>
      </c>
      <c r="F217" s="11">
        <v>3</v>
      </c>
      <c r="G217" s="11">
        <v>2</v>
      </c>
      <c r="H217" s="11">
        <v>4</v>
      </c>
      <c r="I217" s="11">
        <v>3</v>
      </c>
      <c r="J217" s="11">
        <v>2</v>
      </c>
      <c r="K217" s="11">
        <v>2</v>
      </c>
      <c r="L217" s="11">
        <v>3</v>
      </c>
      <c r="M217" s="11">
        <v>2</v>
      </c>
      <c r="N217" s="11">
        <v>3</v>
      </c>
      <c r="O217" s="11">
        <v>4</v>
      </c>
      <c r="P217" s="11">
        <v>3</v>
      </c>
      <c r="Q217" s="11">
        <v>4</v>
      </c>
      <c r="R217" s="11">
        <v>3</v>
      </c>
      <c r="S217" s="11">
        <v>2</v>
      </c>
      <c r="T217" s="11">
        <v>3</v>
      </c>
      <c r="U217" s="10">
        <v>3</v>
      </c>
      <c r="V217" s="6">
        <f t="shared" ca="1" si="14"/>
        <v>11.000214373245324</v>
      </c>
      <c r="W217" s="6">
        <f t="shared" ca="1" si="14"/>
        <v>11.103727867710655</v>
      </c>
      <c r="X217" s="6">
        <f t="shared" ca="1" si="14"/>
        <v>10.874567087306497</v>
      </c>
      <c r="Y217" s="6">
        <f t="shared" ca="1" si="13"/>
        <v>10.87101300078338</v>
      </c>
      <c r="Z217" s="6">
        <f t="shared" ca="1" si="13"/>
        <v>10.912974368341819</v>
      </c>
      <c r="AA217" s="6">
        <f t="shared" ca="1" si="13"/>
        <v>11.244300752327366</v>
      </c>
      <c r="AB217" s="6">
        <f t="shared" ca="1" si="15"/>
        <v>10.87101300078338</v>
      </c>
      <c r="AC217" s="6">
        <f t="shared" ca="1" si="16"/>
        <v>4</v>
      </c>
    </row>
    <row r="218" spans="1:29">
      <c r="A218" s="11">
        <v>217</v>
      </c>
      <c r="B218" s="12">
        <v>3</v>
      </c>
      <c r="C218" s="11">
        <v>4</v>
      </c>
      <c r="D218" s="11">
        <v>2</v>
      </c>
      <c r="E218" s="11">
        <v>1</v>
      </c>
      <c r="F218" s="11">
        <v>5</v>
      </c>
      <c r="G218" s="11">
        <v>4</v>
      </c>
      <c r="H218" s="11">
        <v>2</v>
      </c>
      <c r="I218" s="11">
        <v>2</v>
      </c>
      <c r="J218" s="11">
        <v>2</v>
      </c>
      <c r="K218" s="11">
        <v>3</v>
      </c>
      <c r="L218" s="11">
        <v>2</v>
      </c>
      <c r="M218" s="11">
        <v>3</v>
      </c>
      <c r="N218" s="11">
        <v>4</v>
      </c>
      <c r="O218" s="11">
        <v>4</v>
      </c>
      <c r="P218" s="11">
        <v>4</v>
      </c>
      <c r="Q218" s="11">
        <v>2</v>
      </c>
      <c r="R218" s="11">
        <v>3</v>
      </c>
      <c r="S218" s="11">
        <v>5</v>
      </c>
      <c r="T218" s="11">
        <v>1</v>
      </c>
      <c r="U218" s="10">
        <v>5</v>
      </c>
      <c r="V218" s="6">
        <f t="shared" ca="1" si="14"/>
        <v>30.791020225223306</v>
      </c>
      <c r="W218" s="6">
        <f t="shared" ca="1" si="14"/>
        <v>30.632859139648957</v>
      </c>
      <c r="X218" s="6">
        <f t="shared" ca="1" si="14"/>
        <v>30.846930293635172</v>
      </c>
      <c r="Y218" s="6">
        <f t="shared" ca="1" si="13"/>
        <v>30.970277794366076</v>
      </c>
      <c r="Z218" s="6">
        <f t="shared" ca="1" si="13"/>
        <v>30.592432964795151</v>
      </c>
      <c r="AA218" s="6">
        <f t="shared" ca="1" si="13"/>
        <v>31.573495805256222</v>
      </c>
      <c r="AB218" s="6">
        <f t="shared" ca="1" si="15"/>
        <v>30.592432964795151</v>
      </c>
      <c r="AC218" s="6">
        <f t="shared" ca="1" si="16"/>
        <v>5</v>
      </c>
    </row>
    <row r="219" spans="1:29">
      <c r="A219" s="11">
        <v>218</v>
      </c>
      <c r="B219" s="12">
        <v>3</v>
      </c>
      <c r="C219" s="11">
        <v>2</v>
      </c>
      <c r="D219" s="11">
        <v>2</v>
      </c>
      <c r="E219" s="11">
        <v>2</v>
      </c>
      <c r="F219" s="11">
        <v>2</v>
      </c>
      <c r="G219" s="11">
        <v>3</v>
      </c>
      <c r="H219" s="11">
        <v>5</v>
      </c>
      <c r="I219" s="11">
        <v>1</v>
      </c>
      <c r="J219" s="11">
        <v>1</v>
      </c>
      <c r="K219" s="11">
        <v>3</v>
      </c>
      <c r="L219" s="11">
        <v>3</v>
      </c>
      <c r="M219" s="11">
        <v>2</v>
      </c>
      <c r="N219" s="11">
        <v>2</v>
      </c>
      <c r="O219" s="11">
        <v>5</v>
      </c>
      <c r="P219" s="11">
        <v>4</v>
      </c>
      <c r="Q219" s="11">
        <v>2</v>
      </c>
      <c r="R219" s="11">
        <v>2</v>
      </c>
      <c r="S219" s="11">
        <v>2</v>
      </c>
      <c r="T219" s="11">
        <v>2</v>
      </c>
      <c r="U219" s="10">
        <v>3</v>
      </c>
      <c r="V219" s="6">
        <f t="shared" ca="1" si="14"/>
        <v>27.301097653536839</v>
      </c>
      <c r="W219" s="6">
        <f t="shared" ca="1" si="14"/>
        <v>26.746304413988565</v>
      </c>
      <c r="X219" s="6">
        <f t="shared" ca="1" si="14"/>
        <v>27.071755382539163</v>
      </c>
      <c r="Y219" s="6">
        <f t="shared" ca="1" si="13"/>
        <v>26.902389943855475</v>
      </c>
      <c r="Z219" s="6">
        <f t="shared" ca="1" si="13"/>
        <v>26.974726779780813</v>
      </c>
      <c r="AA219" s="6">
        <f t="shared" ca="1" si="13"/>
        <v>27.083766909048702</v>
      </c>
      <c r="AB219" s="6">
        <f t="shared" ca="1" si="15"/>
        <v>26.746304413988565</v>
      </c>
      <c r="AC219" s="6">
        <f t="shared" ca="1" si="16"/>
        <v>2</v>
      </c>
    </row>
    <row r="220" spans="1:29">
      <c r="A220" s="11">
        <v>219</v>
      </c>
      <c r="B220" s="12">
        <v>2</v>
      </c>
      <c r="C220" s="11">
        <v>3</v>
      </c>
      <c r="D220" s="11">
        <v>4</v>
      </c>
      <c r="E220" s="11">
        <v>4</v>
      </c>
      <c r="F220" s="11">
        <v>5</v>
      </c>
      <c r="G220" s="11">
        <v>4</v>
      </c>
      <c r="H220" s="11">
        <v>4</v>
      </c>
      <c r="I220" s="11">
        <v>3</v>
      </c>
      <c r="J220" s="11">
        <v>4</v>
      </c>
      <c r="K220" s="11">
        <v>3</v>
      </c>
      <c r="L220" s="11">
        <v>4</v>
      </c>
      <c r="M220" s="11">
        <v>1</v>
      </c>
      <c r="N220" s="11">
        <v>5</v>
      </c>
      <c r="O220" s="11">
        <v>3</v>
      </c>
      <c r="P220" s="11">
        <v>5</v>
      </c>
      <c r="Q220" s="11">
        <v>3</v>
      </c>
      <c r="R220" s="11">
        <v>1</v>
      </c>
      <c r="S220" s="11">
        <v>3</v>
      </c>
      <c r="T220" s="11">
        <v>4</v>
      </c>
      <c r="U220" s="10">
        <v>5</v>
      </c>
      <c r="V220" s="6">
        <f t="shared" ca="1" si="14"/>
        <v>31.966073745906019</v>
      </c>
      <c r="W220" s="6">
        <f t="shared" ca="1" si="14"/>
        <v>32.058225781609657</v>
      </c>
      <c r="X220" s="6">
        <f t="shared" ca="1" si="14"/>
        <v>31.995544430953643</v>
      </c>
      <c r="Y220" s="6">
        <f t="shared" ca="1" si="13"/>
        <v>32.294145261597571</v>
      </c>
      <c r="Z220" s="6">
        <f t="shared" ca="1" si="13"/>
        <v>31.801288313927795</v>
      </c>
      <c r="AA220" s="6">
        <f t="shared" ca="1" si="13"/>
        <v>32.255210336243138</v>
      </c>
      <c r="AB220" s="6">
        <f t="shared" ca="1" si="15"/>
        <v>31.801288313927795</v>
      </c>
      <c r="AC220" s="6">
        <f t="shared" ca="1" si="16"/>
        <v>5</v>
      </c>
    </row>
    <row r="221" spans="1:29">
      <c r="A221" s="11">
        <v>220</v>
      </c>
      <c r="B221" s="12">
        <v>2</v>
      </c>
      <c r="C221" s="11">
        <v>1</v>
      </c>
      <c r="D221" s="11">
        <v>1</v>
      </c>
      <c r="E221" s="11">
        <v>3</v>
      </c>
      <c r="F221" s="11">
        <v>2</v>
      </c>
      <c r="G221" s="11">
        <v>3</v>
      </c>
      <c r="H221" s="11">
        <v>3</v>
      </c>
      <c r="I221" s="11">
        <v>4</v>
      </c>
      <c r="J221" s="11">
        <v>1</v>
      </c>
      <c r="K221" s="11">
        <v>3</v>
      </c>
      <c r="L221" s="11">
        <v>1</v>
      </c>
      <c r="M221" s="11">
        <v>2</v>
      </c>
      <c r="N221" s="11">
        <v>3</v>
      </c>
      <c r="O221" s="11">
        <v>4</v>
      </c>
      <c r="P221" s="11">
        <v>3</v>
      </c>
      <c r="Q221" s="11">
        <v>1</v>
      </c>
      <c r="R221" s="11">
        <v>3</v>
      </c>
      <c r="S221" s="11">
        <v>1</v>
      </c>
      <c r="T221" s="11">
        <v>3</v>
      </c>
      <c r="U221" s="10">
        <v>1</v>
      </c>
      <c r="V221" s="6">
        <f t="shared" ca="1" si="14"/>
        <v>33.24532571810731</v>
      </c>
      <c r="W221" s="6">
        <f t="shared" ca="1" si="14"/>
        <v>32.685737892024292</v>
      </c>
      <c r="X221" s="6">
        <f t="shared" ca="1" si="14"/>
        <v>33.158641961045127</v>
      </c>
      <c r="Y221" s="6">
        <f t="shared" ca="1" si="13"/>
        <v>32.714613979744271</v>
      </c>
      <c r="Z221" s="6">
        <f t="shared" ca="1" si="13"/>
        <v>33.463292020336674</v>
      </c>
      <c r="AA221" s="6">
        <f t="shared" ca="1" si="13"/>
        <v>32.957196567467946</v>
      </c>
      <c r="AB221" s="6">
        <f t="shared" ca="1" si="15"/>
        <v>32.685737892024292</v>
      </c>
      <c r="AC221" s="6">
        <f t="shared" ca="1" si="16"/>
        <v>2</v>
      </c>
    </row>
    <row r="222" spans="1:29">
      <c r="A222" s="11">
        <v>221</v>
      </c>
      <c r="B222" s="12">
        <v>1</v>
      </c>
      <c r="C222" s="11">
        <v>1</v>
      </c>
      <c r="D222" s="11">
        <v>1</v>
      </c>
      <c r="E222" s="11">
        <v>2</v>
      </c>
      <c r="F222" s="11">
        <v>4</v>
      </c>
      <c r="G222" s="11">
        <v>3</v>
      </c>
      <c r="H222" s="11">
        <v>3</v>
      </c>
      <c r="I222" s="11">
        <v>2</v>
      </c>
      <c r="J222" s="11">
        <v>1</v>
      </c>
      <c r="K222" s="11">
        <v>3</v>
      </c>
      <c r="L222" s="11">
        <v>1</v>
      </c>
      <c r="M222" s="11">
        <v>2</v>
      </c>
      <c r="N222" s="11">
        <v>3</v>
      </c>
      <c r="O222" s="11">
        <v>4</v>
      </c>
      <c r="P222" s="11">
        <v>5</v>
      </c>
      <c r="Q222" s="11">
        <v>4</v>
      </c>
      <c r="R222" s="11">
        <v>3</v>
      </c>
      <c r="S222" s="11">
        <v>1</v>
      </c>
      <c r="T222" s="11">
        <v>3</v>
      </c>
      <c r="U222" s="10">
        <v>2</v>
      </c>
      <c r="V222" s="6">
        <f t="shared" ca="1" si="14"/>
        <v>34.835628254216886</v>
      </c>
      <c r="W222" s="6">
        <f t="shared" ca="1" si="14"/>
        <v>34.9045912028418</v>
      </c>
      <c r="X222" s="6">
        <f t="shared" ca="1" si="14"/>
        <v>35.418489722812282</v>
      </c>
      <c r="Y222" s="6">
        <f t="shared" ca="1" si="13"/>
        <v>34.683531457983243</v>
      </c>
      <c r="Z222" s="6">
        <f t="shared" ca="1" si="13"/>
        <v>35.446332367197677</v>
      </c>
      <c r="AA222" s="6">
        <f t="shared" ca="1" si="13"/>
        <v>35.133729766809978</v>
      </c>
      <c r="AB222" s="6">
        <f t="shared" ca="1" si="15"/>
        <v>34.683531457983243</v>
      </c>
      <c r="AC222" s="6">
        <f t="shared" ca="1" si="16"/>
        <v>4</v>
      </c>
    </row>
    <row r="223" spans="1:29">
      <c r="A223" s="11">
        <v>222</v>
      </c>
      <c r="B223" s="12">
        <v>5</v>
      </c>
      <c r="C223" s="11">
        <v>2</v>
      </c>
      <c r="D223" s="11">
        <v>2</v>
      </c>
      <c r="E223" s="11">
        <v>2</v>
      </c>
      <c r="F223" s="11">
        <v>3</v>
      </c>
      <c r="G223" s="11">
        <v>4</v>
      </c>
      <c r="H223" s="11">
        <v>4</v>
      </c>
      <c r="I223" s="11">
        <v>1</v>
      </c>
      <c r="J223" s="11">
        <v>1</v>
      </c>
      <c r="K223" s="11">
        <v>4</v>
      </c>
      <c r="L223" s="11">
        <v>2</v>
      </c>
      <c r="M223" s="11">
        <v>1</v>
      </c>
      <c r="N223" s="11">
        <v>2</v>
      </c>
      <c r="O223" s="11">
        <v>4</v>
      </c>
      <c r="P223" s="11">
        <v>4</v>
      </c>
      <c r="Q223" s="11">
        <v>1</v>
      </c>
      <c r="R223" s="11">
        <v>1</v>
      </c>
      <c r="S223" s="11">
        <v>3</v>
      </c>
      <c r="T223" s="11">
        <v>2</v>
      </c>
      <c r="U223" s="10">
        <v>3</v>
      </c>
      <c r="V223" s="6">
        <f t="shared" ca="1" si="14"/>
        <v>35.235056043552291</v>
      </c>
      <c r="W223" s="6">
        <f t="shared" ca="1" si="14"/>
        <v>34.660031736645401</v>
      </c>
      <c r="X223" s="6">
        <f t="shared" ca="1" si="14"/>
        <v>34.794242752907323</v>
      </c>
      <c r="Y223" s="6">
        <f t="shared" ca="1" si="13"/>
        <v>34.965639189918441</v>
      </c>
      <c r="Z223" s="6">
        <f t="shared" ca="1" si="13"/>
        <v>34.933664206204703</v>
      </c>
      <c r="AA223" s="6">
        <f t="shared" ca="1" si="13"/>
        <v>35.356326949120501</v>
      </c>
      <c r="AB223" s="6">
        <f t="shared" ca="1" si="15"/>
        <v>34.660031736645401</v>
      </c>
      <c r="AC223" s="6">
        <f t="shared" ca="1" si="16"/>
        <v>2</v>
      </c>
    </row>
    <row r="224" spans="1:29">
      <c r="A224" s="11">
        <v>223</v>
      </c>
      <c r="B224" s="12">
        <v>4</v>
      </c>
      <c r="C224" s="11">
        <v>3</v>
      </c>
      <c r="D224" s="11">
        <v>2</v>
      </c>
      <c r="E224" s="11">
        <v>3</v>
      </c>
      <c r="F224" s="11">
        <v>4</v>
      </c>
      <c r="G224" s="11">
        <v>2</v>
      </c>
      <c r="H224" s="11">
        <v>3</v>
      </c>
      <c r="I224" s="11">
        <v>3</v>
      </c>
      <c r="J224" s="11">
        <v>4</v>
      </c>
      <c r="K224" s="11">
        <v>2</v>
      </c>
      <c r="L224" s="11">
        <v>3</v>
      </c>
      <c r="M224" s="11">
        <v>4</v>
      </c>
      <c r="N224" s="11">
        <v>2</v>
      </c>
      <c r="O224" s="11">
        <v>3</v>
      </c>
      <c r="P224" s="11">
        <v>4</v>
      </c>
      <c r="Q224" s="11">
        <v>3</v>
      </c>
      <c r="R224" s="11">
        <v>3</v>
      </c>
      <c r="S224" s="11">
        <v>4</v>
      </c>
      <c r="T224" s="11">
        <v>2</v>
      </c>
      <c r="U224" s="10">
        <v>3</v>
      </c>
      <c r="V224" s="6">
        <f t="shared" ca="1" si="14"/>
        <v>11.132735094314443</v>
      </c>
      <c r="W224" s="6">
        <f t="shared" ca="1" si="14"/>
        <v>11.007804075273338</v>
      </c>
      <c r="X224" s="6">
        <f t="shared" ca="1" si="14"/>
        <v>11.297517054820487</v>
      </c>
      <c r="Y224" s="6">
        <f t="shared" ca="1" si="13"/>
        <v>11.063189977834185</v>
      </c>
      <c r="Z224" s="6">
        <f t="shared" ca="1" si="13"/>
        <v>10.81113585747816</v>
      </c>
      <c r="AA224" s="6">
        <f t="shared" ca="1" si="13"/>
        <v>10.996393334186102</v>
      </c>
      <c r="AB224" s="6">
        <f t="shared" ca="1" si="15"/>
        <v>10.81113585747816</v>
      </c>
      <c r="AC224" s="6">
        <f t="shared" ca="1" si="16"/>
        <v>5</v>
      </c>
    </row>
    <row r="225" spans="1:29">
      <c r="A225" s="11">
        <v>224</v>
      </c>
      <c r="B225" s="12">
        <v>3</v>
      </c>
      <c r="C225" s="11">
        <v>2</v>
      </c>
      <c r="D225" s="11">
        <v>2</v>
      </c>
      <c r="E225" s="11">
        <v>2</v>
      </c>
      <c r="F225" s="11">
        <v>3</v>
      </c>
      <c r="G225" s="11">
        <v>4</v>
      </c>
      <c r="H225" s="11">
        <v>2</v>
      </c>
      <c r="I225" s="11">
        <v>2</v>
      </c>
      <c r="J225" s="11">
        <v>1</v>
      </c>
      <c r="K225" s="11">
        <v>4</v>
      </c>
      <c r="L225" s="11">
        <v>2</v>
      </c>
      <c r="M225" s="11">
        <v>2</v>
      </c>
      <c r="N225" s="11">
        <v>2</v>
      </c>
      <c r="O225" s="11">
        <v>1</v>
      </c>
      <c r="P225" s="11">
        <v>4</v>
      </c>
      <c r="Q225" s="11">
        <v>2</v>
      </c>
      <c r="R225" s="11">
        <v>2</v>
      </c>
      <c r="S225" s="11">
        <v>2</v>
      </c>
      <c r="T225" s="11">
        <v>3</v>
      </c>
      <c r="U225" s="10">
        <v>2</v>
      </c>
      <c r="V225" s="6">
        <f t="shared" ca="1" si="14"/>
        <v>22.760790820841432</v>
      </c>
      <c r="W225" s="6">
        <f t="shared" ca="1" si="14"/>
        <v>22.842222380707174</v>
      </c>
      <c r="X225" s="6">
        <f t="shared" ca="1" si="14"/>
        <v>22.921888189889572</v>
      </c>
      <c r="Y225" s="6">
        <f t="shared" ca="1" si="13"/>
        <v>22.827460785068297</v>
      </c>
      <c r="Z225" s="6">
        <f t="shared" ca="1" si="13"/>
        <v>23.47684965853734</v>
      </c>
      <c r="AA225" s="6">
        <f t="shared" ca="1" si="13"/>
        <v>22.91519260996235</v>
      </c>
      <c r="AB225" s="6">
        <f t="shared" ca="1" si="15"/>
        <v>22.760790820841432</v>
      </c>
      <c r="AC225" s="6">
        <f t="shared" ca="1" si="16"/>
        <v>1</v>
      </c>
    </row>
    <row r="226" spans="1:29">
      <c r="A226" s="11">
        <v>225</v>
      </c>
      <c r="B226" s="12">
        <v>2</v>
      </c>
      <c r="C226" s="11">
        <v>2</v>
      </c>
      <c r="D226" s="11">
        <v>2</v>
      </c>
      <c r="E226" s="11">
        <v>2</v>
      </c>
      <c r="F226" s="11">
        <v>2</v>
      </c>
      <c r="G226" s="11">
        <v>5</v>
      </c>
      <c r="H226" s="11">
        <v>2</v>
      </c>
      <c r="I226" s="11">
        <v>2</v>
      </c>
      <c r="J226" s="11">
        <v>2</v>
      </c>
      <c r="K226" s="11">
        <v>2</v>
      </c>
      <c r="L226" s="11">
        <v>2</v>
      </c>
      <c r="M226" s="11">
        <v>2</v>
      </c>
      <c r="N226" s="11">
        <v>2</v>
      </c>
      <c r="O226" s="11">
        <v>5</v>
      </c>
      <c r="P226" s="11">
        <v>5</v>
      </c>
      <c r="Q226" s="11">
        <v>2</v>
      </c>
      <c r="R226" s="11">
        <v>5</v>
      </c>
      <c r="S226" s="11">
        <v>2</v>
      </c>
      <c r="T226" s="11">
        <v>5</v>
      </c>
      <c r="U226" s="10">
        <v>2</v>
      </c>
      <c r="V226" s="6">
        <f t="shared" ca="1" si="14"/>
        <v>35.28349604328276</v>
      </c>
      <c r="W226" s="6">
        <f t="shared" ca="1" si="14"/>
        <v>34.643948486513189</v>
      </c>
      <c r="X226" s="6">
        <f t="shared" ca="1" si="14"/>
        <v>34.832809298362513</v>
      </c>
      <c r="Y226" s="6">
        <f t="shared" ca="1" si="13"/>
        <v>34.749742207801063</v>
      </c>
      <c r="Z226" s="6">
        <f t="shared" ca="1" si="13"/>
        <v>35.44671689155733</v>
      </c>
      <c r="AA226" s="6">
        <f t="shared" ca="1" si="13"/>
        <v>35.477067156426287</v>
      </c>
      <c r="AB226" s="6">
        <f t="shared" ca="1" si="15"/>
        <v>34.643948486513189</v>
      </c>
      <c r="AC226" s="6">
        <f t="shared" ca="1" si="16"/>
        <v>2</v>
      </c>
    </row>
    <row r="227" spans="1:29">
      <c r="A227" s="11">
        <v>226</v>
      </c>
      <c r="B227" s="12">
        <v>4</v>
      </c>
      <c r="C227" s="11">
        <v>2</v>
      </c>
      <c r="D227" s="11">
        <v>2</v>
      </c>
      <c r="E227" s="11">
        <v>1</v>
      </c>
      <c r="F227" s="11">
        <v>4</v>
      </c>
      <c r="G227" s="11">
        <v>3</v>
      </c>
      <c r="H227" s="11">
        <v>3</v>
      </c>
      <c r="I227" s="11">
        <v>2</v>
      </c>
      <c r="J227" s="11">
        <v>2</v>
      </c>
      <c r="K227" s="11">
        <v>3</v>
      </c>
      <c r="L227" s="11">
        <v>2</v>
      </c>
      <c r="M227" s="11">
        <v>2</v>
      </c>
      <c r="N227" s="11">
        <v>2</v>
      </c>
      <c r="O227" s="11">
        <v>4</v>
      </c>
      <c r="P227" s="11">
        <v>3</v>
      </c>
      <c r="Q227" s="11">
        <v>2</v>
      </c>
      <c r="R227" s="11">
        <v>3</v>
      </c>
      <c r="S227" s="11">
        <v>5</v>
      </c>
      <c r="T227" s="11">
        <v>3</v>
      </c>
      <c r="U227" s="10">
        <v>5</v>
      </c>
      <c r="V227" s="6">
        <f t="shared" ca="1" si="14"/>
        <v>23.078330723641834</v>
      </c>
      <c r="W227" s="6">
        <f t="shared" ca="1" si="14"/>
        <v>22.502231652106502</v>
      </c>
      <c r="X227" s="6">
        <f t="shared" ca="1" si="14"/>
        <v>22.736623795214971</v>
      </c>
      <c r="Y227" s="6">
        <f t="shared" ca="1" si="13"/>
        <v>22.74535542086231</v>
      </c>
      <c r="Z227" s="6">
        <f t="shared" ca="1" si="13"/>
        <v>22.822020521567989</v>
      </c>
      <c r="AA227" s="6">
        <f t="shared" ca="1" si="13"/>
        <v>23.680372769982881</v>
      </c>
      <c r="AB227" s="6">
        <f t="shared" ca="1" si="15"/>
        <v>22.502231652106502</v>
      </c>
      <c r="AC227" s="6">
        <f t="shared" ca="1" si="16"/>
        <v>2</v>
      </c>
    </row>
    <row r="228" spans="1:29">
      <c r="A228" s="11">
        <v>227</v>
      </c>
      <c r="B228" s="12">
        <v>3</v>
      </c>
      <c r="C228" s="11">
        <v>2</v>
      </c>
      <c r="D228" s="11">
        <v>1</v>
      </c>
      <c r="E228" s="11">
        <v>4</v>
      </c>
      <c r="F228" s="11">
        <v>3</v>
      </c>
      <c r="G228" s="11">
        <v>4</v>
      </c>
      <c r="H228" s="11">
        <v>2</v>
      </c>
      <c r="I228" s="11">
        <v>2</v>
      </c>
      <c r="J228" s="11">
        <v>2</v>
      </c>
      <c r="K228" s="11">
        <v>2</v>
      </c>
      <c r="L228" s="11">
        <v>1</v>
      </c>
      <c r="M228" s="11">
        <v>4</v>
      </c>
      <c r="N228" s="11">
        <v>3</v>
      </c>
      <c r="O228" s="11">
        <v>2</v>
      </c>
      <c r="P228" s="11">
        <v>3</v>
      </c>
      <c r="Q228" s="11">
        <v>4</v>
      </c>
      <c r="R228" s="11">
        <v>3</v>
      </c>
      <c r="S228" s="11">
        <v>2</v>
      </c>
      <c r="T228" s="11">
        <v>3</v>
      </c>
      <c r="U228" s="10">
        <v>4</v>
      </c>
      <c r="V228" s="6">
        <f t="shared" ca="1" si="14"/>
        <v>19.399289802520478</v>
      </c>
      <c r="W228" s="6">
        <f t="shared" ca="1" si="14"/>
        <v>20.057977738958829</v>
      </c>
      <c r="X228" s="6">
        <f t="shared" ca="1" si="14"/>
        <v>19.846287194191135</v>
      </c>
      <c r="Y228" s="6">
        <f t="shared" ca="1" si="13"/>
        <v>19.87566781707773</v>
      </c>
      <c r="Z228" s="6">
        <f t="shared" ca="1" si="13"/>
        <v>20.609823615208974</v>
      </c>
      <c r="AA228" s="6">
        <f t="shared" ca="1" si="13"/>
        <v>20.459488044583701</v>
      </c>
      <c r="AB228" s="6">
        <f t="shared" ca="1" si="15"/>
        <v>19.399289802520478</v>
      </c>
      <c r="AC228" s="6">
        <f t="shared" ca="1" si="16"/>
        <v>1</v>
      </c>
    </row>
    <row r="229" spans="1:29">
      <c r="A229" s="11">
        <v>228</v>
      </c>
      <c r="B229" s="12">
        <v>2</v>
      </c>
      <c r="C229" s="11">
        <v>2</v>
      </c>
      <c r="D229" s="11">
        <v>3</v>
      </c>
      <c r="E229" s="11">
        <v>3</v>
      </c>
      <c r="F229" s="11">
        <v>5</v>
      </c>
      <c r="G229" s="11">
        <v>4</v>
      </c>
      <c r="H229" s="11">
        <v>3</v>
      </c>
      <c r="I229" s="11">
        <v>2</v>
      </c>
      <c r="J229" s="11">
        <v>2</v>
      </c>
      <c r="K229" s="11">
        <v>3</v>
      </c>
      <c r="L229" s="11">
        <v>2</v>
      </c>
      <c r="M229" s="11">
        <v>2</v>
      </c>
      <c r="N229" s="11">
        <v>2</v>
      </c>
      <c r="O229" s="11">
        <v>4</v>
      </c>
      <c r="P229" s="11">
        <v>4</v>
      </c>
      <c r="Q229" s="11">
        <v>3</v>
      </c>
      <c r="R229" s="11">
        <v>2</v>
      </c>
      <c r="S229" s="11">
        <v>4</v>
      </c>
      <c r="T229" s="11">
        <v>3</v>
      </c>
      <c r="U229" s="10">
        <v>5</v>
      </c>
      <c r="V229" s="6">
        <f t="shared" ca="1" si="14"/>
        <v>19.842220209441074</v>
      </c>
      <c r="W229" s="6">
        <f t="shared" ca="1" si="14"/>
        <v>19.526928320865878</v>
      </c>
      <c r="X229" s="6">
        <f t="shared" ca="1" si="14"/>
        <v>19.879151338126203</v>
      </c>
      <c r="Y229" s="6">
        <f t="shared" ca="1" si="13"/>
        <v>19.851852798064918</v>
      </c>
      <c r="Z229" s="6">
        <f t="shared" ca="1" si="13"/>
        <v>20.087278104326622</v>
      </c>
      <c r="AA229" s="6">
        <f t="shared" ca="1" si="13"/>
        <v>20.478735260778716</v>
      </c>
      <c r="AB229" s="6">
        <f t="shared" ca="1" si="15"/>
        <v>19.526928320865878</v>
      </c>
      <c r="AC229" s="6">
        <f t="shared" ca="1" si="16"/>
        <v>2</v>
      </c>
    </row>
    <row r="230" spans="1:29">
      <c r="A230" s="11">
        <v>229</v>
      </c>
      <c r="B230" s="12">
        <v>3</v>
      </c>
      <c r="C230" s="11">
        <v>2</v>
      </c>
      <c r="D230" s="11">
        <v>1</v>
      </c>
      <c r="E230" s="11">
        <v>2</v>
      </c>
      <c r="F230" s="11">
        <v>2</v>
      </c>
      <c r="G230" s="11">
        <v>1</v>
      </c>
      <c r="H230" s="11">
        <v>3</v>
      </c>
      <c r="I230" s="11">
        <v>2</v>
      </c>
      <c r="J230" s="11">
        <v>2</v>
      </c>
      <c r="K230" s="11">
        <v>2</v>
      </c>
      <c r="L230" s="11">
        <v>3</v>
      </c>
      <c r="M230" s="11">
        <v>3</v>
      </c>
      <c r="N230" s="11">
        <v>3</v>
      </c>
      <c r="O230" s="11">
        <v>4</v>
      </c>
      <c r="P230" s="11">
        <v>4</v>
      </c>
      <c r="Q230" s="11">
        <v>1</v>
      </c>
      <c r="R230" s="11">
        <v>2</v>
      </c>
      <c r="S230" s="11">
        <v>1</v>
      </c>
      <c r="T230" s="11">
        <v>3</v>
      </c>
      <c r="U230" s="10">
        <v>3</v>
      </c>
      <c r="V230" s="6">
        <f t="shared" ca="1" si="14"/>
        <v>25.213220879322787</v>
      </c>
      <c r="W230" s="6">
        <f t="shared" ca="1" si="14"/>
        <v>25.187316251987969</v>
      </c>
      <c r="X230" s="6">
        <f t="shared" ca="1" si="14"/>
        <v>25.232570102551314</v>
      </c>
      <c r="Y230" s="6">
        <f t="shared" ca="1" si="13"/>
        <v>24.971079928664054</v>
      </c>
      <c r="Z230" s="6">
        <f t="shared" ca="1" si="13"/>
        <v>25.220011412360652</v>
      </c>
      <c r="AA230" s="6">
        <f t="shared" ca="1" si="13"/>
        <v>24.96616868767207</v>
      </c>
      <c r="AB230" s="6">
        <f t="shared" ca="1" si="15"/>
        <v>24.96616868767207</v>
      </c>
      <c r="AC230" s="6">
        <f t="shared" ca="1" si="16"/>
        <v>6</v>
      </c>
    </row>
    <row r="231" spans="1:29">
      <c r="A231" s="11">
        <v>230</v>
      </c>
      <c r="B231" s="12">
        <v>2</v>
      </c>
      <c r="C231" s="11">
        <v>4</v>
      </c>
      <c r="D231" s="11">
        <v>1</v>
      </c>
      <c r="E231" s="11">
        <v>3</v>
      </c>
      <c r="F231" s="11">
        <v>5</v>
      </c>
      <c r="G231" s="11">
        <v>2</v>
      </c>
      <c r="H231" s="11">
        <v>3</v>
      </c>
      <c r="I231" s="11">
        <v>1</v>
      </c>
      <c r="J231" s="11">
        <v>1</v>
      </c>
      <c r="K231" s="11">
        <v>3</v>
      </c>
      <c r="L231" s="11">
        <v>1</v>
      </c>
      <c r="M231" s="11">
        <v>1</v>
      </c>
      <c r="N231" s="11">
        <v>5</v>
      </c>
      <c r="O231" s="11">
        <v>5</v>
      </c>
      <c r="P231" s="11">
        <v>4</v>
      </c>
      <c r="Q231" s="11">
        <v>5</v>
      </c>
      <c r="R231" s="11">
        <v>1</v>
      </c>
      <c r="S231" s="11">
        <v>2</v>
      </c>
      <c r="T231" s="11">
        <v>1</v>
      </c>
      <c r="U231" s="10">
        <v>5</v>
      </c>
      <c r="V231" s="6">
        <f t="shared" ca="1" si="14"/>
        <v>52.451938644233053</v>
      </c>
      <c r="W231" s="6">
        <f t="shared" ca="1" si="14"/>
        <v>53.394801844154941</v>
      </c>
      <c r="X231" s="6">
        <f t="shared" ca="1" si="14"/>
        <v>53.069840584809199</v>
      </c>
      <c r="Y231" s="6">
        <f t="shared" ca="1" si="14"/>
        <v>52.932401449579473</v>
      </c>
      <c r="Z231" s="6">
        <f t="shared" ca="1" si="14"/>
        <v>53.00208792815323</v>
      </c>
      <c r="AA231" s="6">
        <f t="shared" ca="1" si="14"/>
        <v>53.621240368134046</v>
      </c>
      <c r="AB231" s="6">
        <f t="shared" ca="1" si="15"/>
        <v>52.451938644233053</v>
      </c>
      <c r="AC231" s="6">
        <f t="shared" ca="1" si="16"/>
        <v>1</v>
      </c>
    </row>
    <row r="232" spans="1:29">
      <c r="A232" s="11">
        <v>231</v>
      </c>
      <c r="B232" s="12">
        <v>2</v>
      </c>
      <c r="C232" s="11">
        <v>3</v>
      </c>
      <c r="D232" s="11">
        <v>3</v>
      </c>
      <c r="E232" s="11">
        <v>3</v>
      </c>
      <c r="F232" s="11">
        <v>3</v>
      </c>
      <c r="G232" s="11">
        <v>2</v>
      </c>
      <c r="H232" s="11">
        <v>3</v>
      </c>
      <c r="I232" s="11">
        <v>4</v>
      </c>
      <c r="J232" s="11">
        <v>3</v>
      </c>
      <c r="K232" s="11">
        <v>5</v>
      </c>
      <c r="L232" s="11">
        <v>3</v>
      </c>
      <c r="M232" s="11">
        <v>2</v>
      </c>
      <c r="N232" s="11">
        <v>3</v>
      </c>
      <c r="O232" s="11">
        <v>3</v>
      </c>
      <c r="P232" s="11">
        <v>4</v>
      </c>
      <c r="Q232" s="11">
        <v>2</v>
      </c>
      <c r="R232" s="11">
        <v>3</v>
      </c>
      <c r="S232" s="11">
        <v>4</v>
      </c>
      <c r="T232" s="11">
        <v>3</v>
      </c>
      <c r="U232" s="10">
        <v>4</v>
      </c>
      <c r="V232" s="6">
        <f t="shared" ref="V232:AA274" ca="1" si="17">SUMXMY2($B232:$U232,AG$2:AG$21)</f>
        <v>12.214337028262747</v>
      </c>
      <c r="W232" s="6">
        <f t="shared" ca="1" si="17"/>
        <v>11.71001513001992</v>
      </c>
      <c r="X232" s="6">
        <f t="shared" ca="1" si="17"/>
        <v>12.06771468221779</v>
      </c>
      <c r="Y232" s="6">
        <f t="shared" ca="1" si="17"/>
        <v>12.093688545725108</v>
      </c>
      <c r="Z232" s="6">
        <f t="shared" ca="1" si="17"/>
        <v>11.653270475871009</v>
      </c>
      <c r="AA232" s="6">
        <f t="shared" ca="1" si="17"/>
        <v>11.741842452595389</v>
      </c>
      <c r="AB232" s="6">
        <f t="shared" ca="1" si="15"/>
        <v>11.653270475871009</v>
      </c>
      <c r="AC232" s="6">
        <f t="shared" ca="1" si="16"/>
        <v>5</v>
      </c>
    </row>
    <row r="233" spans="1:29">
      <c r="A233" s="11">
        <v>232</v>
      </c>
      <c r="B233" s="12">
        <v>4</v>
      </c>
      <c r="C233" s="11">
        <v>1</v>
      </c>
      <c r="D233" s="11">
        <v>1</v>
      </c>
      <c r="E233" s="11">
        <v>3</v>
      </c>
      <c r="F233" s="11">
        <v>1</v>
      </c>
      <c r="G233" s="11">
        <v>4</v>
      </c>
      <c r="H233" s="11">
        <v>3</v>
      </c>
      <c r="I233" s="11">
        <v>2</v>
      </c>
      <c r="J233" s="11">
        <v>3</v>
      </c>
      <c r="K233" s="11">
        <v>3</v>
      </c>
      <c r="L233" s="11">
        <v>2</v>
      </c>
      <c r="M233" s="11">
        <v>3</v>
      </c>
      <c r="N233" s="11">
        <v>3</v>
      </c>
      <c r="O233" s="11">
        <v>4</v>
      </c>
      <c r="P233" s="11">
        <v>5</v>
      </c>
      <c r="Q233" s="11">
        <v>1</v>
      </c>
      <c r="R233" s="11">
        <v>3</v>
      </c>
      <c r="S233" s="11">
        <v>2</v>
      </c>
      <c r="T233" s="11">
        <v>3</v>
      </c>
      <c r="U233" s="10">
        <v>2</v>
      </c>
      <c r="V233" s="6">
        <f t="shared" ca="1" si="17"/>
        <v>27.438508039158858</v>
      </c>
      <c r="W233" s="6">
        <f t="shared" ca="1" si="17"/>
        <v>26.863026798980375</v>
      </c>
      <c r="X233" s="6">
        <f t="shared" ca="1" si="17"/>
        <v>27.088534069501044</v>
      </c>
      <c r="Y233" s="6">
        <f t="shared" ca="1" si="17"/>
        <v>27.169771557877077</v>
      </c>
      <c r="Z233" s="6">
        <f t="shared" ca="1" si="17"/>
        <v>27.176778364447209</v>
      </c>
      <c r="AA233" s="6">
        <f t="shared" ca="1" si="17"/>
        <v>27.065139098947785</v>
      </c>
      <c r="AB233" s="6">
        <f t="shared" ca="1" si="15"/>
        <v>26.863026798980375</v>
      </c>
      <c r="AC233" s="6">
        <f t="shared" ca="1" si="16"/>
        <v>2</v>
      </c>
    </row>
    <row r="234" spans="1:29">
      <c r="A234" s="11">
        <v>233</v>
      </c>
      <c r="B234" s="12">
        <v>3</v>
      </c>
      <c r="C234" s="11">
        <v>1</v>
      </c>
      <c r="D234" s="11">
        <v>1</v>
      </c>
      <c r="E234" s="11">
        <v>4</v>
      </c>
      <c r="F234" s="11">
        <v>5</v>
      </c>
      <c r="G234" s="11">
        <v>5</v>
      </c>
      <c r="H234" s="11">
        <v>4</v>
      </c>
      <c r="I234" s="11">
        <v>1</v>
      </c>
      <c r="J234" s="11">
        <v>1</v>
      </c>
      <c r="K234" s="11">
        <v>2</v>
      </c>
      <c r="L234" s="11">
        <v>2</v>
      </c>
      <c r="M234" s="11">
        <v>2</v>
      </c>
      <c r="N234" s="11">
        <v>3</v>
      </c>
      <c r="O234" s="11">
        <v>4</v>
      </c>
      <c r="P234" s="11">
        <v>4</v>
      </c>
      <c r="Q234" s="11">
        <v>5</v>
      </c>
      <c r="R234" s="11">
        <v>2</v>
      </c>
      <c r="S234" s="11">
        <v>1</v>
      </c>
      <c r="T234" s="11">
        <v>1</v>
      </c>
      <c r="U234" s="10">
        <v>4</v>
      </c>
      <c r="V234" s="6">
        <f t="shared" ca="1" si="17"/>
        <v>44.609300972620709</v>
      </c>
      <c r="W234" s="6">
        <f t="shared" ca="1" si="17"/>
        <v>44.938379009273511</v>
      </c>
      <c r="X234" s="6">
        <f t="shared" ca="1" si="17"/>
        <v>45.168351412464482</v>
      </c>
      <c r="Y234" s="6">
        <f t="shared" ca="1" si="17"/>
        <v>44.83438630409637</v>
      </c>
      <c r="Z234" s="6">
        <f t="shared" ca="1" si="17"/>
        <v>45.240252295865638</v>
      </c>
      <c r="AA234" s="6">
        <f t="shared" ca="1" si="17"/>
        <v>45.630705122099464</v>
      </c>
      <c r="AB234" s="6">
        <f t="shared" ca="1" si="15"/>
        <v>44.609300972620709</v>
      </c>
      <c r="AC234" s="6">
        <f t="shared" ca="1" si="16"/>
        <v>1</v>
      </c>
    </row>
    <row r="235" spans="1:29">
      <c r="A235" s="11">
        <v>234</v>
      </c>
      <c r="B235" s="12">
        <v>2</v>
      </c>
      <c r="C235" s="11">
        <v>2</v>
      </c>
      <c r="D235" s="11">
        <v>2</v>
      </c>
      <c r="E235" s="11">
        <v>4</v>
      </c>
      <c r="F235" s="11">
        <v>3</v>
      </c>
      <c r="G235" s="11">
        <v>4</v>
      </c>
      <c r="H235" s="11">
        <v>3</v>
      </c>
      <c r="I235" s="11">
        <v>2</v>
      </c>
      <c r="J235" s="11">
        <v>2</v>
      </c>
      <c r="K235" s="11">
        <v>3</v>
      </c>
      <c r="L235" s="11">
        <v>2</v>
      </c>
      <c r="M235" s="11">
        <v>2</v>
      </c>
      <c r="N235" s="11">
        <v>4</v>
      </c>
      <c r="O235" s="11">
        <v>4</v>
      </c>
      <c r="P235" s="11">
        <v>4</v>
      </c>
      <c r="Q235" s="11">
        <v>2</v>
      </c>
      <c r="R235" s="11">
        <v>2</v>
      </c>
      <c r="S235" s="11">
        <v>3</v>
      </c>
      <c r="T235" s="11">
        <v>2</v>
      </c>
      <c r="U235" s="10">
        <v>2</v>
      </c>
      <c r="V235" s="6">
        <f t="shared" ca="1" si="17"/>
        <v>16.261757881237216</v>
      </c>
      <c r="W235" s="6">
        <f t="shared" ca="1" si="17"/>
        <v>15.870704873811992</v>
      </c>
      <c r="X235" s="6">
        <f t="shared" ca="1" si="17"/>
        <v>16.061378304342096</v>
      </c>
      <c r="Y235" s="6">
        <f t="shared" ca="1" si="17"/>
        <v>16.111769974724936</v>
      </c>
      <c r="Z235" s="6">
        <f t="shared" ca="1" si="17"/>
        <v>16.189201998652951</v>
      </c>
      <c r="AA235" s="6">
        <f t="shared" ca="1" si="17"/>
        <v>16.143346501451212</v>
      </c>
      <c r="AB235" s="6">
        <f t="shared" ca="1" si="15"/>
        <v>15.870704873811992</v>
      </c>
      <c r="AC235" s="6">
        <f t="shared" ca="1" si="16"/>
        <v>2</v>
      </c>
    </row>
    <row r="236" spans="1:29">
      <c r="A236" s="11">
        <v>235</v>
      </c>
      <c r="B236" s="12">
        <v>3</v>
      </c>
      <c r="C236" s="11">
        <v>2</v>
      </c>
      <c r="D236" s="11">
        <v>2</v>
      </c>
      <c r="E236" s="11">
        <v>2</v>
      </c>
      <c r="F236" s="11">
        <v>3</v>
      </c>
      <c r="G236" s="11">
        <v>5</v>
      </c>
      <c r="H236" s="11">
        <v>2</v>
      </c>
      <c r="I236" s="11">
        <v>2</v>
      </c>
      <c r="J236" s="11">
        <v>2</v>
      </c>
      <c r="K236" s="11">
        <v>3</v>
      </c>
      <c r="L236" s="11">
        <v>3</v>
      </c>
      <c r="M236" s="11">
        <v>1</v>
      </c>
      <c r="N236" s="11">
        <v>3</v>
      </c>
      <c r="O236" s="11">
        <v>4</v>
      </c>
      <c r="P236" s="11">
        <v>4</v>
      </c>
      <c r="Q236" s="11">
        <v>1</v>
      </c>
      <c r="R236" s="11">
        <v>1</v>
      </c>
      <c r="S236" s="11">
        <v>2</v>
      </c>
      <c r="T236" s="11">
        <v>2</v>
      </c>
      <c r="U236" s="10">
        <v>2</v>
      </c>
      <c r="V236" s="6">
        <f t="shared" ca="1" si="17"/>
        <v>27.194332166830545</v>
      </c>
      <c r="W236" s="6">
        <f t="shared" ca="1" si="17"/>
        <v>26.955172812707769</v>
      </c>
      <c r="X236" s="6">
        <f t="shared" ca="1" si="17"/>
        <v>26.988711829488501</v>
      </c>
      <c r="Y236" s="6">
        <f t="shared" ca="1" si="17"/>
        <v>26.948259033756287</v>
      </c>
      <c r="Z236" s="6">
        <f t="shared" ca="1" si="17"/>
        <v>27.280098574950742</v>
      </c>
      <c r="AA236" s="6">
        <f t="shared" ca="1" si="17"/>
        <v>27.092770921599357</v>
      </c>
      <c r="AB236" s="6">
        <f t="shared" ca="1" si="15"/>
        <v>26.948259033756287</v>
      </c>
      <c r="AC236" s="6">
        <f t="shared" ca="1" si="16"/>
        <v>4</v>
      </c>
    </row>
    <row r="237" spans="1:29">
      <c r="A237" s="11">
        <v>236</v>
      </c>
      <c r="B237" s="12">
        <v>2</v>
      </c>
      <c r="C237" s="11">
        <v>2</v>
      </c>
      <c r="D237" s="11">
        <v>1</v>
      </c>
      <c r="E237" s="11">
        <v>2</v>
      </c>
      <c r="F237" s="11">
        <v>2</v>
      </c>
      <c r="G237" s="11">
        <v>2</v>
      </c>
      <c r="H237" s="11">
        <v>1</v>
      </c>
      <c r="I237" s="11">
        <v>1</v>
      </c>
      <c r="J237" s="11">
        <v>1</v>
      </c>
      <c r="K237" s="11">
        <v>1</v>
      </c>
      <c r="L237" s="11">
        <v>2</v>
      </c>
      <c r="M237" s="11">
        <v>2</v>
      </c>
      <c r="N237" s="11">
        <v>3</v>
      </c>
      <c r="O237" s="11">
        <v>2</v>
      </c>
      <c r="P237" s="11">
        <v>1</v>
      </c>
      <c r="Q237" s="11">
        <v>2</v>
      </c>
      <c r="R237" s="11">
        <v>3</v>
      </c>
      <c r="S237" s="11">
        <v>2</v>
      </c>
      <c r="T237" s="11">
        <v>1</v>
      </c>
      <c r="U237" s="10">
        <v>2</v>
      </c>
      <c r="V237" s="6">
        <f t="shared" ca="1" si="17"/>
        <v>38.930852029300745</v>
      </c>
      <c r="W237" s="6">
        <f t="shared" ca="1" si="17"/>
        <v>39.160548252883814</v>
      </c>
      <c r="X237" s="6">
        <f t="shared" ca="1" si="17"/>
        <v>38.877774386295577</v>
      </c>
      <c r="Y237" s="6">
        <f t="shared" ca="1" si="17"/>
        <v>38.736666322483508</v>
      </c>
      <c r="Z237" s="6">
        <f t="shared" ca="1" si="17"/>
        <v>39.731809847708469</v>
      </c>
      <c r="AA237" s="6">
        <f t="shared" ca="1" si="17"/>
        <v>39.173385161569499</v>
      </c>
      <c r="AB237" s="6">
        <f t="shared" ca="1" si="15"/>
        <v>38.736666322483508</v>
      </c>
      <c r="AC237" s="6">
        <f t="shared" ca="1" si="16"/>
        <v>4</v>
      </c>
    </row>
    <row r="238" spans="1:29">
      <c r="A238" s="11">
        <v>237</v>
      </c>
      <c r="B238" s="12">
        <v>2</v>
      </c>
      <c r="C238" s="11">
        <v>2</v>
      </c>
      <c r="D238" s="11">
        <v>1</v>
      </c>
      <c r="E238" s="11">
        <v>3</v>
      </c>
      <c r="F238" s="11">
        <v>3</v>
      </c>
      <c r="G238" s="11">
        <v>4</v>
      </c>
      <c r="H238" s="11">
        <v>4</v>
      </c>
      <c r="I238" s="11">
        <v>5</v>
      </c>
      <c r="J238" s="11">
        <v>4</v>
      </c>
      <c r="K238" s="11">
        <v>4</v>
      </c>
      <c r="L238" s="11">
        <v>2</v>
      </c>
      <c r="M238" s="11">
        <v>2</v>
      </c>
      <c r="N238" s="11">
        <v>3</v>
      </c>
      <c r="O238" s="11">
        <v>4</v>
      </c>
      <c r="P238" s="11">
        <v>4</v>
      </c>
      <c r="Q238" s="11">
        <v>3</v>
      </c>
      <c r="R238" s="11">
        <v>3</v>
      </c>
      <c r="S238" s="11">
        <v>3</v>
      </c>
      <c r="T238" s="11">
        <v>2</v>
      </c>
      <c r="U238" s="10">
        <v>2</v>
      </c>
      <c r="V238" s="6">
        <f t="shared" ca="1" si="17"/>
        <v>20.212836411016333</v>
      </c>
      <c r="W238" s="6">
        <f t="shared" ca="1" si="17"/>
        <v>19.762030517141643</v>
      </c>
      <c r="X238" s="6">
        <f t="shared" ca="1" si="17"/>
        <v>20.465574544362383</v>
      </c>
      <c r="Y238" s="6">
        <f t="shared" ca="1" si="17"/>
        <v>19.933863094391484</v>
      </c>
      <c r="Z238" s="6">
        <f t="shared" ca="1" si="17"/>
        <v>19.849998685386687</v>
      </c>
      <c r="AA238" s="6">
        <f t="shared" ca="1" si="17"/>
        <v>19.716953259940798</v>
      </c>
      <c r="AB238" s="6">
        <f t="shared" ca="1" si="15"/>
        <v>19.716953259940798</v>
      </c>
      <c r="AC238" s="6">
        <f t="shared" ca="1" si="16"/>
        <v>6</v>
      </c>
    </row>
    <row r="239" spans="1:29">
      <c r="A239" s="11">
        <v>238</v>
      </c>
      <c r="B239" s="12">
        <v>2</v>
      </c>
      <c r="C239" s="11">
        <v>3</v>
      </c>
      <c r="D239" s="11">
        <v>2</v>
      </c>
      <c r="E239" s="11">
        <v>3</v>
      </c>
      <c r="F239" s="11">
        <v>2</v>
      </c>
      <c r="G239" s="11">
        <v>3</v>
      </c>
      <c r="H239" s="11">
        <v>2</v>
      </c>
      <c r="I239" s="11">
        <v>3</v>
      </c>
      <c r="J239" s="11">
        <v>2</v>
      </c>
      <c r="K239" s="11">
        <v>3</v>
      </c>
      <c r="L239" s="11">
        <v>2</v>
      </c>
      <c r="M239" s="11">
        <v>3</v>
      </c>
      <c r="N239" s="11">
        <v>2</v>
      </c>
      <c r="O239" s="11">
        <v>3</v>
      </c>
      <c r="P239" s="11">
        <v>2</v>
      </c>
      <c r="Q239" s="11">
        <v>3</v>
      </c>
      <c r="R239" s="11">
        <v>2</v>
      </c>
      <c r="S239" s="11">
        <v>3</v>
      </c>
      <c r="T239" s="11">
        <v>2</v>
      </c>
      <c r="U239" s="10">
        <v>3</v>
      </c>
      <c r="V239" s="6">
        <f t="shared" ca="1" si="17"/>
        <v>9.7549298552223718</v>
      </c>
      <c r="W239" s="6">
        <f t="shared" ca="1" si="17"/>
        <v>9.9845182083922559</v>
      </c>
      <c r="X239" s="6">
        <f t="shared" ca="1" si="17"/>
        <v>9.9181825453658998</v>
      </c>
      <c r="Y239" s="6">
        <f t="shared" ca="1" si="17"/>
        <v>9.7760887545965947</v>
      </c>
      <c r="Z239" s="6">
        <f t="shared" ca="1" si="17"/>
        <v>10.443014209025685</v>
      </c>
      <c r="AA239" s="6">
        <f t="shared" ca="1" si="17"/>
        <v>9.8727403696238536</v>
      </c>
      <c r="AB239" s="6">
        <f t="shared" ca="1" si="15"/>
        <v>9.7549298552223718</v>
      </c>
      <c r="AC239" s="6">
        <f t="shared" ca="1" si="16"/>
        <v>1</v>
      </c>
    </row>
    <row r="240" spans="1:29">
      <c r="A240" s="11">
        <v>239</v>
      </c>
      <c r="B240" s="12">
        <v>3</v>
      </c>
      <c r="C240" s="11">
        <v>3</v>
      </c>
      <c r="D240" s="11">
        <v>2</v>
      </c>
      <c r="E240" s="11">
        <v>4</v>
      </c>
      <c r="F240" s="11">
        <v>4</v>
      </c>
      <c r="G240" s="11">
        <v>3</v>
      </c>
      <c r="H240" s="11">
        <v>3</v>
      </c>
      <c r="I240" s="11">
        <v>2</v>
      </c>
      <c r="J240" s="11">
        <v>2</v>
      </c>
      <c r="K240" s="11">
        <v>2</v>
      </c>
      <c r="L240" s="11">
        <v>2</v>
      </c>
      <c r="M240" s="11">
        <v>2</v>
      </c>
      <c r="N240" s="11">
        <v>4</v>
      </c>
      <c r="O240" s="11">
        <v>4</v>
      </c>
      <c r="P240" s="11">
        <v>4</v>
      </c>
      <c r="Q240" s="11">
        <v>2</v>
      </c>
      <c r="R240" s="11">
        <v>2</v>
      </c>
      <c r="S240" s="11">
        <v>3</v>
      </c>
      <c r="T240" s="11">
        <v>4</v>
      </c>
      <c r="U240" s="10">
        <v>4</v>
      </c>
      <c r="V240" s="6">
        <f t="shared" ca="1" si="17"/>
        <v>15.020262957206276</v>
      </c>
      <c r="W240" s="6">
        <f t="shared" ca="1" si="17"/>
        <v>14.993744660647193</v>
      </c>
      <c r="X240" s="6">
        <f t="shared" ca="1" si="17"/>
        <v>14.781064593038254</v>
      </c>
      <c r="Y240" s="6">
        <f t="shared" ca="1" si="17"/>
        <v>15.041171747843549</v>
      </c>
      <c r="Z240" s="6">
        <f t="shared" ca="1" si="17"/>
        <v>15.160437903750134</v>
      </c>
      <c r="AA240" s="6">
        <f t="shared" ca="1" si="17"/>
        <v>15.681625213251404</v>
      </c>
      <c r="AB240" s="6">
        <f t="shared" ca="1" si="15"/>
        <v>14.781064593038254</v>
      </c>
      <c r="AC240" s="6">
        <f t="shared" ca="1" si="16"/>
        <v>3</v>
      </c>
    </row>
    <row r="241" spans="1:29">
      <c r="A241" s="11">
        <v>240</v>
      </c>
      <c r="B241" s="12">
        <v>3</v>
      </c>
      <c r="C241" s="11">
        <v>1</v>
      </c>
      <c r="D241" s="11">
        <v>1</v>
      </c>
      <c r="E241" s="11">
        <v>4</v>
      </c>
      <c r="F241" s="11">
        <v>3</v>
      </c>
      <c r="G241" s="11">
        <v>3</v>
      </c>
      <c r="H241" s="11">
        <v>1</v>
      </c>
      <c r="I241" s="11">
        <v>2</v>
      </c>
      <c r="J241" s="11">
        <v>2</v>
      </c>
      <c r="K241" s="11">
        <v>5</v>
      </c>
      <c r="L241" s="11">
        <v>2</v>
      </c>
      <c r="M241" s="11">
        <v>1</v>
      </c>
      <c r="N241" s="11">
        <v>4</v>
      </c>
      <c r="O241" s="11">
        <v>4</v>
      </c>
      <c r="P241" s="11">
        <v>5</v>
      </c>
      <c r="Q241" s="11">
        <v>5</v>
      </c>
      <c r="R241" s="11">
        <v>3</v>
      </c>
      <c r="S241" s="11">
        <v>1</v>
      </c>
      <c r="T241" s="11">
        <v>1</v>
      </c>
      <c r="U241" s="10">
        <v>3</v>
      </c>
      <c r="V241" s="6">
        <f t="shared" ca="1" si="17"/>
        <v>41.98551407667847</v>
      </c>
      <c r="W241" s="6">
        <f t="shared" ca="1" si="17"/>
        <v>42.332464818650898</v>
      </c>
      <c r="X241" s="6">
        <f t="shared" ca="1" si="17"/>
        <v>42.317929464303781</v>
      </c>
      <c r="Y241" s="6">
        <f t="shared" ca="1" si="17"/>
        <v>42.08663683696544</v>
      </c>
      <c r="Z241" s="6">
        <f t="shared" ca="1" si="17"/>
        <v>42.044543022628019</v>
      </c>
      <c r="AA241" s="6">
        <f t="shared" ca="1" si="17"/>
        <v>42.041832636478553</v>
      </c>
      <c r="AB241" s="6">
        <f t="shared" ca="1" si="15"/>
        <v>41.98551407667847</v>
      </c>
      <c r="AC241" s="6">
        <f t="shared" ca="1" si="16"/>
        <v>1</v>
      </c>
    </row>
    <row r="242" spans="1:29">
      <c r="A242" s="11">
        <v>241</v>
      </c>
      <c r="B242" s="12">
        <v>3</v>
      </c>
      <c r="C242" s="11">
        <v>2</v>
      </c>
      <c r="D242" s="11">
        <v>2</v>
      </c>
      <c r="E242" s="11">
        <v>2</v>
      </c>
      <c r="F242" s="11">
        <v>2</v>
      </c>
      <c r="G242" s="11">
        <v>4</v>
      </c>
      <c r="H242" s="11">
        <v>4</v>
      </c>
      <c r="I242" s="11">
        <v>3</v>
      </c>
      <c r="J242" s="11">
        <v>3</v>
      </c>
      <c r="K242" s="11">
        <v>2</v>
      </c>
      <c r="L242" s="11">
        <v>1</v>
      </c>
      <c r="M242" s="11">
        <v>3</v>
      </c>
      <c r="N242" s="11">
        <v>4</v>
      </c>
      <c r="O242" s="11">
        <v>1</v>
      </c>
      <c r="P242" s="11">
        <v>2</v>
      </c>
      <c r="Q242" s="11">
        <v>2</v>
      </c>
      <c r="R242" s="11">
        <v>2</v>
      </c>
      <c r="S242" s="11">
        <v>2</v>
      </c>
      <c r="T242" s="11">
        <v>4</v>
      </c>
      <c r="U242" s="10">
        <v>2</v>
      </c>
      <c r="V242" s="6">
        <f t="shared" ca="1" si="17"/>
        <v>21.683170134709041</v>
      </c>
      <c r="W242" s="6">
        <f t="shared" ca="1" si="17"/>
        <v>22.002577859072751</v>
      </c>
      <c r="X242" s="6">
        <f t="shared" ca="1" si="17"/>
        <v>21.874627583154727</v>
      </c>
      <c r="Y242" s="6">
        <f t="shared" ca="1" si="17"/>
        <v>21.895644553997307</v>
      </c>
      <c r="Z242" s="6">
        <f t="shared" ca="1" si="17"/>
        <v>22.624775129640526</v>
      </c>
      <c r="AA242" s="6">
        <f t="shared" ca="1" si="17"/>
        <v>22.093275282264635</v>
      </c>
      <c r="AB242" s="6">
        <f t="shared" ca="1" si="15"/>
        <v>21.683170134709041</v>
      </c>
      <c r="AC242" s="6">
        <f t="shared" ca="1" si="16"/>
        <v>1</v>
      </c>
    </row>
    <row r="243" spans="1:29">
      <c r="A243" s="11">
        <v>242</v>
      </c>
      <c r="B243" s="12">
        <v>2</v>
      </c>
      <c r="C243" s="11">
        <v>2</v>
      </c>
      <c r="D243" s="11">
        <v>3</v>
      </c>
      <c r="E243" s="11">
        <v>3</v>
      </c>
      <c r="F243" s="11">
        <v>3</v>
      </c>
      <c r="G243" s="11">
        <v>4</v>
      </c>
      <c r="H243" s="11">
        <v>3</v>
      </c>
      <c r="I243" s="11">
        <v>2</v>
      </c>
      <c r="J243" s="11">
        <v>3</v>
      </c>
      <c r="K243" s="11">
        <v>2</v>
      </c>
      <c r="L243" s="11">
        <v>3</v>
      </c>
      <c r="M243" s="11">
        <v>3</v>
      </c>
      <c r="N243" s="11">
        <v>3</v>
      </c>
      <c r="O243" s="11">
        <v>2</v>
      </c>
      <c r="P243" s="11">
        <v>2</v>
      </c>
      <c r="Q243" s="11">
        <v>3</v>
      </c>
      <c r="R243" s="11">
        <v>3</v>
      </c>
      <c r="S243" s="11">
        <v>3</v>
      </c>
      <c r="T243" s="11">
        <v>2</v>
      </c>
      <c r="U243" s="10">
        <v>3</v>
      </c>
      <c r="V243" s="6">
        <f t="shared" ca="1" si="17"/>
        <v>7.9181914274414087</v>
      </c>
      <c r="W243" s="6">
        <f t="shared" ca="1" si="17"/>
        <v>7.9102105809048995</v>
      </c>
      <c r="X243" s="6">
        <f t="shared" ca="1" si="17"/>
        <v>7.9757011477967268</v>
      </c>
      <c r="Y243" s="6">
        <f t="shared" ca="1" si="17"/>
        <v>7.9976047335762281</v>
      </c>
      <c r="Z243" s="6">
        <f t="shared" ca="1" si="17"/>
        <v>8.3004862618998203</v>
      </c>
      <c r="AA243" s="6">
        <f t="shared" ca="1" si="17"/>
        <v>8.0386013977329593</v>
      </c>
      <c r="AB243" s="6">
        <f t="shared" ca="1" si="15"/>
        <v>7.9102105809048995</v>
      </c>
      <c r="AC243" s="6">
        <f t="shared" ca="1" si="16"/>
        <v>2</v>
      </c>
    </row>
    <row r="244" spans="1:29">
      <c r="A244" s="11">
        <v>243</v>
      </c>
      <c r="B244" s="12">
        <v>2</v>
      </c>
      <c r="C244" s="11">
        <v>3</v>
      </c>
      <c r="D244" s="11">
        <v>2</v>
      </c>
      <c r="E244" s="11">
        <v>3</v>
      </c>
      <c r="F244" s="11">
        <v>4</v>
      </c>
      <c r="G244" s="11">
        <v>3</v>
      </c>
      <c r="H244" s="11">
        <v>2</v>
      </c>
      <c r="I244" s="11">
        <v>3</v>
      </c>
      <c r="J244" s="11">
        <v>3</v>
      </c>
      <c r="K244" s="11">
        <v>4</v>
      </c>
      <c r="L244" s="11">
        <v>3</v>
      </c>
      <c r="M244" s="11">
        <v>2</v>
      </c>
      <c r="N244" s="11">
        <v>3</v>
      </c>
      <c r="O244" s="11">
        <v>4</v>
      </c>
      <c r="P244" s="11">
        <v>3</v>
      </c>
      <c r="Q244" s="11">
        <v>2</v>
      </c>
      <c r="R244" s="11">
        <v>3</v>
      </c>
      <c r="S244" s="11">
        <v>3</v>
      </c>
      <c r="T244" s="11">
        <v>2</v>
      </c>
      <c r="U244" s="10">
        <v>3</v>
      </c>
      <c r="V244" s="6">
        <f t="shared" ca="1" si="17"/>
        <v>9.1818973446361909</v>
      </c>
      <c r="W244" s="6">
        <f t="shared" ca="1" si="17"/>
        <v>9.0068148214983879</v>
      </c>
      <c r="X244" s="6">
        <f t="shared" ca="1" si="17"/>
        <v>9.1893990201553475</v>
      </c>
      <c r="Y244" s="6">
        <f t="shared" ca="1" si="17"/>
        <v>9.0518209276973245</v>
      </c>
      <c r="Z244" s="6">
        <f t="shared" ca="1" si="17"/>
        <v>8.8747592825090891</v>
      </c>
      <c r="AA244" s="6">
        <f t="shared" ca="1" si="17"/>
        <v>8.9675447441261937</v>
      </c>
      <c r="AB244" s="6">
        <f t="shared" ca="1" si="15"/>
        <v>8.8747592825090891</v>
      </c>
      <c r="AC244" s="6">
        <f t="shared" ca="1" si="16"/>
        <v>5</v>
      </c>
    </row>
    <row r="245" spans="1:29">
      <c r="A245" s="11">
        <v>244</v>
      </c>
      <c r="B245" s="12">
        <v>4</v>
      </c>
      <c r="C245" s="11">
        <v>3</v>
      </c>
      <c r="D245" s="11">
        <v>2</v>
      </c>
      <c r="E245" s="11">
        <v>3</v>
      </c>
      <c r="F245" s="11">
        <v>3</v>
      </c>
      <c r="G245" s="11">
        <v>1</v>
      </c>
      <c r="H245" s="11">
        <v>1</v>
      </c>
      <c r="I245" s="11">
        <v>1</v>
      </c>
      <c r="J245" s="11">
        <v>2</v>
      </c>
      <c r="K245" s="11">
        <v>3</v>
      </c>
      <c r="L245" s="11">
        <v>2</v>
      </c>
      <c r="M245" s="11">
        <v>1</v>
      </c>
      <c r="N245" s="11">
        <v>1</v>
      </c>
      <c r="O245" s="11">
        <v>3</v>
      </c>
      <c r="P245" s="11">
        <v>3</v>
      </c>
      <c r="Q245" s="11">
        <v>2</v>
      </c>
      <c r="R245" s="11">
        <v>3</v>
      </c>
      <c r="S245" s="11">
        <v>2</v>
      </c>
      <c r="T245" s="11">
        <v>3</v>
      </c>
      <c r="U245" s="10">
        <v>2</v>
      </c>
      <c r="V245" s="6">
        <f t="shared" ca="1" si="17"/>
        <v>27.209610955753703</v>
      </c>
      <c r="W245" s="6">
        <f t="shared" ca="1" si="17"/>
        <v>27.268078336784491</v>
      </c>
      <c r="X245" s="6">
        <f t="shared" ca="1" si="17"/>
        <v>26.899470375417625</v>
      </c>
      <c r="Y245" s="6">
        <f t="shared" ca="1" si="17"/>
        <v>26.943686883507205</v>
      </c>
      <c r="Z245" s="6">
        <f t="shared" ca="1" si="17"/>
        <v>27.368380889927536</v>
      </c>
      <c r="AA245" s="6">
        <f t="shared" ca="1" si="17"/>
        <v>27.170883723629387</v>
      </c>
      <c r="AB245" s="6">
        <f t="shared" ca="1" si="15"/>
        <v>26.899470375417625</v>
      </c>
      <c r="AC245" s="6">
        <f t="shared" ca="1" si="16"/>
        <v>3</v>
      </c>
    </row>
    <row r="246" spans="1:29">
      <c r="A246" s="11">
        <v>245</v>
      </c>
      <c r="B246" s="12">
        <v>4</v>
      </c>
      <c r="C246" s="11">
        <v>1</v>
      </c>
      <c r="D246" s="11">
        <v>1</v>
      </c>
      <c r="E246" s="11">
        <v>3</v>
      </c>
      <c r="F246" s="11">
        <v>1</v>
      </c>
      <c r="G246" s="11">
        <v>4</v>
      </c>
      <c r="H246" s="11">
        <v>3</v>
      </c>
      <c r="I246" s="11">
        <v>2</v>
      </c>
      <c r="J246" s="11">
        <v>3</v>
      </c>
      <c r="K246" s="11">
        <v>3</v>
      </c>
      <c r="L246" s="11">
        <v>2</v>
      </c>
      <c r="M246" s="11">
        <v>3</v>
      </c>
      <c r="N246" s="11">
        <v>3</v>
      </c>
      <c r="O246" s="11">
        <v>4</v>
      </c>
      <c r="P246" s="11">
        <v>5</v>
      </c>
      <c r="Q246" s="11">
        <v>1</v>
      </c>
      <c r="R246" s="11">
        <v>3</v>
      </c>
      <c r="S246" s="11">
        <v>2</v>
      </c>
      <c r="T246" s="11">
        <v>3</v>
      </c>
      <c r="U246" s="10">
        <v>2</v>
      </c>
      <c r="V246" s="6">
        <f t="shared" ca="1" si="17"/>
        <v>27.438508039158858</v>
      </c>
      <c r="W246" s="6">
        <f t="shared" ca="1" si="17"/>
        <v>26.863026798980375</v>
      </c>
      <c r="X246" s="6">
        <f t="shared" ca="1" si="17"/>
        <v>27.088534069501044</v>
      </c>
      <c r="Y246" s="6">
        <f t="shared" ca="1" si="17"/>
        <v>27.169771557877077</v>
      </c>
      <c r="Z246" s="6">
        <f t="shared" ca="1" si="17"/>
        <v>27.176778364447209</v>
      </c>
      <c r="AA246" s="6">
        <f t="shared" ca="1" si="17"/>
        <v>27.065139098947785</v>
      </c>
      <c r="AB246" s="6">
        <f t="shared" ca="1" si="15"/>
        <v>26.863026798980375</v>
      </c>
      <c r="AC246" s="6">
        <f t="shared" ca="1" si="16"/>
        <v>2</v>
      </c>
    </row>
    <row r="247" spans="1:29">
      <c r="A247" s="11">
        <v>246</v>
      </c>
      <c r="B247" s="12">
        <v>4</v>
      </c>
      <c r="C247" s="11">
        <v>4</v>
      </c>
      <c r="D247" s="11">
        <v>4</v>
      </c>
      <c r="E247" s="11">
        <v>4</v>
      </c>
      <c r="F247" s="11">
        <v>3</v>
      </c>
      <c r="G247" s="11">
        <v>3</v>
      </c>
      <c r="H247" s="11">
        <v>3</v>
      </c>
      <c r="I247" s="11">
        <v>1</v>
      </c>
      <c r="J247" s="11">
        <v>3</v>
      </c>
      <c r="K247" s="11">
        <v>4</v>
      </c>
      <c r="L247" s="11">
        <v>2</v>
      </c>
      <c r="M247" s="11">
        <v>3</v>
      </c>
      <c r="N247" s="11">
        <v>3</v>
      </c>
      <c r="O247" s="11">
        <v>2</v>
      </c>
      <c r="P247" s="11">
        <v>4</v>
      </c>
      <c r="Q247" s="11">
        <v>3</v>
      </c>
      <c r="R247" s="11">
        <v>2</v>
      </c>
      <c r="S247" s="11">
        <v>3</v>
      </c>
      <c r="T247" s="11">
        <v>4</v>
      </c>
      <c r="U247" s="10">
        <v>3</v>
      </c>
      <c r="V247" s="6">
        <f t="shared" ca="1" si="17"/>
        <v>13.842605964711053</v>
      </c>
      <c r="W247" s="6">
        <f t="shared" ca="1" si="17"/>
        <v>14.234525304469177</v>
      </c>
      <c r="X247" s="6">
        <f t="shared" ca="1" si="17"/>
        <v>13.75495416304909</v>
      </c>
      <c r="Y247" s="6">
        <f t="shared" ca="1" si="17"/>
        <v>14.336713910896714</v>
      </c>
      <c r="Z247" s="6">
        <f t="shared" ca="1" si="17"/>
        <v>14.139746174047346</v>
      </c>
      <c r="AA247" s="6">
        <f t="shared" ca="1" si="17"/>
        <v>14.107922621668749</v>
      </c>
      <c r="AB247" s="6">
        <f t="shared" ca="1" si="15"/>
        <v>13.75495416304909</v>
      </c>
      <c r="AC247" s="6">
        <f t="shared" ca="1" si="16"/>
        <v>3</v>
      </c>
    </row>
    <row r="248" spans="1:29">
      <c r="A248" s="11">
        <v>247</v>
      </c>
      <c r="B248" s="12">
        <v>5</v>
      </c>
      <c r="C248" s="11">
        <v>2</v>
      </c>
      <c r="D248" s="11">
        <v>2</v>
      </c>
      <c r="E248" s="11">
        <v>2</v>
      </c>
      <c r="F248" s="11">
        <v>5</v>
      </c>
      <c r="G248" s="11">
        <v>4</v>
      </c>
      <c r="H248" s="11">
        <v>3</v>
      </c>
      <c r="I248" s="11">
        <v>2</v>
      </c>
      <c r="J248" s="11">
        <v>2</v>
      </c>
      <c r="K248" s="11">
        <v>2</v>
      </c>
      <c r="L248" s="11">
        <v>1</v>
      </c>
      <c r="M248" s="11">
        <v>1</v>
      </c>
      <c r="N248" s="11">
        <v>1</v>
      </c>
      <c r="O248" s="11">
        <v>4</v>
      </c>
      <c r="P248" s="11">
        <v>3</v>
      </c>
      <c r="Q248" s="11">
        <v>2</v>
      </c>
      <c r="R248" s="11">
        <v>1</v>
      </c>
      <c r="S248" s="11">
        <v>1</v>
      </c>
      <c r="T248" s="11">
        <v>3</v>
      </c>
      <c r="U248" s="10">
        <v>2</v>
      </c>
      <c r="V248" s="6">
        <f t="shared" ca="1" si="17"/>
        <v>37.8552604076134</v>
      </c>
      <c r="W248" s="6">
        <f t="shared" ca="1" si="17"/>
        <v>37.979785177191594</v>
      </c>
      <c r="X248" s="6">
        <f t="shared" ca="1" si="17"/>
        <v>37.989413151367636</v>
      </c>
      <c r="Y248" s="6">
        <f t="shared" ca="1" si="17"/>
        <v>37.691259610422897</v>
      </c>
      <c r="Z248" s="6">
        <f t="shared" ca="1" si="17"/>
        <v>38.46215740941512</v>
      </c>
      <c r="AA248" s="6">
        <f t="shared" ca="1" si="17"/>
        <v>38.508916041375535</v>
      </c>
      <c r="AB248" s="6">
        <f t="shared" ca="1" si="15"/>
        <v>37.691259610422897</v>
      </c>
      <c r="AC248" s="6">
        <f t="shared" ca="1" si="16"/>
        <v>4</v>
      </c>
    </row>
    <row r="249" spans="1:29">
      <c r="A249" s="11">
        <v>248</v>
      </c>
      <c r="B249" s="12">
        <v>1</v>
      </c>
      <c r="C249" s="11">
        <v>1</v>
      </c>
      <c r="D249" s="11">
        <v>1</v>
      </c>
      <c r="E249" s="11">
        <v>4</v>
      </c>
      <c r="F249" s="11">
        <v>1</v>
      </c>
      <c r="G249" s="11">
        <v>5</v>
      </c>
      <c r="H249" s="11">
        <v>5</v>
      </c>
      <c r="I249" s="11">
        <v>1</v>
      </c>
      <c r="J249" s="11">
        <v>1</v>
      </c>
      <c r="K249" s="11">
        <v>4</v>
      </c>
      <c r="L249" s="11">
        <v>1</v>
      </c>
      <c r="M249" s="11">
        <v>1</v>
      </c>
      <c r="N249" s="11">
        <v>2</v>
      </c>
      <c r="O249" s="11">
        <v>5</v>
      </c>
      <c r="P249" s="11">
        <v>5</v>
      </c>
      <c r="Q249" s="11">
        <v>5</v>
      </c>
      <c r="R249" s="11">
        <v>1</v>
      </c>
      <c r="S249" s="11">
        <v>1</v>
      </c>
      <c r="T249" s="11">
        <v>3</v>
      </c>
      <c r="U249" s="10">
        <v>1</v>
      </c>
      <c r="V249" s="6">
        <f t="shared" ca="1" si="17"/>
        <v>66.992547861884162</v>
      </c>
      <c r="W249" s="6">
        <f t="shared" ca="1" si="17"/>
        <v>66.99456512357844</v>
      </c>
      <c r="X249" s="6">
        <f t="shared" ca="1" si="17"/>
        <v>67.221289685761406</v>
      </c>
      <c r="Y249" s="6">
        <f t="shared" ca="1" si="17"/>
        <v>66.792851647418161</v>
      </c>
      <c r="Z249" s="6">
        <f t="shared" ca="1" si="17"/>
        <v>67.732359758684026</v>
      </c>
      <c r="AA249" s="6">
        <f t="shared" ca="1" si="17"/>
        <v>66.910273310026497</v>
      </c>
      <c r="AB249" s="6">
        <f t="shared" ca="1" si="15"/>
        <v>66.792851647418161</v>
      </c>
      <c r="AC249" s="6">
        <f t="shared" ca="1" si="16"/>
        <v>4</v>
      </c>
    </row>
    <row r="250" spans="1:29">
      <c r="A250" s="11">
        <v>249</v>
      </c>
      <c r="B250" s="12">
        <v>3</v>
      </c>
      <c r="C250" s="11">
        <v>1</v>
      </c>
      <c r="D250" s="11">
        <v>1</v>
      </c>
      <c r="E250" s="11">
        <v>3</v>
      </c>
      <c r="F250" s="11">
        <v>2</v>
      </c>
      <c r="G250" s="11">
        <v>5</v>
      </c>
      <c r="H250" s="11">
        <v>3</v>
      </c>
      <c r="I250" s="11">
        <v>1</v>
      </c>
      <c r="J250" s="11">
        <v>1</v>
      </c>
      <c r="K250" s="11">
        <v>3</v>
      </c>
      <c r="L250" s="11">
        <v>2</v>
      </c>
      <c r="M250" s="11">
        <v>1</v>
      </c>
      <c r="N250" s="11">
        <v>3</v>
      </c>
      <c r="O250" s="11">
        <v>4</v>
      </c>
      <c r="P250" s="11">
        <v>4</v>
      </c>
      <c r="Q250" s="11">
        <v>2</v>
      </c>
      <c r="R250" s="11">
        <v>1</v>
      </c>
      <c r="S250" s="11">
        <v>2</v>
      </c>
      <c r="T250" s="11">
        <v>5</v>
      </c>
      <c r="U250" s="10">
        <v>2</v>
      </c>
      <c r="V250" s="6">
        <f t="shared" ca="1" si="17"/>
        <v>39.130638828891861</v>
      </c>
      <c r="W250" s="6">
        <f t="shared" ca="1" si="17"/>
        <v>39.040932492523687</v>
      </c>
      <c r="X250" s="6">
        <f t="shared" ca="1" si="17"/>
        <v>38.752521626291568</v>
      </c>
      <c r="Y250" s="6">
        <f t="shared" ca="1" si="17"/>
        <v>38.811000081627149</v>
      </c>
      <c r="Z250" s="6">
        <f t="shared" ca="1" si="17"/>
        <v>39.724242390176691</v>
      </c>
      <c r="AA250" s="6">
        <f t="shared" ca="1" si="17"/>
        <v>39.542942036178047</v>
      </c>
      <c r="AB250" s="6">
        <f t="shared" ca="1" si="15"/>
        <v>38.752521626291568</v>
      </c>
      <c r="AC250" s="6">
        <f t="shared" ca="1" si="16"/>
        <v>3</v>
      </c>
    </row>
    <row r="251" spans="1:29">
      <c r="A251" s="11">
        <v>250</v>
      </c>
      <c r="B251" s="12">
        <v>3</v>
      </c>
      <c r="C251" s="11">
        <v>2</v>
      </c>
      <c r="D251" s="11">
        <v>2</v>
      </c>
      <c r="E251" s="11">
        <v>4</v>
      </c>
      <c r="F251" s="11">
        <v>5</v>
      </c>
      <c r="G251" s="11">
        <v>2</v>
      </c>
      <c r="H251" s="11">
        <v>3</v>
      </c>
      <c r="I251" s="11">
        <v>2</v>
      </c>
      <c r="J251" s="11">
        <v>2</v>
      </c>
      <c r="K251" s="11">
        <v>4</v>
      </c>
      <c r="L251" s="11">
        <v>1</v>
      </c>
      <c r="M251" s="11">
        <v>2</v>
      </c>
      <c r="N251" s="11">
        <v>4</v>
      </c>
      <c r="O251" s="11">
        <v>5</v>
      </c>
      <c r="P251" s="11">
        <v>3</v>
      </c>
      <c r="Q251" s="11">
        <v>4</v>
      </c>
      <c r="R251" s="11">
        <v>1</v>
      </c>
      <c r="S251" s="11">
        <v>2</v>
      </c>
      <c r="T251" s="11">
        <v>2</v>
      </c>
      <c r="U251" s="10">
        <v>5</v>
      </c>
      <c r="V251" s="6">
        <f t="shared" ca="1" si="17"/>
        <v>31.694944560857124</v>
      </c>
      <c r="W251" s="6">
        <f t="shared" ca="1" si="17"/>
        <v>32.203835707933401</v>
      </c>
      <c r="X251" s="6">
        <f t="shared" ca="1" si="17"/>
        <v>32.133959232786367</v>
      </c>
      <c r="Y251" s="6">
        <f t="shared" ca="1" si="17"/>
        <v>32.033948734601523</v>
      </c>
      <c r="Z251" s="6">
        <f t="shared" ca="1" si="17"/>
        <v>32.002809058178109</v>
      </c>
      <c r="AA251" s="6">
        <f t="shared" ca="1" si="17"/>
        <v>32.454859321153045</v>
      </c>
      <c r="AB251" s="6">
        <f t="shared" ca="1" si="15"/>
        <v>31.694944560857124</v>
      </c>
      <c r="AC251" s="6">
        <f t="shared" ca="1" si="16"/>
        <v>1</v>
      </c>
    </row>
    <row r="252" spans="1:29">
      <c r="A252" s="11">
        <v>251</v>
      </c>
      <c r="B252" s="12">
        <v>3</v>
      </c>
      <c r="C252" s="11">
        <v>2</v>
      </c>
      <c r="D252" s="11">
        <v>2</v>
      </c>
      <c r="E252" s="11">
        <v>1</v>
      </c>
      <c r="F252" s="11">
        <v>2</v>
      </c>
      <c r="G252" s="11">
        <v>2</v>
      </c>
      <c r="H252" s="11">
        <v>3</v>
      </c>
      <c r="I252" s="11">
        <v>1</v>
      </c>
      <c r="J252" s="11">
        <v>2</v>
      </c>
      <c r="K252" s="11">
        <v>2</v>
      </c>
      <c r="L252" s="11">
        <v>2</v>
      </c>
      <c r="M252" s="11">
        <v>3</v>
      </c>
      <c r="N252" s="11">
        <v>5</v>
      </c>
      <c r="O252" s="11">
        <v>2</v>
      </c>
      <c r="P252" s="11">
        <v>3</v>
      </c>
      <c r="Q252" s="11">
        <v>2</v>
      </c>
      <c r="R252" s="11">
        <v>2</v>
      </c>
      <c r="S252" s="11">
        <v>4</v>
      </c>
      <c r="T252" s="11">
        <v>4</v>
      </c>
      <c r="U252" s="10">
        <v>2</v>
      </c>
      <c r="V252" s="6">
        <f t="shared" ca="1" si="17"/>
        <v>25.101053797804902</v>
      </c>
      <c r="W252" s="6">
        <f t="shared" ca="1" si="17"/>
        <v>25.180553443565373</v>
      </c>
      <c r="X252" s="6">
        <f t="shared" ca="1" si="17"/>
        <v>24.870732792326223</v>
      </c>
      <c r="Y252" s="6">
        <f t="shared" ca="1" si="17"/>
        <v>24.968545267223885</v>
      </c>
      <c r="Z252" s="6">
        <f t="shared" ca="1" si="17"/>
        <v>25.397284458752694</v>
      </c>
      <c r="AA252" s="6">
        <f t="shared" ca="1" si="17"/>
        <v>25.304740835851142</v>
      </c>
      <c r="AB252" s="6">
        <f t="shared" ca="1" si="15"/>
        <v>24.870732792326223</v>
      </c>
      <c r="AC252" s="6">
        <f t="shared" ca="1" si="16"/>
        <v>3</v>
      </c>
    </row>
    <row r="253" spans="1:29">
      <c r="A253" s="11">
        <v>252</v>
      </c>
      <c r="B253" s="12">
        <v>1</v>
      </c>
      <c r="C253" s="11">
        <v>1</v>
      </c>
      <c r="D253" s="11">
        <v>1</v>
      </c>
      <c r="E253" s="11">
        <v>5</v>
      </c>
      <c r="F253" s="11">
        <v>5</v>
      </c>
      <c r="G253" s="11">
        <v>5</v>
      </c>
      <c r="H253" s="11">
        <v>3</v>
      </c>
      <c r="I253" s="11">
        <v>1</v>
      </c>
      <c r="J253" s="11">
        <v>1</v>
      </c>
      <c r="K253" s="11">
        <v>4</v>
      </c>
      <c r="L253" s="11">
        <v>2</v>
      </c>
      <c r="M253" s="11">
        <v>1</v>
      </c>
      <c r="N253" s="11">
        <v>1</v>
      </c>
      <c r="O253" s="11">
        <v>4</v>
      </c>
      <c r="P253" s="11">
        <v>3</v>
      </c>
      <c r="Q253" s="11">
        <v>3</v>
      </c>
      <c r="R253" s="11">
        <v>2</v>
      </c>
      <c r="S253" s="11">
        <v>4</v>
      </c>
      <c r="T253" s="11">
        <v>3</v>
      </c>
      <c r="U253" s="10">
        <v>2</v>
      </c>
      <c r="V253" s="6">
        <f t="shared" ca="1" si="17"/>
        <v>46.209887222734999</v>
      </c>
      <c r="W253" s="6">
        <f t="shared" ca="1" si="17"/>
        <v>45.669912434415679</v>
      </c>
      <c r="X253" s="6">
        <f t="shared" ca="1" si="17"/>
        <v>46.059298962761567</v>
      </c>
      <c r="Y253" s="6">
        <f t="shared" ca="1" si="17"/>
        <v>45.799602007457914</v>
      </c>
      <c r="Z253" s="6">
        <f t="shared" ca="1" si="17"/>
        <v>46.47693431207491</v>
      </c>
      <c r="AA253" s="6">
        <f t="shared" ca="1" si="17"/>
        <v>46.413452146141708</v>
      </c>
      <c r="AB253" s="6">
        <f t="shared" ca="1" si="15"/>
        <v>45.669912434415679</v>
      </c>
      <c r="AC253" s="6">
        <f t="shared" ca="1" si="16"/>
        <v>2</v>
      </c>
    </row>
    <row r="254" spans="1:29">
      <c r="A254" s="11">
        <v>253</v>
      </c>
      <c r="B254" s="12">
        <v>5</v>
      </c>
      <c r="C254" s="11">
        <v>1</v>
      </c>
      <c r="D254" s="11">
        <v>3</v>
      </c>
      <c r="E254" s="11">
        <v>5</v>
      </c>
      <c r="F254" s="11">
        <v>1</v>
      </c>
      <c r="G254" s="11">
        <v>3</v>
      </c>
      <c r="H254" s="11">
        <v>3</v>
      </c>
      <c r="I254" s="11">
        <v>3</v>
      </c>
      <c r="J254" s="11">
        <v>3</v>
      </c>
      <c r="K254" s="11">
        <v>2</v>
      </c>
      <c r="L254" s="11">
        <v>1</v>
      </c>
      <c r="M254" s="11">
        <v>5</v>
      </c>
      <c r="N254" s="11">
        <v>3</v>
      </c>
      <c r="O254" s="11">
        <v>1</v>
      </c>
      <c r="P254" s="11">
        <v>3</v>
      </c>
      <c r="Q254" s="11">
        <v>3</v>
      </c>
      <c r="R254" s="11">
        <v>1</v>
      </c>
      <c r="S254" s="11">
        <v>1</v>
      </c>
      <c r="T254" s="11">
        <v>3</v>
      </c>
      <c r="U254" s="10">
        <v>5</v>
      </c>
      <c r="V254" s="6">
        <f t="shared" ca="1" si="17"/>
        <v>40.390424028426843</v>
      </c>
      <c r="W254" s="6">
        <f t="shared" ca="1" si="17"/>
        <v>41.021222755588006</v>
      </c>
      <c r="X254" s="6">
        <f t="shared" ca="1" si="17"/>
        <v>40.726107435215816</v>
      </c>
      <c r="Y254" s="6">
        <f t="shared" ca="1" si="17"/>
        <v>41.152870152449651</v>
      </c>
      <c r="Z254" s="6">
        <f t="shared" ca="1" si="17"/>
        <v>41.619129770038946</v>
      </c>
      <c r="AA254" s="6">
        <f t="shared" ca="1" si="17"/>
        <v>41.024426886974787</v>
      </c>
      <c r="AB254" s="6">
        <f t="shared" ca="1" si="15"/>
        <v>40.390424028426843</v>
      </c>
      <c r="AC254" s="6">
        <f t="shared" ca="1" si="16"/>
        <v>1</v>
      </c>
    </row>
    <row r="255" spans="1:29">
      <c r="A255" s="11">
        <v>254</v>
      </c>
      <c r="B255" s="12">
        <v>2</v>
      </c>
      <c r="C255" s="11">
        <v>2</v>
      </c>
      <c r="D255" s="11">
        <v>1</v>
      </c>
      <c r="E255" s="11">
        <v>2</v>
      </c>
      <c r="F255" s="11">
        <v>3</v>
      </c>
      <c r="G255" s="11">
        <v>2</v>
      </c>
      <c r="H255" s="11">
        <v>3</v>
      </c>
      <c r="I255" s="11">
        <v>1</v>
      </c>
      <c r="J255" s="11">
        <v>2</v>
      </c>
      <c r="K255" s="11">
        <v>3</v>
      </c>
      <c r="L255" s="11">
        <v>2</v>
      </c>
      <c r="M255" s="11">
        <v>1</v>
      </c>
      <c r="N255" s="11">
        <v>1</v>
      </c>
      <c r="O255" s="11">
        <v>5</v>
      </c>
      <c r="P255" s="11">
        <v>5</v>
      </c>
      <c r="Q255" s="11">
        <v>2</v>
      </c>
      <c r="R255" s="11">
        <v>2</v>
      </c>
      <c r="S255" s="11">
        <v>2</v>
      </c>
      <c r="T255" s="11">
        <v>2</v>
      </c>
      <c r="U255" s="10">
        <v>3</v>
      </c>
      <c r="V255" s="6">
        <f t="shared" ca="1" si="17"/>
        <v>34.258967168684393</v>
      </c>
      <c r="W255" s="6">
        <f t="shared" ca="1" si="17"/>
        <v>33.874192829733772</v>
      </c>
      <c r="X255" s="6">
        <f t="shared" ca="1" si="17"/>
        <v>34.269285249119399</v>
      </c>
      <c r="Y255" s="6">
        <f t="shared" ca="1" si="17"/>
        <v>33.882481164145915</v>
      </c>
      <c r="Z255" s="6">
        <f t="shared" ca="1" si="17"/>
        <v>34.186274314407726</v>
      </c>
      <c r="AA255" s="6">
        <f t="shared" ca="1" si="17"/>
        <v>34.004266951942085</v>
      </c>
      <c r="AB255" s="6">
        <f t="shared" ca="1" si="15"/>
        <v>33.874192829733772</v>
      </c>
      <c r="AC255" s="6">
        <f t="shared" ca="1" si="16"/>
        <v>2</v>
      </c>
    </row>
    <row r="256" spans="1:29">
      <c r="A256" s="11">
        <v>255</v>
      </c>
      <c r="B256" s="12">
        <v>3</v>
      </c>
      <c r="C256" s="11">
        <v>2</v>
      </c>
      <c r="D256" s="11">
        <v>2</v>
      </c>
      <c r="E256" s="11">
        <v>5</v>
      </c>
      <c r="F256" s="11">
        <v>3</v>
      </c>
      <c r="G256" s="11">
        <v>3</v>
      </c>
      <c r="H256" s="11">
        <v>4</v>
      </c>
      <c r="I256" s="11">
        <v>2</v>
      </c>
      <c r="J256" s="11">
        <v>2</v>
      </c>
      <c r="K256" s="11">
        <v>2</v>
      </c>
      <c r="L256" s="11">
        <v>2</v>
      </c>
      <c r="M256" s="11">
        <v>2</v>
      </c>
      <c r="N256" s="11">
        <v>2</v>
      </c>
      <c r="O256" s="11">
        <v>5</v>
      </c>
      <c r="P256" s="11">
        <v>1</v>
      </c>
      <c r="Q256" s="11">
        <v>5</v>
      </c>
      <c r="R256" s="11">
        <v>2</v>
      </c>
      <c r="S256" s="11">
        <v>4</v>
      </c>
      <c r="T256" s="11">
        <v>3</v>
      </c>
      <c r="U256" s="10">
        <v>3</v>
      </c>
      <c r="V256" s="6">
        <f t="shared" ca="1" si="17"/>
        <v>27.088484761468187</v>
      </c>
      <c r="W256" s="6">
        <f t="shared" ca="1" si="17"/>
        <v>27.083216568248286</v>
      </c>
      <c r="X256" s="6">
        <f t="shared" ca="1" si="17"/>
        <v>26.845674631073933</v>
      </c>
      <c r="Y256" s="6">
        <f t="shared" ca="1" si="17"/>
        <v>26.727022035946824</v>
      </c>
      <c r="Z256" s="6">
        <f t="shared" ca="1" si="17"/>
        <v>27.382628725414616</v>
      </c>
      <c r="AA256" s="6">
        <f t="shared" ca="1" si="17"/>
        <v>27.597900775462012</v>
      </c>
      <c r="AB256" s="6">
        <f t="shared" ca="1" si="15"/>
        <v>26.727022035946824</v>
      </c>
      <c r="AC256" s="6">
        <f t="shared" ca="1" si="16"/>
        <v>4</v>
      </c>
    </row>
    <row r="257" spans="1:29">
      <c r="A257" s="11">
        <v>256</v>
      </c>
      <c r="B257" s="12">
        <v>4</v>
      </c>
      <c r="C257" s="11">
        <v>2</v>
      </c>
      <c r="D257" s="11">
        <v>3</v>
      </c>
      <c r="E257" s="11">
        <v>4</v>
      </c>
      <c r="F257" s="11">
        <v>2</v>
      </c>
      <c r="G257" s="11">
        <v>3</v>
      </c>
      <c r="H257" s="11">
        <v>3</v>
      </c>
      <c r="I257" s="11">
        <v>4</v>
      </c>
      <c r="J257" s="11">
        <v>3</v>
      </c>
      <c r="K257" s="11">
        <v>3</v>
      </c>
      <c r="L257" s="11">
        <v>2</v>
      </c>
      <c r="M257" s="11">
        <v>3</v>
      </c>
      <c r="N257" s="11">
        <v>3</v>
      </c>
      <c r="O257" s="11">
        <v>2</v>
      </c>
      <c r="P257" s="11">
        <v>2</v>
      </c>
      <c r="Q257" s="11">
        <v>1</v>
      </c>
      <c r="R257" s="11">
        <v>5</v>
      </c>
      <c r="S257" s="11">
        <v>3</v>
      </c>
      <c r="T257" s="11">
        <v>1</v>
      </c>
      <c r="U257" s="10">
        <v>5</v>
      </c>
      <c r="V257" s="6">
        <f t="shared" ca="1" si="17"/>
        <v>24.114660902961262</v>
      </c>
      <c r="W257" s="6">
        <f t="shared" ca="1" si="17"/>
        <v>23.338287282607833</v>
      </c>
      <c r="X257" s="6">
        <f t="shared" ca="1" si="17"/>
        <v>23.704819478499875</v>
      </c>
      <c r="Y257" s="6">
        <f t="shared" ca="1" si="17"/>
        <v>24.162727416298054</v>
      </c>
      <c r="Z257" s="6">
        <f t="shared" ca="1" si="17"/>
        <v>23.688022529031674</v>
      </c>
      <c r="AA257" s="6">
        <f t="shared" ca="1" si="17"/>
        <v>24.107183726148815</v>
      </c>
      <c r="AB257" s="6">
        <f t="shared" ca="1" si="15"/>
        <v>23.338287282607833</v>
      </c>
      <c r="AC257" s="6">
        <f t="shared" ca="1" si="16"/>
        <v>2</v>
      </c>
    </row>
    <row r="258" spans="1:29">
      <c r="A258" s="11">
        <v>257</v>
      </c>
      <c r="B258" s="12">
        <v>5</v>
      </c>
      <c r="C258" s="11">
        <v>1</v>
      </c>
      <c r="D258" s="11">
        <v>1</v>
      </c>
      <c r="E258" s="11">
        <v>3</v>
      </c>
      <c r="F258" s="11">
        <v>1</v>
      </c>
      <c r="G258" s="11">
        <v>1</v>
      </c>
      <c r="H258" s="11">
        <v>1</v>
      </c>
      <c r="I258" s="11">
        <v>1</v>
      </c>
      <c r="J258" s="11">
        <v>1</v>
      </c>
      <c r="K258" s="11">
        <v>5</v>
      </c>
      <c r="L258" s="11">
        <v>4</v>
      </c>
      <c r="M258" s="11">
        <v>1</v>
      </c>
      <c r="N258" s="11">
        <v>1</v>
      </c>
      <c r="O258" s="11">
        <v>5</v>
      </c>
      <c r="P258" s="11">
        <v>4</v>
      </c>
      <c r="Q258" s="11">
        <v>1</v>
      </c>
      <c r="R258" s="11">
        <v>1</v>
      </c>
      <c r="S258" s="11">
        <v>5</v>
      </c>
      <c r="T258" s="11">
        <v>1</v>
      </c>
      <c r="U258" s="10">
        <v>1</v>
      </c>
      <c r="V258" s="6">
        <f t="shared" ca="1" si="17"/>
        <v>71.111316036273578</v>
      </c>
      <c r="W258" s="6">
        <f t="shared" ca="1" si="17"/>
        <v>70.062072588692729</v>
      </c>
      <c r="X258" s="6">
        <f t="shared" ca="1" si="17"/>
        <v>70.090982618281586</v>
      </c>
      <c r="Y258" s="6">
        <f t="shared" ca="1" si="17"/>
        <v>70.008080259988731</v>
      </c>
      <c r="Z258" s="6">
        <f t="shared" ca="1" si="17"/>
        <v>69.907745446007112</v>
      </c>
      <c r="AA258" s="6">
        <f t="shared" ca="1" si="17"/>
        <v>69.808374077596753</v>
      </c>
      <c r="AB258" s="6">
        <f t="shared" ca="1" si="15"/>
        <v>69.808374077596753</v>
      </c>
      <c r="AC258" s="6">
        <f t="shared" ca="1" si="16"/>
        <v>6</v>
      </c>
    </row>
    <row r="259" spans="1:29">
      <c r="A259" s="11">
        <v>258</v>
      </c>
      <c r="B259" s="12">
        <v>1</v>
      </c>
      <c r="C259" s="11">
        <v>1</v>
      </c>
      <c r="D259" s="11">
        <v>5</v>
      </c>
      <c r="E259" s="11">
        <v>1</v>
      </c>
      <c r="F259" s="11">
        <v>1</v>
      </c>
      <c r="G259" s="11">
        <v>1</v>
      </c>
      <c r="H259" s="11">
        <v>1</v>
      </c>
      <c r="I259" s="11">
        <v>1</v>
      </c>
      <c r="J259" s="11">
        <v>1</v>
      </c>
      <c r="K259" s="11">
        <v>5</v>
      </c>
      <c r="L259" s="11">
        <v>1</v>
      </c>
      <c r="M259" s="11">
        <v>5</v>
      </c>
      <c r="N259" s="11">
        <v>5</v>
      </c>
      <c r="O259" s="11">
        <v>1</v>
      </c>
      <c r="P259" s="11">
        <v>5</v>
      </c>
      <c r="Q259" s="11">
        <v>1</v>
      </c>
      <c r="R259" s="11">
        <v>5</v>
      </c>
      <c r="S259" s="11">
        <v>1</v>
      </c>
      <c r="T259" s="11">
        <v>1</v>
      </c>
      <c r="U259" s="10">
        <v>5</v>
      </c>
      <c r="V259" s="6">
        <f t="shared" ca="1" si="17"/>
        <v>79.722092519312781</v>
      </c>
      <c r="W259" s="6">
        <f t="shared" ca="1" si="17"/>
        <v>79.450836847034935</v>
      </c>
      <c r="X259" s="6">
        <f t="shared" ca="1" si="17"/>
        <v>79.985136629786382</v>
      </c>
      <c r="Y259" s="6">
        <f t="shared" ca="1" si="17"/>
        <v>80.391589168612967</v>
      </c>
      <c r="Z259" s="6">
        <f t="shared" ca="1" si="17"/>
        <v>79.985826086247542</v>
      </c>
      <c r="AA259" s="6">
        <f t="shared" ca="1" si="17"/>
        <v>79.415091658832708</v>
      </c>
      <c r="AB259" s="6">
        <f t="shared" ref="AB259:AB322" ca="1" si="18">MIN(V259:AA259)</f>
        <v>79.415091658832708</v>
      </c>
      <c r="AC259" s="6">
        <f t="shared" ref="AC259:AC322" ca="1" si="19">IF(AB259=V259,1,IF(AB259=W259,2,IF(AB259=X259,3,IF(AB259=Y259,4,IF(AB259=Z259,5,6)))))</f>
        <v>6</v>
      </c>
    </row>
    <row r="260" spans="1:29">
      <c r="A260" s="11">
        <v>259</v>
      </c>
      <c r="B260" s="12">
        <v>5</v>
      </c>
      <c r="C260" s="11">
        <v>2</v>
      </c>
      <c r="D260" s="11">
        <v>1</v>
      </c>
      <c r="E260" s="11">
        <v>3</v>
      </c>
      <c r="F260" s="11">
        <v>4</v>
      </c>
      <c r="G260" s="11">
        <v>3</v>
      </c>
      <c r="H260" s="11">
        <v>3</v>
      </c>
      <c r="I260" s="11">
        <v>2</v>
      </c>
      <c r="J260" s="11">
        <v>2</v>
      </c>
      <c r="K260" s="11">
        <v>2</v>
      </c>
      <c r="L260" s="11">
        <v>1</v>
      </c>
      <c r="M260" s="11">
        <v>2</v>
      </c>
      <c r="N260" s="11">
        <v>2</v>
      </c>
      <c r="O260" s="11">
        <v>4</v>
      </c>
      <c r="P260" s="11">
        <v>4</v>
      </c>
      <c r="Q260" s="11">
        <v>2</v>
      </c>
      <c r="R260" s="11">
        <v>4</v>
      </c>
      <c r="S260" s="11">
        <v>2</v>
      </c>
      <c r="T260" s="11">
        <v>4</v>
      </c>
      <c r="U260" s="10">
        <v>2</v>
      </c>
      <c r="V260" s="6">
        <f t="shared" ca="1" si="17"/>
        <v>26.218393321326786</v>
      </c>
      <c r="W260" s="6">
        <f t="shared" ca="1" si="17"/>
        <v>25.873612905866345</v>
      </c>
      <c r="X260" s="6">
        <f t="shared" ca="1" si="17"/>
        <v>25.962208648445117</v>
      </c>
      <c r="Y260" s="6">
        <f t="shared" ca="1" si="17"/>
        <v>25.850389330901869</v>
      </c>
      <c r="Z260" s="6">
        <f t="shared" ca="1" si="17"/>
        <v>26.179614399421183</v>
      </c>
      <c r="AA260" s="6">
        <f t="shared" ca="1" si="17"/>
        <v>26.719821576021765</v>
      </c>
      <c r="AB260" s="6">
        <f t="shared" ca="1" si="18"/>
        <v>25.850389330901869</v>
      </c>
      <c r="AC260" s="6">
        <f t="shared" ca="1" si="19"/>
        <v>4</v>
      </c>
    </row>
    <row r="261" spans="1:29">
      <c r="A261" s="11">
        <v>260</v>
      </c>
      <c r="B261" s="12">
        <v>2</v>
      </c>
      <c r="C261" s="11">
        <v>1</v>
      </c>
      <c r="D261" s="11">
        <v>1</v>
      </c>
      <c r="E261" s="11">
        <v>4</v>
      </c>
      <c r="F261" s="11">
        <v>2</v>
      </c>
      <c r="G261" s="11">
        <v>3</v>
      </c>
      <c r="H261" s="11">
        <v>3</v>
      </c>
      <c r="I261" s="11">
        <v>2</v>
      </c>
      <c r="J261" s="11">
        <v>3</v>
      </c>
      <c r="K261" s="11">
        <v>2</v>
      </c>
      <c r="L261" s="11">
        <v>2</v>
      </c>
      <c r="M261" s="11">
        <v>2</v>
      </c>
      <c r="N261" s="11">
        <v>3</v>
      </c>
      <c r="O261" s="11">
        <v>4</v>
      </c>
      <c r="P261" s="11">
        <v>4</v>
      </c>
      <c r="Q261" s="11">
        <v>2</v>
      </c>
      <c r="R261" s="11">
        <v>4</v>
      </c>
      <c r="S261" s="11">
        <v>1</v>
      </c>
      <c r="T261" s="11">
        <v>3</v>
      </c>
      <c r="U261" s="10">
        <v>2</v>
      </c>
      <c r="V261" s="6">
        <f t="shared" ca="1" si="17"/>
        <v>24.388047038855294</v>
      </c>
      <c r="W261" s="6">
        <f t="shared" ca="1" si="17"/>
        <v>23.982840950662606</v>
      </c>
      <c r="X261" s="6">
        <f t="shared" ca="1" si="17"/>
        <v>24.222483630496068</v>
      </c>
      <c r="Y261" s="6">
        <f t="shared" ca="1" si="17"/>
        <v>24.079118884955651</v>
      </c>
      <c r="Z261" s="6">
        <f t="shared" ca="1" si="17"/>
        <v>24.370566814811134</v>
      </c>
      <c r="AA261" s="6">
        <f t="shared" ca="1" si="17"/>
        <v>24.115473252369068</v>
      </c>
      <c r="AB261" s="6">
        <f t="shared" ca="1" si="18"/>
        <v>23.982840950662606</v>
      </c>
      <c r="AC261" s="6">
        <f t="shared" ca="1" si="19"/>
        <v>2</v>
      </c>
    </row>
    <row r="262" spans="1:29">
      <c r="A262" s="11">
        <v>261</v>
      </c>
      <c r="B262" s="12">
        <v>1</v>
      </c>
      <c r="C262" s="11">
        <v>2</v>
      </c>
      <c r="D262" s="11">
        <v>3</v>
      </c>
      <c r="E262" s="11">
        <v>2</v>
      </c>
      <c r="F262" s="11">
        <v>5</v>
      </c>
      <c r="G262" s="11">
        <v>3</v>
      </c>
      <c r="H262" s="11">
        <v>3</v>
      </c>
      <c r="I262" s="11">
        <v>2</v>
      </c>
      <c r="J262" s="11">
        <v>2</v>
      </c>
      <c r="K262" s="11">
        <v>1</v>
      </c>
      <c r="L262" s="11">
        <v>1</v>
      </c>
      <c r="M262" s="11">
        <v>3</v>
      </c>
      <c r="N262" s="11">
        <v>4</v>
      </c>
      <c r="O262" s="11">
        <v>4</v>
      </c>
      <c r="P262" s="11">
        <v>3</v>
      </c>
      <c r="Q262" s="11">
        <v>2</v>
      </c>
      <c r="R262" s="11">
        <v>3</v>
      </c>
      <c r="S262" s="11">
        <v>3</v>
      </c>
      <c r="T262" s="11">
        <v>4</v>
      </c>
      <c r="U262" s="10">
        <v>3</v>
      </c>
      <c r="V262" s="6">
        <f t="shared" ca="1" si="17"/>
        <v>23.913681232609342</v>
      </c>
      <c r="W262" s="6">
        <f t="shared" ca="1" si="17"/>
        <v>23.720473524394233</v>
      </c>
      <c r="X262" s="6">
        <f t="shared" ca="1" si="17"/>
        <v>24.004076079407639</v>
      </c>
      <c r="Y262" s="6">
        <f t="shared" ca="1" si="17"/>
        <v>23.81364396715815</v>
      </c>
      <c r="Z262" s="6">
        <f t="shared" ca="1" si="17"/>
        <v>24.418807079659071</v>
      </c>
      <c r="AA262" s="6">
        <f t="shared" ca="1" si="17"/>
        <v>24.576764520036992</v>
      </c>
      <c r="AB262" s="6">
        <f t="shared" ca="1" si="18"/>
        <v>23.720473524394233</v>
      </c>
      <c r="AC262" s="6">
        <f t="shared" ca="1" si="19"/>
        <v>2</v>
      </c>
    </row>
    <row r="263" spans="1:29">
      <c r="A263" s="11">
        <v>262</v>
      </c>
      <c r="B263" s="12">
        <v>3</v>
      </c>
      <c r="C263" s="11">
        <v>4</v>
      </c>
      <c r="D263" s="11">
        <v>5</v>
      </c>
      <c r="E263" s="11">
        <v>4</v>
      </c>
      <c r="F263" s="11">
        <v>5</v>
      </c>
      <c r="G263" s="11">
        <v>4</v>
      </c>
      <c r="H263" s="11">
        <v>5</v>
      </c>
      <c r="I263" s="11">
        <v>2</v>
      </c>
      <c r="J263" s="11">
        <v>4</v>
      </c>
      <c r="K263" s="11">
        <v>4</v>
      </c>
      <c r="L263" s="11">
        <v>4</v>
      </c>
      <c r="M263" s="11">
        <v>1</v>
      </c>
      <c r="N263" s="11">
        <v>3</v>
      </c>
      <c r="O263" s="11">
        <v>3</v>
      </c>
      <c r="P263" s="11">
        <v>4</v>
      </c>
      <c r="Q263" s="11">
        <v>2</v>
      </c>
      <c r="R263" s="11">
        <v>4</v>
      </c>
      <c r="S263" s="11">
        <v>5</v>
      </c>
      <c r="T263" s="11">
        <v>4</v>
      </c>
      <c r="U263" s="10">
        <v>5</v>
      </c>
      <c r="V263" s="6">
        <f t="shared" ca="1" si="17"/>
        <v>35.389464381067661</v>
      </c>
      <c r="W263" s="6">
        <f t="shared" ca="1" si="17"/>
        <v>34.530194909840425</v>
      </c>
      <c r="X263" s="6">
        <f t="shared" ca="1" si="17"/>
        <v>34.699437487487074</v>
      </c>
      <c r="Y263" s="6">
        <f t="shared" ca="1" si="17"/>
        <v>35.397237334894768</v>
      </c>
      <c r="Z263" s="6">
        <f t="shared" ca="1" si="17"/>
        <v>34.288809030123943</v>
      </c>
      <c r="AA263" s="6">
        <f t="shared" ca="1" si="17"/>
        <v>35.437810564114592</v>
      </c>
      <c r="AB263" s="6">
        <f t="shared" ca="1" si="18"/>
        <v>34.288809030123943</v>
      </c>
      <c r="AC263" s="6">
        <f t="shared" ca="1" si="19"/>
        <v>5</v>
      </c>
    </row>
    <row r="264" spans="1:29">
      <c r="A264" s="11">
        <v>263</v>
      </c>
      <c r="B264" s="12">
        <v>5</v>
      </c>
      <c r="C264" s="11">
        <v>5</v>
      </c>
      <c r="D264" s="11">
        <v>5</v>
      </c>
      <c r="E264" s="11">
        <v>4</v>
      </c>
      <c r="F264" s="11">
        <v>4</v>
      </c>
      <c r="G264" s="11">
        <v>5</v>
      </c>
      <c r="H264" s="11">
        <v>3</v>
      </c>
      <c r="I264" s="11">
        <v>3</v>
      </c>
      <c r="J264" s="11">
        <v>4</v>
      </c>
      <c r="K264" s="11">
        <v>2</v>
      </c>
      <c r="L264" s="11">
        <v>3</v>
      </c>
      <c r="M264" s="11">
        <v>2</v>
      </c>
      <c r="N264" s="11">
        <v>3</v>
      </c>
      <c r="O264" s="11">
        <v>4</v>
      </c>
      <c r="P264" s="11">
        <v>2</v>
      </c>
      <c r="Q264" s="11">
        <v>2</v>
      </c>
      <c r="R264" s="11">
        <v>2</v>
      </c>
      <c r="S264" s="11">
        <v>4</v>
      </c>
      <c r="T264" s="11">
        <v>4</v>
      </c>
      <c r="U264" s="10">
        <v>3</v>
      </c>
      <c r="V264" s="6">
        <f t="shared" ca="1" si="17"/>
        <v>27.093037367036938</v>
      </c>
      <c r="W264" s="6">
        <f t="shared" ca="1" si="17"/>
        <v>27.055287449991948</v>
      </c>
      <c r="X264" s="6">
        <f t="shared" ca="1" si="17"/>
        <v>26.457418086687738</v>
      </c>
      <c r="Y264" s="6">
        <f t="shared" ca="1" si="17"/>
        <v>27.14431936361396</v>
      </c>
      <c r="Z264" s="6">
        <f t="shared" ca="1" si="17"/>
        <v>26.958025529637084</v>
      </c>
      <c r="AA264" s="6">
        <f t="shared" ca="1" si="17"/>
        <v>27.593330612932835</v>
      </c>
      <c r="AB264" s="6">
        <f t="shared" ca="1" si="18"/>
        <v>26.457418086687738</v>
      </c>
      <c r="AC264" s="6">
        <f t="shared" ca="1" si="19"/>
        <v>3</v>
      </c>
    </row>
    <row r="265" spans="1:29">
      <c r="A265" s="11">
        <v>264</v>
      </c>
      <c r="B265" s="12">
        <v>2</v>
      </c>
      <c r="C265" s="11">
        <v>3</v>
      </c>
      <c r="D265" s="11">
        <v>2</v>
      </c>
      <c r="E265" s="11">
        <v>3</v>
      </c>
      <c r="F265" s="11">
        <v>4</v>
      </c>
      <c r="G265" s="11">
        <v>3</v>
      </c>
      <c r="H265" s="11">
        <v>3</v>
      </c>
      <c r="I265" s="11">
        <v>2</v>
      </c>
      <c r="J265" s="11">
        <v>1</v>
      </c>
      <c r="K265" s="11">
        <v>2</v>
      </c>
      <c r="L265" s="11">
        <v>3</v>
      </c>
      <c r="M265" s="11">
        <v>2</v>
      </c>
      <c r="N265" s="11">
        <v>3</v>
      </c>
      <c r="O265" s="11">
        <v>4</v>
      </c>
      <c r="P265" s="11">
        <v>5</v>
      </c>
      <c r="Q265" s="11">
        <v>4</v>
      </c>
      <c r="R265" s="11">
        <v>3</v>
      </c>
      <c r="S265" s="11">
        <v>2</v>
      </c>
      <c r="T265" s="11">
        <v>4</v>
      </c>
      <c r="U265" s="10">
        <v>2</v>
      </c>
      <c r="V265" s="6">
        <f t="shared" ca="1" si="17"/>
        <v>19.014646326888112</v>
      </c>
      <c r="W265" s="6">
        <f t="shared" ca="1" si="17"/>
        <v>19.103203672333947</v>
      </c>
      <c r="X265" s="6">
        <f t="shared" ca="1" si="17"/>
        <v>19.121539787671317</v>
      </c>
      <c r="Y265" s="6">
        <f t="shared" ca="1" si="17"/>
        <v>18.757531666564436</v>
      </c>
      <c r="Z265" s="6">
        <f t="shared" ca="1" si="17"/>
        <v>19.274096755234197</v>
      </c>
      <c r="AA265" s="6">
        <f t="shared" ca="1" si="17"/>
        <v>19.347948311013578</v>
      </c>
      <c r="AB265" s="6">
        <f t="shared" ca="1" si="18"/>
        <v>18.757531666564436</v>
      </c>
      <c r="AC265" s="6">
        <f t="shared" ca="1" si="19"/>
        <v>4</v>
      </c>
    </row>
    <row r="266" spans="1:29">
      <c r="A266" s="11">
        <v>265</v>
      </c>
      <c r="B266" s="12">
        <v>3</v>
      </c>
      <c r="C266" s="11">
        <v>2</v>
      </c>
      <c r="D266" s="11">
        <v>1</v>
      </c>
      <c r="E266" s="11">
        <v>2</v>
      </c>
      <c r="F266" s="11">
        <v>2</v>
      </c>
      <c r="G266" s="11">
        <v>4</v>
      </c>
      <c r="H266" s="11">
        <v>3</v>
      </c>
      <c r="I266" s="11">
        <v>2</v>
      </c>
      <c r="J266" s="11">
        <v>2</v>
      </c>
      <c r="K266" s="11">
        <v>3</v>
      </c>
      <c r="L266" s="11">
        <v>1</v>
      </c>
      <c r="M266" s="11">
        <v>4</v>
      </c>
      <c r="N266" s="11">
        <v>3</v>
      </c>
      <c r="O266" s="11">
        <v>5</v>
      </c>
      <c r="P266" s="11">
        <v>4</v>
      </c>
      <c r="Q266" s="11">
        <v>4</v>
      </c>
      <c r="R266" s="11">
        <v>2</v>
      </c>
      <c r="S266" s="11">
        <v>2</v>
      </c>
      <c r="T266" s="11">
        <v>3</v>
      </c>
      <c r="U266" s="10">
        <v>3</v>
      </c>
      <c r="V266" s="6">
        <f t="shared" ca="1" si="17"/>
        <v>22.687206441989584</v>
      </c>
      <c r="W266" s="6">
        <f t="shared" ca="1" si="17"/>
        <v>23.098524736860771</v>
      </c>
      <c r="X266" s="6">
        <f t="shared" ca="1" si="17"/>
        <v>23.110820432909694</v>
      </c>
      <c r="Y266" s="6">
        <f t="shared" ca="1" si="17"/>
        <v>22.792026308031769</v>
      </c>
      <c r="Z266" s="6">
        <f t="shared" ca="1" si="17"/>
        <v>23.399080994293332</v>
      </c>
      <c r="AA266" s="6">
        <f t="shared" ca="1" si="17"/>
        <v>23.235622599342008</v>
      </c>
      <c r="AB266" s="6">
        <f t="shared" ca="1" si="18"/>
        <v>22.687206441989584</v>
      </c>
      <c r="AC266" s="6">
        <f t="shared" ca="1" si="19"/>
        <v>1</v>
      </c>
    </row>
    <row r="267" spans="1:29">
      <c r="A267" s="11">
        <v>266</v>
      </c>
      <c r="B267" s="12">
        <v>2</v>
      </c>
      <c r="C267" s="11">
        <v>4</v>
      </c>
      <c r="D267" s="11">
        <v>2</v>
      </c>
      <c r="E267" s="11">
        <v>4</v>
      </c>
      <c r="F267" s="11">
        <v>5</v>
      </c>
      <c r="G267" s="11">
        <v>3</v>
      </c>
      <c r="H267" s="11">
        <v>3</v>
      </c>
      <c r="I267" s="11">
        <v>2</v>
      </c>
      <c r="J267" s="11">
        <v>2</v>
      </c>
      <c r="K267" s="11">
        <v>2</v>
      </c>
      <c r="L267" s="11">
        <v>1</v>
      </c>
      <c r="M267" s="11">
        <v>2</v>
      </c>
      <c r="N267" s="11">
        <v>3</v>
      </c>
      <c r="O267" s="11">
        <v>5</v>
      </c>
      <c r="P267" s="11">
        <v>5</v>
      </c>
      <c r="Q267" s="11">
        <v>4</v>
      </c>
      <c r="R267" s="11">
        <v>3</v>
      </c>
      <c r="S267" s="11">
        <v>2</v>
      </c>
      <c r="T267" s="11">
        <v>3</v>
      </c>
      <c r="U267" s="10">
        <v>5</v>
      </c>
      <c r="V267" s="6">
        <f t="shared" ca="1" si="17"/>
        <v>29.618525115484257</v>
      </c>
      <c r="W267" s="6">
        <f t="shared" ca="1" si="17"/>
        <v>29.928011019701035</v>
      </c>
      <c r="X267" s="6">
        <f t="shared" ca="1" si="17"/>
        <v>29.947851783539608</v>
      </c>
      <c r="Y267" s="6">
        <f t="shared" ca="1" si="17"/>
        <v>29.934969215373407</v>
      </c>
      <c r="Z267" s="6">
        <f t="shared" ca="1" si="17"/>
        <v>30.073909280659073</v>
      </c>
      <c r="AA267" s="6">
        <f t="shared" ca="1" si="17"/>
        <v>30.675705055270232</v>
      </c>
      <c r="AB267" s="6">
        <f t="shared" ca="1" si="18"/>
        <v>29.618525115484257</v>
      </c>
      <c r="AC267" s="6">
        <f t="shared" ca="1" si="19"/>
        <v>1</v>
      </c>
    </row>
    <row r="268" spans="1:29">
      <c r="A268" s="11">
        <v>267</v>
      </c>
      <c r="B268" s="12">
        <v>3</v>
      </c>
      <c r="C268" s="11">
        <v>4</v>
      </c>
      <c r="D268" s="11">
        <v>3</v>
      </c>
      <c r="E268" s="11">
        <v>3</v>
      </c>
      <c r="F268" s="11">
        <v>3</v>
      </c>
      <c r="G268" s="11">
        <v>3</v>
      </c>
      <c r="H268" s="11">
        <v>2</v>
      </c>
      <c r="I268" s="11">
        <v>3</v>
      </c>
      <c r="J268" s="11">
        <v>4</v>
      </c>
      <c r="K268" s="11">
        <v>4</v>
      </c>
      <c r="L268" s="11">
        <v>4</v>
      </c>
      <c r="M268" s="11">
        <v>2</v>
      </c>
      <c r="N268" s="11">
        <v>2</v>
      </c>
      <c r="O268" s="11">
        <v>4</v>
      </c>
      <c r="P268" s="11">
        <v>3</v>
      </c>
      <c r="Q268" s="11">
        <v>3</v>
      </c>
      <c r="R268" s="11">
        <v>3</v>
      </c>
      <c r="S268" s="11">
        <v>4</v>
      </c>
      <c r="T268" s="11">
        <v>3</v>
      </c>
      <c r="U268" s="10">
        <v>3</v>
      </c>
      <c r="V268" s="6">
        <f t="shared" ca="1" si="17"/>
        <v>9.2625272910772694</v>
      </c>
      <c r="W268" s="6">
        <f t="shared" ca="1" si="17"/>
        <v>9.1845544821572478</v>
      </c>
      <c r="X268" s="6">
        <f t="shared" ca="1" si="17"/>
        <v>9.0108455781378805</v>
      </c>
      <c r="Y268" s="6">
        <f t="shared" ca="1" si="17"/>
        <v>9.0652170920718458</v>
      </c>
      <c r="Z268" s="6">
        <f t="shared" ca="1" si="17"/>
        <v>8.8196390070162352</v>
      </c>
      <c r="AA268" s="6">
        <f t="shared" ca="1" si="17"/>
        <v>8.920014554501611</v>
      </c>
      <c r="AB268" s="6">
        <f t="shared" ca="1" si="18"/>
        <v>8.8196390070162352</v>
      </c>
      <c r="AC268" s="6">
        <f t="shared" ca="1" si="19"/>
        <v>5</v>
      </c>
    </row>
    <row r="269" spans="1:29">
      <c r="A269" s="11">
        <v>268</v>
      </c>
      <c r="B269" s="12">
        <v>3</v>
      </c>
      <c r="C269" s="11">
        <v>3</v>
      </c>
      <c r="D269" s="11">
        <v>2</v>
      </c>
      <c r="E269" s="11">
        <v>3</v>
      </c>
      <c r="F269" s="11">
        <v>2</v>
      </c>
      <c r="G269" s="11">
        <v>2</v>
      </c>
      <c r="H269" s="11">
        <v>3</v>
      </c>
      <c r="I269" s="11">
        <v>2</v>
      </c>
      <c r="J269" s="11">
        <v>2</v>
      </c>
      <c r="K269" s="11">
        <v>2</v>
      </c>
      <c r="L269" s="11">
        <v>2</v>
      </c>
      <c r="M269" s="11">
        <v>2</v>
      </c>
      <c r="N269" s="11">
        <v>2</v>
      </c>
      <c r="O269" s="11">
        <v>3</v>
      </c>
      <c r="P269" s="11">
        <v>2</v>
      </c>
      <c r="Q269" s="11">
        <v>2</v>
      </c>
      <c r="R269" s="11">
        <v>3</v>
      </c>
      <c r="S269" s="11">
        <v>2</v>
      </c>
      <c r="T269" s="11">
        <v>3</v>
      </c>
      <c r="U269" s="10">
        <v>3</v>
      </c>
      <c r="V269" s="6">
        <f t="shared" ca="1" si="17"/>
        <v>12.011901302504523</v>
      </c>
      <c r="W269" s="6">
        <f t="shared" ca="1" si="17"/>
        <v>12.012547458248969</v>
      </c>
      <c r="X269" s="6">
        <f t="shared" ca="1" si="17"/>
        <v>11.797370475990236</v>
      </c>
      <c r="Y269" s="6">
        <f t="shared" ca="1" si="17"/>
        <v>11.864590946781059</v>
      </c>
      <c r="Z269" s="6">
        <f t="shared" ca="1" si="17"/>
        <v>12.378881603752109</v>
      </c>
      <c r="AA269" s="6">
        <f t="shared" ca="1" si="17"/>
        <v>12.196103902080084</v>
      </c>
      <c r="AB269" s="6">
        <f t="shared" ca="1" si="18"/>
        <v>11.797370475990236</v>
      </c>
      <c r="AC269" s="6">
        <f t="shared" ca="1" si="19"/>
        <v>3</v>
      </c>
    </row>
    <row r="270" spans="1:29">
      <c r="A270" s="11">
        <v>269</v>
      </c>
      <c r="B270" s="12">
        <v>1</v>
      </c>
      <c r="C270" s="11">
        <v>2</v>
      </c>
      <c r="D270" s="11">
        <v>2</v>
      </c>
      <c r="E270" s="11">
        <v>3</v>
      </c>
      <c r="F270" s="11">
        <v>3</v>
      </c>
      <c r="G270" s="11">
        <v>3</v>
      </c>
      <c r="H270" s="11">
        <v>3</v>
      </c>
      <c r="I270" s="11">
        <v>3</v>
      </c>
      <c r="J270" s="11">
        <v>2</v>
      </c>
      <c r="K270" s="11">
        <v>3</v>
      </c>
      <c r="L270" s="11">
        <v>3</v>
      </c>
      <c r="M270" s="11">
        <v>2</v>
      </c>
      <c r="N270" s="11">
        <v>3</v>
      </c>
      <c r="O270" s="11">
        <v>4</v>
      </c>
      <c r="P270" s="11">
        <v>3</v>
      </c>
      <c r="Q270" s="11">
        <v>2</v>
      </c>
      <c r="R270" s="11">
        <v>2</v>
      </c>
      <c r="S270" s="11">
        <v>2</v>
      </c>
      <c r="T270" s="11">
        <v>2</v>
      </c>
      <c r="U270" s="10">
        <v>3</v>
      </c>
      <c r="V270" s="6">
        <f t="shared" ca="1" si="17"/>
        <v>13.10392518724688</v>
      </c>
      <c r="W270" s="6">
        <f t="shared" ca="1" si="17"/>
        <v>12.884580244201155</v>
      </c>
      <c r="X270" s="6">
        <f t="shared" ca="1" si="17"/>
        <v>13.201949084475695</v>
      </c>
      <c r="Y270" s="6">
        <f t="shared" ca="1" si="17"/>
        <v>12.894524856135803</v>
      </c>
      <c r="Z270" s="6">
        <f t="shared" ca="1" si="17"/>
        <v>13.201118685082642</v>
      </c>
      <c r="AA270" s="6">
        <f t="shared" ca="1" si="17"/>
        <v>12.852904705040341</v>
      </c>
      <c r="AB270" s="6">
        <f t="shared" ca="1" si="18"/>
        <v>12.852904705040341</v>
      </c>
      <c r="AC270" s="6">
        <f t="shared" ca="1" si="19"/>
        <v>6</v>
      </c>
    </row>
    <row r="271" spans="1:29">
      <c r="A271" s="11">
        <v>270</v>
      </c>
      <c r="B271" s="12">
        <v>2</v>
      </c>
      <c r="C271" s="11">
        <v>2</v>
      </c>
      <c r="D271" s="11">
        <v>3</v>
      </c>
      <c r="E271" s="11">
        <v>2</v>
      </c>
      <c r="F271" s="11">
        <v>2</v>
      </c>
      <c r="G271" s="11">
        <v>2</v>
      </c>
      <c r="H271" s="11">
        <v>2</v>
      </c>
      <c r="I271" s="11">
        <v>2</v>
      </c>
      <c r="J271" s="11">
        <v>2</v>
      </c>
      <c r="K271" s="11">
        <v>2</v>
      </c>
      <c r="L271" s="11">
        <v>2</v>
      </c>
      <c r="M271" s="11">
        <v>3</v>
      </c>
      <c r="N271" s="11">
        <v>2</v>
      </c>
      <c r="O271" s="11">
        <v>2</v>
      </c>
      <c r="P271" s="11">
        <v>2</v>
      </c>
      <c r="Q271" s="11">
        <v>2</v>
      </c>
      <c r="R271" s="11">
        <v>2</v>
      </c>
      <c r="S271" s="11">
        <v>2</v>
      </c>
      <c r="T271" s="11">
        <v>2</v>
      </c>
      <c r="U271" s="10">
        <v>2</v>
      </c>
      <c r="V271" s="6">
        <f t="shared" ca="1" si="17"/>
        <v>17.890165205776871</v>
      </c>
      <c r="W271" s="6">
        <f t="shared" ca="1" si="17"/>
        <v>17.993414876448401</v>
      </c>
      <c r="X271" s="6">
        <f t="shared" ca="1" si="17"/>
        <v>18.019456978078072</v>
      </c>
      <c r="Y271" s="6">
        <f t="shared" ca="1" si="17"/>
        <v>17.835376522130048</v>
      </c>
      <c r="Z271" s="6">
        <f t="shared" ca="1" si="17"/>
        <v>18.646953994745942</v>
      </c>
      <c r="AA271" s="6">
        <f t="shared" ca="1" si="17"/>
        <v>17.706837682033616</v>
      </c>
      <c r="AB271" s="6">
        <f t="shared" ca="1" si="18"/>
        <v>17.706837682033616</v>
      </c>
      <c r="AC271" s="6">
        <f t="shared" ca="1" si="19"/>
        <v>6</v>
      </c>
    </row>
    <row r="272" spans="1:29">
      <c r="A272" s="11">
        <v>271</v>
      </c>
      <c r="B272" s="12">
        <v>3</v>
      </c>
      <c r="C272" s="11">
        <v>2</v>
      </c>
      <c r="D272" s="11">
        <v>2</v>
      </c>
      <c r="E272" s="11">
        <v>3</v>
      </c>
      <c r="F272" s="11">
        <v>3</v>
      </c>
      <c r="G272" s="11">
        <v>4</v>
      </c>
      <c r="H272" s="11">
        <v>3</v>
      </c>
      <c r="I272" s="11">
        <v>2</v>
      </c>
      <c r="J272" s="11">
        <v>3</v>
      </c>
      <c r="K272" s="11">
        <v>4</v>
      </c>
      <c r="L272" s="11">
        <v>2</v>
      </c>
      <c r="M272" s="11">
        <v>3</v>
      </c>
      <c r="N272" s="11">
        <v>2</v>
      </c>
      <c r="O272" s="11">
        <v>4</v>
      </c>
      <c r="P272" s="11">
        <v>2</v>
      </c>
      <c r="Q272" s="11">
        <v>2</v>
      </c>
      <c r="R272" s="11">
        <v>3</v>
      </c>
      <c r="S272" s="11">
        <v>2</v>
      </c>
      <c r="T272" s="11">
        <v>5</v>
      </c>
      <c r="U272" s="10">
        <v>4</v>
      </c>
      <c r="V272" s="6">
        <f t="shared" ca="1" si="17"/>
        <v>15.899982941393136</v>
      </c>
      <c r="W272" s="6">
        <f t="shared" ca="1" si="17"/>
        <v>16.004124711329311</v>
      </c>
      <c r="X272" s="6">
        <f t="shared" ca="1" si="17"/>
        <v>15.852694597901749</v>
      </c>
      <c r="Y272" s="6">
        <f t="shared" ca="1" si="17"/>
        <v>15.963431062095317</v>
      </c>
      <c r="Z272" s="6">
        <f t="shared" ca="1" si="17"/>
        <v>16.310591754265616</v>
      </c>
      <c r="AA272" s="6">
        <f t="shared" ca="1" si="17"/>
        <v>16.366144767927867</v>
      </c>
      <c r="AB272" s="6">
        <f t="shared" ca="1" si="18"/>
        <v>15.852694597901749</v>
      </c>
      <c r="AC272" s="6">
        <f t="shared" ca="1" si="19"/>
        <v>3</v>
      </c>
    </row>
    <row r="273" spans="1:29">
      <c r="A273" s="11">
        <v>272</v>
      </c>
      <c r="B273" s="12">
        <v>2</v>
      </c>
      <c r="C273" s="11">
        <v>1</v>
      </c>
      <c r="D273" s="11">
        <v>2</v>
      </c>
      <c r="E273" s="11">
        <v>1</v>
      </c>
      <c r="F273" s="11">
        <v>3</v>
      </c>
      <c r="G273" s="11">
        <v>2</v>
      </c>
      <c r="H273" s="11">
        <v>3</v>
      </c>
      <c r="I273" s="11">
        <v>3</v>
      </c>
      <c r="J273" s="11">
        <v>2</v>
      </c>
      <c r="K273" s="11">
        <v>4</v>
      </c>
      <c r="L273" s="11">
        <v>2</v>
      </c>
      <c r="M273" s="11">
        <v>3</v>
      </c>
      <c r="N273" s="11">
        <v>2</v>
      </c>
      <c r="O273" s="11">
        <v>3</v>
      </c>
      <c r="P273" s="11">
        <v>3</v>
      </c>
      <c r="Q273" s="11">
        <v>4</v>
      </c>
      <c r="R273" s="11">
        <v>3</v>
      </c>
      <c r="S273" s="11">
        <v>3</v>
      </c>
      <c r="T273" s="11">
        <v>2</v>
      </c>
      <c r="U273" s="10">
        <v>2</v>
      </c>
      <c r="V273" s="6">
        <f t="shared" ca="1" si="17"/>
        <v>17.977767241602525</v>
      </c>
      <c r="W273" s="6">
        <f t="shared" ca="1" si="17"/>
        <v>17.840390331645789</v>
      </c>
      <c r="X273" s="6">
        <f t="shared" ca="1" si="17"/>
        <v>18.425871628688199</v>
      </c>
      <c r="Y273" s="6">
        <f t="shared" ca="1" si="17"/>
        <v>17.666870415032815</v>
      </c>
      <c r="Z273" s="6">
        <f t="shared" ca="1" si="17"/>
        <v>18.156768988450395</v>
      </c>
      <c r="AA273" s="6">
        <f t="shared" ca="1" si="17"/>
        <v>17.668035171558401</v>
      </c>
      <c r="AB273" s="6">
        <f t="shared" ca="1" si="18"/>
        <v>17.666870415032815</v>
      </c>
      <c r="AC273" s="6">
        <f t="shared" ca="1" si="19"/>
        <v>4</v>
      </c>
    </row>
    <row r="274" spans="1:29">
      <c r="A274" s="11">
        <v>273</v>
      </c>
      <c r="B274" s="12">
        <v>5</v>
      </c>
      <c r="C274" s="11">
        <v>2</v>
      </c>
      <c r="D274" s="11">
        <v>1</v>
      </c>
      <c r="E274" s="11">
        <v>3</v>
      </c>
      <c r="F274" s="11">
        <v>3</v>
      </c>
      <c r="G274" s="11">
        <v>5</v>
      </c>
      <c r="H274" s="11">
        <v>3</v>
      </c>
      <c r="I274" s="11">
        <v>3</v>
      </c>
      <c r="J274" s="11">
        <v>1</v>
      </c>
      <c r="K274" s="11">
        <v>3</v>
      </c>
      <c r="L274" s="11">
        <v>2</v>
      </c>
      <c r="M274" s="11">
        <v>1</v>
      </c>
      <c r="N274" s="11">
        <v>1</v>
      </c>
      <c r="O274" s="11">
        <v>5</v>
      </c>
      <c r="P274" s="11">
        <v>5</v>
      </c>
      <c r="Q274" s="11">
        <v>2</v>
      </c>
      <c r="R274" s="11">
        <v>3</v>
      </c>
      <c r="S274" s="11">
        <v>4</v>
      </c>
      <c r="T274" s="11">
        <v>5</v>
      </c>
      <c r="U274" s="10">
        <v>1</v>
      </c>
      <c r="V274" s="6">
        <f t="shared" ca="1" si="17"/>
        <v>44.526570699829989</v>
      </c>
      <c r="W274" s="6">
        <f t="shared" ca="1" si="17"/>
        <v>43.565906884192465</v>
      </c>
      <c r="X274" s="6">
        <f t="shared" ca="1" si="17"/>
        <v>43.754621676298711</v>
      </c>
      <c r="Y274" s="6">
        <f t="shared" ref="Y274:AA337" ca="1" si="20">SUMXMY2($B274:$U274,AJ$2:AJ$21)</f>
        <v>43.597060898264616</v>
      </c>
      <c r="Z274" s="6">
        <f t="shared" ca="1" si="20"/>
        <v>44.182729406160533</v>
      </c>
      <c r="AA274" s="6">
        <f t="shared" ca="1" si="20"/>
        <v>44.708547602221138</v>
      </c>
      <c r="AB274" s="6">
        <f t="shared" ca="1" si="18"/>
        <v>43.565906884192465</v>
      </c>
      <c r="AC274" s="6">
        <f t="shared" ca="1" si="19"/>
        <v>2</v>
      </c>
    </row>
    <row r="275" spans="1:29">
      <c r="A275" s="11">
        <v>274</v>
      </c>
      <c r="B275" s="12">
        <v>4</v>
      </c>
      <c r="C275" s="11">
        <v>2</v>
      </c>
      <c r="D275" s="11">
        <v>2</v>
      </c>
      <c r="E275" s="11">
        <v>4</v>
      </c>
      <c r="F275" s="11">
        <v>2</v>
      </c>
      <c r="G275" s="11">
        <v>2</v>
      </c>
      <c r="H275" s="11">
        <v>3</v>
      </c>
      <c r="I275" s="11">
        <v>2</v>
      </c>
      <c r="J275" s="11">
        <v>2</v>
      </c>
      <c r="K275" s="11">
        <v>2</v>
      </c>
      <c r="L275" s="11">
        <v>2</v>
      </c>
      <c r="M275" s="11">
        <v>2</v>
      </c>
      <c r="N275" s="11">
        <v>2</v>
      </c>
      <c r="O275" s="11">
        <v>4</v>
      </c>
      <c r="P275" s="11">
        <v>4</v>
      </c>
      <c r="Q275" s="11">
        <v>2</v>
      </c>
      <c r="R275" s="11">
        <v>2</v>
      </c>
      <c r="S275" s="11">
        <v>4</v>
      </c>
      <c r="T275" s="11">
        <v>3</v>
      </c>
      <c r="U275" s="10">
        <v>4</v>
      </c>
      <c r="V275" s="6">
        <f t="shared" ref="V275:AA338" ca="1" si="21">SUMXMY2($B275:$U275,AG$2:AG$21)</f>
        <v>18.304412029181478</v>
      </c>
      <c r="W275" s="6">
        <f t="shared" ca="1" si="21"/>
        <v>17.743505116194402</v>
      </c>
      <c r="X275" s="6">
        <f t="shared" ca="1" si="21"/>
        <v>17.724876295631514</v>
      </c>
      <c r="Y275" s="6">
        <f t="shared" ca="1" si="20"/>
        <v>17.961527585947572</v>
      </c>
      <c r="Z275" s="6">
        <f t="shared" ca="1" si="20"/>
        <v>18.156643911252434</v>
      </c>
      <c r="AA275" s="6">
        <f t="shared" ca="1" si="20"/>
        <v>18.42472208268854</v>
      </c>
      <c r="AB275" s="6">
        <f t="shared" ca="1" si="18"/>
        <v>17.724876295631514</v>
      </c>
      <c r="AC275" s="6">
        <f t="shared" ca="1" si="19"/>
        <v>3</v>
      </c>
    </row>
    <row r="276" spans="1:29">
      <c r="A276" s="11">
        <v>275</v>
      </c>
      <c r="B276" s="12">
        <v>5</v>
      </c>
      <c r="C276" s="11">
        <v>4</v>
      </c>
      <c r="D276" s="11">
        <v>3</v>
      </c>
      <c r="E276" s="11">
        <v>3</v>
      </c>
      <c r="F276" s="11">
        <v>4</v>
      </c>
      <c r="G276" s="11">
        <v>4</v>
      </c>
      <c r="H276" s="11">
        <v>3</v>
      </c>
      <c r="I276" s="11">
        <v>2</v>
      </c>
      <c r="J276" s="11">
        <v>4</v>
      </c>
      <c r="K276" s="11">
        <v>2</v>
      </c>
      <c r="L276" s="11">
        <v>4</v>
      </c>
      <c r="M276" s="11">
        <v>3</v>
      </c>
      <c r="N276" s="11">
        <v>4</v>
      </c>
      <c r="O276" s="11">
        <v>2</v>
      </c>
      <c r="P276" s="11">
        <v>4</v>
      </c>
      <c r="Q276" s="11">
        <v>3</v>
      </c>
      <c r="R276" s="11">
        <v>2</v>
      </c>
      <c r="S276" s="11">
        <v>4</v>
      </c>
      <c r="T276" s="11">
        <v>1</v>
      </c>
      <c r="U276" s="10">
        <v>3</v>
      </c>
      <c r="V276" s="6">
        <f t="shared" ca="1" si="21"/>
        <v>20.027984715511334</v>
      </c>
      <c r="W276" s="6">
        <f t="shared" ca="1" si="21"/>
        <v>20.22601142621933</v>
      </c>
      <c r="X276" s="6">
        <f t="shared" ca="1" si="21"/>
        <v>20.000909724391853</v>
      </c>
      <c r="Y276" s="6">
        <f t="shared" ca="1" si="20"/>
        <v>20.315291574307118</v>
      </c>
      <c r="Z276" s="6">
        <f t="shared" ca="1" si="20"/>
        <v>19.676251157338392</v>
      </c>
      <c r="AA276" s="6">
        <f t="shared" ca="1" si="20"/>
        <v>20.160362397008441</v>
      </c>
      <c r="AB276" s="6">
        <f t="shared" ca="1" si="18"/>
        <v>19.676251157338392</v>
      </c>
      <c r="AC276" s="6">
        <f t="shared" ca="1" si="19"/>
        <v>5</v>
      </c>
    </row>
    <row r="277" spans="1:29">
      <c r="A277" s="11">
        <v>276</v>
      </c>
      <c r="B277" s="12">
        <v>1</v>
      </c>
      <c r="C277" s="11">
        <v>1</v>
      </c>
      <c r="D277" s="11">
        <v>3</v>
      </c>
      <c r="E277" s="11">
        <v>3</v>
      </c>
      <c r="F277" s="11">
        <v>3</v>
      </c>
      <c r="G277" s="11">
        <v>3</v>
      </c>
      <c r="H277" s="11">
        <v>2</v>
      </c>
      <c r="I277" s="11">
        <v>5</v>
      </c>
      <c r="J277" s="11">
        <v>2</v>
      </c>
      <c r="K277" s="11">
        <v>3</v>
      </c>
      <c r="L277" s="11">
        <v>4</v>
      </c>
      <c r="M277" s="11">
        <v>1</v>
      </c>
      <c r="N277" s="11">
        <v>2</v>
      </c>
      <c r="O277" s="11">
        <v>3</v>
      </c>
      <c r="P277" s="11">
        <v>4</v>
      </c>
      <c r="Q277" s="11">
        <v>3</v>
      </c>
      <c r="R277" s="11">
        <v>3</v>
      </c>
      <c r="S277" s="11">
        <v>4</v>
      </c>
      <c r="T277" s="11">
        <v>5</v>
      </c>
      <c r="U277" s="10">
        <v>5</v>
      </c>
      <c r="V277" s="6">
        <f t="shared" ca="1" si="21"/>
        <v>30.12472361014882</v>
      </c>
      <c r="W277" s="6">
        <f t="shared" ca="1" si="21"/>
        <v>29.453055439330907</v>
      </c>
      <c r="X277" s="6">
        <f t="shared" ca="1" si="21"/>
        <v>29.827433212089932</v>
      </c>
      <c r="Y277" s="6">
        <f t="shared" ca="1" si="20"/>
        <v>29.564934709090906</v>
      </c>
      <c r="Z277" s="6">
        <f t="shared" ca="1" si="20"/>
        <v>30.195822471606785</v>
      </c>
      <c r="AA277" s="6">
        <f t="shared" ca="1" si="20"/>
        <v>30.140460912543666</v>
      </c>
      <c r="AB277" s="6">
        <f t="shared" ca="1" si="18"/>
        <v>29.453055439330907</v>
      </c>
      <c r="AC277" s="6">
        <f t="shared" ca="1" si="19"/>
        <v>2</v>
      </c>
    </row>
    <row r="278" spans="1:29">
      <c r="A278" s="11">
        <v>277</v>
      </c>
      <c r="B278" s="12">
        <v>3</v>
      </c>
      <c r="C278" s="11">
        <v>2</v>
      </c>
      <c r="D278" s="11">
        <v>2</v>
      </c>
      <c r="E278" s="11">
        <v>2</v>
      </c>
      <c r="F278" s="11">
        <v>2</v>
      </c>
      <c r="G278" s="11">
        <v>2</v>
      </c>
      <c r="H278" s="11">
        <v>2</v>
      </c>
      <c r="I278" s="11">
        <v>1</v>
      </c>
      <c r="J278" s="11">
        <v>1</v>
      </c>
      <c r="K278" s="11">
        <v>2</v>
      </c>
      <c r="L278" s="11">
        <v>1</v>
      </c>
      <c r="M278" s="11">
        <v>5</v>
      </c>
      <c r="N278" s="11">
        <v>2</v>
      </c>
      <c r="O278" s="11">
        <v>2</v>
      </c>
      <c r="P278" s="11">
        <v>1</v>
      </c>
      <c r="Q278" s="11">
        <v>1</v>
      </c>
      <c r="R278" s="11">
        <v>1</v>
      </c>
      <c r="S278" s="11">
        <v>5</v>
      </c>
      <c r="T278" s="11">
        <v>2</v>
      </c>
      <c r="U278" s="10">
        <v>5</v>
      </c>
      <c r="V278" s="6">
        <f t="shared" ca="1" si="21"/>
        <v>45.619259719201359</v>
      </c>
      <c r="W278" s="6">
        <f t="shared" ca="1" si="21"/>
        <v>45.656490651193785</v>
      </c>
      <c r="X278" s="6">
        <f t="shared" ca="1" si="21"/>
        <v>45.547449378913178</v>
      </c>
      <c r="Y278" s="6">
        <f t="shared" ca="1" si="20"/>
        <v>45.811026248663687</v>
      </c>
      <c r="Z278" s="6">
        <f t="shared" ca="1" si="20"/>
        <v>46.568555291030471</v>
      </c>
      <c r="AA278" s="6">
        <f t="shared" ca="1" si="20"/>
        <v>46.289751803979115</v>
      </c>
      <c r="AB278" s="6">
        <f t="shared" ca="1" si="18"/>
        <v>45.547449378913178</v>
      </c>
      <c r="AC278" s="6">
        <f t="shared" ca="1" si="19"/>
        <v>3</v>
      </c>
    </row>
    <row r="279" spans="1:29">
      <c r="A279" s="11">
        <v>278</v>
      </c>
      <c r="B279" s="12">
        <v>2</v>
      </c>
      <c r="C279" s="11">
        <v>2</v>
      </c>
      <c r="D279" s="11">
        <v>1</v>
      </c>
      <c r="E279" s="11">
        <v>4</v>
      </c>
      <c r="F279" s="11">
        <v>2</v>
      </c>
      <c r="G279" s="11">
        <v>4</v>
      </c>
      <c r="H279" s="11">
        <v>3</v>
      </c>
      <c r="I279" s="11">
        <v>2</v>
      </c>
      <c r="J279" s="11">
        <v>2</v>
      </c>
      <c r="K279" s="11">
        <v>3</v>
      </c>
      <c r="L279" s="11">
        <v>2</v>
      </c>
      <c r="M279" s="11">
        <v>1</v>
      </c>
      <c r="N279" s="11">
        <v>1</v>
      </c>
      <c r="O279" s="11">
        <v>4</v>
      </c>
      <c r="P279" s="11">
        <v>3</v>
      </c>
      <c r="Q279" s="11">
        <v>3</v>
      </c>
      <c r="R279" s="11">
        <v>2</v>
      </c>
      <c r="S279" s="11">
        <v>3</v>
      </c>
      <c r="T279" s="11">
        <v>2</v>
      </c>
      <c r="U279" s="10">
        <v>3</v>
      </c>
      <c r="V279" s="6">
        <f t="shared" ca="1" si="21"/>
        <v>23.090068857394773</v>
      </c>
      <c r="W279" s="6">
        <f t="shared" ca="1" si="21"/>
        <v>22.800991900774743</v>
      </c>
      <c r="X279" s="6">
        <f t="shared" ca="1" si="21"/>
        <v>22.910973009706311</v>
      </c>
      <c r="Y279" s="6">
        <f t="shared" ca="1" si="20"/>
        <v>22.797810796274412</v>
      </c>
      <c r="Z279" s="6">
        <f t="shared" ca="1" si="20"/>
        <v>23.432255809957432</v>
      </c>
      <c r="AA279" s="6">
        <f t="shared" ca="1" si="20"/>
        <v>23.123917088395398</v>
      </c>
      <c r="AB279" s="6">
        <f t="shared" ca="1" si="18"/>
        <v>22.797810796274412</v>
      </c>
      <c r="AC279" s="6">
        <f t="shared" ca="1" si="19"/>
        <v>4</v>
      </c>
    </row>
    <row r="280" spans="1:29">
      <c r="A280" s="11">
        <v>279</v>
      </c>
      <c r="B280" s="12">
        <v>2</v>
      </c>
      <c r="C280" s="11">
        <v>1</v>
      </c>
      <c r="D280" s="11">
        <v>2</v>
      </c>
      <c r="E280" s="11">
        <v>5</v>
      </c>
      <c r="F280" s="11">
        <v>1</v>
      </c>
      <c r="G280" s="11">
        <v>2</v>
      </c>
      <c r="H280" s="11">
        <v>1</v>
      </c>
      <c r="I280" s="11">
        <v>5</v>
      </c>
      <c r="J280" s="11">
        <v>1</v>
      </c>
      <c r="K280" s="11">
        <v>5</v>
      </c>
      <c r="L280" s="11">
        <v>1</v>
      </c>
      <c r="M280" s="11">
        <v>1</v>
      </c>
      <c r="N280" s="11">
        <v>1</v>
      </c>
      <c r="O280" s="11">
        <v>5</v>
      </c>
      <c r="P280" s="11">
        <v>5</v>
      </c>
      <c r="Q280" s="11">
        <v>1</v>
      </c>
      <c r="R280" s="11">
        <v>1</v>
      </c>
      <c r="S280" s="11">
        <v>1</v>
      </c>
      <c r="T280" s="11">
        <v>1</v>
      </c>
      <c r="U280" s="10">
        <v>5</v>
      </c>
      <c r="V280" s="6">
        <f t="shared" ca="1" si="21"/>
        <v>71.062229932614997</v>
      </c>
      <c r="W280" s="6">
        <f t="shared" ca="1" si="21"/>
        <v>70.38749542305716</v>
      </c>
      <c r="X280" s="6">
        <f t="shared" ca="1" si="21"/>
        <v>70.974491288817163</v>
      </c>
      <c r="Y280" s="6">
        <f t="shared" ca="1" si="20"/>
        <v>70.871289383077425</v>
      </c>
      <c r="Z280" s="6">
        <f t="shared" ca="1" si="20"/>
        <v>71.233564741201633</v>
      </c>
      <c r="AA280" s="6">
        <f t="shared" ca="1" si="20"/>
        <v>70.539486068198968</v>
      </c>
      <c r="AB280" s="6">
        <f t="shared" ca="1" si="18"/>
        <v>70.38749542305716</v>
      </c>
      <c r="AC280" s="6">
        <f t="shared" ca="1" si="19"/>
        <v>2</v>
      </c>
    </row>
    <row r="281" spans="1:29">
      <c r="A281" s="11">
        <v>280</v>
      </c>
      <c r="B281" s="12">
        <v>3</v>
      </c>
      <c r="C281" s="11">
        <v>2</v>
      </c>
      <c r="D281" s="11">
        <v>2</v>
      </c>
      <c r="E281" s="11">
        <v>4</v>
      </c>
      <c r="F281" s="11">
        <v>2</v>
      </c>
      <c r="G281" s="11">
        <v>2</v>
      </c>
      <c r="H281" s="11">
        <v>3</v>
      </c>
      <c r="I281" s="11">
        <v>4</v>
      </c>
      <c r="J281" s="11">
        <v>2</v>
      </c>
      <c r="K281" s="11">
        <v>3</v>
      </c>
      <c r="L281" s="11">
        <v>4</v>
      </c>
      <c r="M281" s="11">
        <v>2</v>
      </c>
      <c r="N281" s="11">
        <v>3</v>
      </c>
      <c r="O281" s="11">
        <v>2</v>
      </c>
      <c r="P281" s="11">
        <v>5</v>
      </c>
      <c r="Q281" s="11">
        <v>4</v>
      </c>
      <c r="R281" s="11">
        <v>4</v>
      </c>
      <c r="S281" s="11">
        <v>2</v>
      </c>
      <c r="T281" s="11">
        <v>5</v>
      </c>
      <c r="U281" s="10">
        <v>2</v>
      </c>
      <c r="V281" s="6">
        <f t="shared" ca="1" si="21"/>
        <v>22.251174515937958</v>
      </c>
      <c r="W281" s="6">
        <f t="shared" ca="1" si="21"/>
        <v>22.105366668654835</v>
      </c>
      <c r="X281" s="6">
        <f t="shared" ca="1" si="21"/>
        <v>22.114586106758015</v>
      </c>
      <c r="Y281" s="6">
        <f t="shared" ca="1" si="20"/>
        <v>21.855920843194468</v>
      </c>
      <c r="Z281" s="6">
        <f t="shared" ca="1" si="20"/>
        <v>22.144076238899039</v>
      </c>
      <c r="AA281" s="6">
        <f t="shared" ca="1" si="20"/>
        <v>21.945446848147967</v>
      </c>
      <c r="AB281" s="6">
        <f t="shared" ca="1" si="18"/>
        <v>21.855920843194468</v>
      </c>
      <c r="AC281" s="6">
        <f t="shared" ca="1" si="19"/>
        <v>4</v>
      </c>
    </row>
    <row r="282" spans="1:29">
      <c r="A282" s="11">
        <v>281</v>
      </c>
      <c r="B282" s="12">
        <v>2</v>
      </c>
      <c r="C282" s="11">
        <v>2</v>
      </c>
      <c r="D282" s="11">
        <v>2</v>
      </c>
      <c r="E282" s="11">
        <v>2</v>
      </c>
      <c r="F282" s="11">
        <v>5</v>
      </c>
      <c r="G282" s="11">
        <v>4</v>
      </c>
      <c r="H282" s="11">
        <v>3</v>
      </c>
      <c r="I282" s="11">
        <v>2</v>
      </c>
      <c r="J282" s="11">
        <v>1</v>
      </c>
      <c r="K282" s="11">
        <v>2</v>
      </c>
      <c r="L282" s="11">
        <v>1</v>
      </c>
      <c r="M282" s="11">
        <v>1</v>
      </c>
      <c r="N282" s="11">
        <v>2</v>
      </c>
      <c r="O282" s="11">
        <v>5</v>
      </c>
      <c r="P282" s="11">
        <v>5</v>
      </c>
      <c r="Q282" s="11">
        <v>2</v>
      </c>
      <c r="R282" s="11">
        <v>2</v>
      </c>
      <c r="S282" s="11">
        <v>2</v>
      </c>
      <c r="T282" s="11">
        <v>3</v>
      </c>
      <c r="U282" s="10">
        <v>4</v>
      </c>
      <c r="V282" s="6">
        <f t="shared" ca="1" si="21"/>
        <v>35.857126028650306</v>
      </c>
      <c r="W282" s="6">
        <f t="shared" ca="1" si="21"/>
        <v>35.4884755662926</v>
      </c>
      <c r="X282" s="6">
        <f t="shared" ca="1" si="21"/>
        <v>35.955268920229145</v>
      </c>
      <c r="Y282" s="6">
        <f t="shared" ca="1" si="20"/>
        <v>35.67348425168403</v>
      </c>
      <c r="Z282" s="6">
        <f t="shared" ca="1" si="20"/>
        <v>36.281358431089849</v>
      </c>
      <c r="AA282" s="6">
        <f t="shared" ca="1" si="20"/>
        <v>36.603408542374289</v>
      </c>
      <c r="AB282" s="6">
        <f t="shared" ca="1" si="18"/>
        <v>35.4884755662926</v>
      </c>
      <c r="AC282" s="6">
        <f t="shared" ca="1" si="19"/>
        <v>2</v>
      </c>
    </row>
    <row r="283" spans="1:29">
      <c r="A283" s="11">
        <v>282</v>
      </c>
      <c r="B283" s="12">
        <v>5</v>
      </c>
      <c r="C283" s="11">
        <v>2</v>
      </c>
      <c r="D283" s="11">
        <v>1</v>
      </c>
      <c r="E283" s="11">
        <v>1</v>
      </c>
      <c r="F283" s="11">
        <v>2</v>
      </c>
      <c r="G283" s="11">
        <v>3</v>
      </c>
      <c r="H283" s="11">
        <v>3</v>
      </c>
      <c r="I283" s="11">
        <v>3</v>
      </c>
      <c r="J283" s="11">
        <v>1</v>
      </c>
      <c r="K283" s="11">
        <v>3</v>
      </c>
      <c r="L283" s="11">
        <v>3</v>
      </c>
      <c r="M283" s="11">
        <v>3</v>
      </c>
      <c r="N283" s="11">
        <v>3</v>
      </c>
      <c r="O283" s="11">
        <v>2</v>
      </c>
      <c r="P283" s="11">
        <v>4</v>
      </c>
      <c r="Q283" s="11">
        <v>3</v>
      </c>
      <c r="R283" s="11">
        <v>4</v>
      </c>
      <c r="S283" s="11">
        <v>2</v>
      </c>
      <c r="T283" s="11">
        <v>3</v>
      </c>
      <c r="U283" s="10">
        <v>3</v>
      </c>
      <c r="V283" s="6">
        <f t="shared" ca="1" si="21"/>
        <v>21.904012044404247</v>
      </c>
      <c r="W283" s="6">
        <f t="shared" ca="1" si="21"/>
        <v>21.891906960872404</v>
      </c>
      <c r="X283" s="6">
        <f t="shared" ca="1" si="21"/>
        <v>21.94477271437685</v>
      </c>
      <c r="Y283" s="6">
        <f t="shared" ca="1" si="20"/>
        <v>21.70439591463369</v>
      </c>
      <c r="Z283" s="6">
        <f t="shared" ca="1" si="20"/>
        <v>21.961782982702974</v>
      </c>
      <c r="AA283" s="6">
        <f t="shared" ca="1" si="20"/>
        <v>22.232263181933853</v>
      </c>
      <c r="AB283" s="6">
        <f t="shared" ca="1" si="18"/>
        <v>21.70439591463369</v>
      </c>
      <c r="AC283" s="6">
        <f t="shared" ca="1" si="19"/>
        <v>4</v>
      </c>
    </row>
    <row r="284" spans="1:29">
      <c r="A284" s="11">
        <v>283</v>
      </c>
      <c r="B284" s="12">
        <v>3</v>
      </c>
      <c r="C284" s="11">
        <v>3</v>
      </c>
      <c r="D284" s="11">
        <v>2</v>
      </c>
      <c r="E284" s="11">
        <v>2</v>
      </c>
      <c r="F284" s="11">
        <v>3</v>
      </c>
      <c r="G284" s="11">
        <v>3</v>
      </c>
      <c r="H284" s="11">
        <v>3</v>
      </c>
      <c r="I284" s="11">
        <v>2</v>
      </c>
      <c r="J284" s="11">
        <v>2</v>
      </c>
      <c r="K284" s="11">
        <v>4</v>
      </c>
      <c r="L284" s="11">
        <v>3</v>
      </c>
      <c r="M284" s="11">
        <v>2</v>
      </c>
      <c r="N284" s="11">
        <v>3</v>
      </c>
      <c r="O284" s="11">
        <v>4</v>
      </c>
      <c r="P284" s="11">
        <v>3</v>
      </c>
      <c r="Q284" s="11">
        <v>3</v>
      </c>
      <c r="R284" s="11">
        <v>3</v>
      </c>
      <c r="S284" s="11">
        <v>3</v>
      </c>
      <c r="T284" s="11">
        <v>3</v>
      </c>
      <c r="U284" s="10">
        <v>2</v>
      </c>
      <c r="V284" s="6">
        <f t="shared" ca="1" si="21"/>
        <v>8.1920221878827384</v>
      </c>
      <c r="W284" s="6">
        <f t="shared" ca="1" si="21"/>
        <v>8.1401535690078557</v>
      </c>
      <c r="X284" s="6">
        <f t="shared" ca="1" si="21"/>
        <v>8.0743744665262689</v>
      </c>
      <c r="Y284" s="6">
        <f t="shared" ca="1" si="20"/>
        <v>7.9061021581801416</v>
      </c>
      <c r="Z284" s="6">
        <f t="shared" ca="1" si="20"/>
        <v>7.9729663939428379</v>
      </c>
      <c r="AA284" s="6">
        <f t="shared" ca="1" si="20"/>
        <v>8.11674493966337</v>
      </c>
      <c r="AB284" s="6">
        <f t="shared" ca="1" si="18"/>
        <v>7.9061021581801416</v>
      </c>
      <c r="AC284" s="6">
        <f t="shared" ca="1" si="19"/>
        <v>4</v>
      </c>
    </row>
    <row r="285" spans="1:29">
      <c r="A285" s="11">
        <v>284</v>
      </c>
      <c r="B285" s="12">
        <v>2</v>
      </c>
      <c r="C285" s="11">
        <v>5</v>
      </c>
      <c r="D285" s="11">
        <v>5</v>
      </c>
      <c r="E285" s="11">
        <v>2</v>
      </c>
      <c r="F285" s="11">
        <v>5</v>
      </c>
      <c r="G285" s="11">
        <v>2</v>
      </c>
      <c r="H285" s="11">
        <v>2</v>
      </c>
      <c r="I285" s="11">
        <v>3</v>
      </c>
      <c r="J285" s="11">
        <v>2</v>
      </c>
      <c r="K285" s="11">
        <v>2</v>
      </c>
      <c r="L285" s="11">
        <v>1</v>
      </c>
      <c r="M285" s="11">
        <v>1</v>
      </c>
      <c r="N285" s="11">
        <v>2</v>
      </c>
      <c r="O285" s="11">
        <v>3</v>
      </c>
      <c r="P285" s="11">
        <v>5</v>
      </c>
      <c r="Q285" s="11">
        <v>3</v>
      </c>
      <c r="R285" s="11">
        <v>3</v>
      </c>
      <c r="S285" s="11">
        <v>2</v>
      </c>
      <c r="T285" s="11">
        <v>5</v>
      </c>
      <c r="U285" s="10">
        <v>3</v>
      </c>
      <c r="V285" s="6">
        <f t="shared" ca="1" si="21"/>
        <v>35.643157975402978</v>
      </c>
      <c r="W285" s="6">
        <f t="shared" ca="1" si="21"/>
        <v>35.843365109374183</v>
      </c>
      <c r="X285" s="6">
        <f t="shared" ca="1" si="21"/>
        <v>35.761807907646848</v>
      </c>
      <c r="Y285" s="6">
        <f t="shared" ca="1" si="20"/>
        <v>35.758440415583905</v>
      </c>
      <c r="Z285" s="6">
        <f t="shared" ca="1" si="20"/>
        <v>36.331125189320154</v>
      </c>
      <c r="AA285" s="6">
        <f t="shared" ca="1" si="20"/>
        <v>36.277894579628082</v>
      </c>
      <c r="AB285" s="6">
        <f t="shared" ca="1" si="18"/>
        <v>35.643157975402978</v>
      </c>
      <c r="AC285" s="6">
        <f t="shared" ca="1" si="19"/>
        <v>1</v>
      </c>
    </row>
    <row r="286" spans="1:29">
      <c r="A286" s="11">
        <v>285</v>
      </c>
      <c r="B286" s="12">
        <v>3</v>
      </c>
      <c r="C286" s="11">
        <v>2</v>
      </c>
      <c r="D286" s="11">
        <v>1</v>
      </c>
      <c r="E286" s="11">
        <v>2</v>
      </c>
      <c r="F286" s="11">
        <v>4</v>
      </c>
      <c r="G286" s="11">
        <v>1</v>
      </c>
      <c r="H286" s="11">
        <v>1</v>
      </c>
      <c r="I286" s="11">
        <v>1</v>
      </c>
      <c r="J286" s="11">
        <v>1</v>
      </c>
      <c r="K286" s="11">
        <v>3</v>
      </c>
      <c r="L286" s="11">
        <v>1</v>
      </c>
      <c r="M286" s="11">
        <v>3</v>
      </c>
      <c r="N286" s="11">
        <v>3</v>
      </c>
      <c r="O286" s="11">
        <v>1</v>
      </c>
      <c r="P286" s="11">
        <v>3</v>
      </c>
      <c r="Q286" s="11">
        <v>3</v>
      </c>
      <c r="R286" s="11">
        <v>2</v>
      </c>
      <c r="S286" s="11">
        <v>2</v>
      </c>
      <c r="T286" s="11">
        <v>1</v>
      </c>
      <c r="U286" s="10">
        <v>1</v>
      </c>
      <c r="V286" s="6">
        <f t="shared" ca="1" si="21"/>
        <v>40.723396708462793</v>
      </c>
      <c r="W286" s="6">
        <f t="shared" ca="1" si="21"/>
        <v>41.342905231862815</v>
      </c>
      <c r="X286" s="6">
        <f t="shared" ca="1" si="21"/>
        <v>41.309122786098577</v>
      </c>
      <c r="Y286" s="6">
        <f t="shared" ca="1" si="20"/>
        <v>40.885729664588403</v>
      </c>
      <c r="Z286" s="6">
        <f t="shared" ca="1" si="20"/>
        <v>41.537739163015523</v>
      </c>
      <c r="AA286" s="6">
        <f t="shared" ca="1" si="20"/>
        <v>40.874423861586642</v>
      </c>
      <c r="AB286" s="6">
        <f t="shared" ca="1" si="18"/>
        <v>40.723396708462793</v>
      </c>
      <c r="AC286" s="6">
        <f t="shared" ca="1" si="19"/>
        <v>1</v>
      </c>
    </row>
    <row r="287" spans="1:29">
      <c r="A287" s="11">
        <v>286</v>
      </c>
      <c r="B287" s="12">
        <v>1</v>
      </c>
      <c r="C287" s="11">
        <v>1</v>
      </c>
      <c r="D287" s="11">
        <v>1</v>
      </c>
      <c r="E287" s="11">
        <v>1</v>
      </c>
      <c r="F287" s="11">
        <v>1</v>
      </c>
      <c r="G287" s="11">
        <v>5</v>
      </c>
      <c r="H287" s="11">
        <v>1</v>
      </c>
      <c r="I287" s="11">
        <v>1</v>
      </c>
      <c r="J287" s="11">
        <v>1</v>
      </c>
      <c r="K287" s="11">
        <v>1</v>
      </c>
      <c r="L287" s="11">
        <v>1</v>
      </c>
      <c r="M287" s="11">
        <v>1</v>
      </c>
      <c r="N287" s="11">
        <v>2</v>
      </c>
      <c r="O287" s="11">
        <v>4</v>
      </c>
      <c r="P287" s="11">
        <v>5</v>
      </c>
      <c r="Q287" s="11">
        <v>1</v>
      </c>
      <c r="R287" s="11">
        <v>1</v>
      </c>
      <c r="S287" s="11">
        <v>4</v>
      </c>
      <c r="T287" s="11">
        <v>4</v>
      </c>
      <c r="U287" s="10">
        <v>4</v>
      </c>
      <c r="V287" s="6">
        <f t="shared" ca="1" si="21"/>
        <v>64.942532844943628</v>
      </c>
      <c r="W287" s="6">
        <f t="shared" ca="1" si="21"/>
        <v>64.454367514212549</v>
      </c>
      <c r="X287" s="6">
        <f t="shared" ca="1" si="21"/>
        <v>64.463601503822389</v>
      </c>
      <c r="Y287" s="6">
        <f t="shared" ca="1" si="20"/>
        <v>64.551255085601426</v>
      </c>
      <c r="Z287" s="6">
        <f t="shared" ca="1" si="20"/>
        <v>66.015875965622755</v>
      </c>
      <c r="AA287" s="6">
        <f t="shared" ca="1" si="20"/>
        <v>65.583522493823168</v>
      </c>
      <c r="AB287" s="6">
        <f t="shared" ca="1" si="18"/>
        <v>64.454367514212549</v>
      </c>
      <c r="AC287" s="6">
        <f t="shared" ca="1" si="19"/>
        <v>2</v>
      </c>
    </row>
    <row r="288" spans="1:29">
      <c r="A288" s="11">
        <v>287</v>
      </c>
      <c r="B288" s="12">
        <v>5</v>
      </c>
      <c r="C288" s="11">
        <v>1</v>
      </c>
      <c r="D288" s="11">
        <v>1</v>
      </c>
      <c r="E288" s="11">
        <v>1</v>
      </c>
      <c r="F288" s="11">
        <v>1</v>
      </c>
      <c r="G288" s="11">
        <v>1</v>
      </c>
      <c r="H288" s="11">
        <v>1</v>
      </c>
      <c r="I288" s="11">
        <v>1</v>
      </c>
      <c r="J288" s="11">
        <v>1</v>
      </c>
      <c r="K288" s="11">
        <v>1</v>
      </c>
      <c r="L288" s="11">
        <v>1</v>
      </c>
      <c r="M288" s="11">
        <v>1</v>
      </c>
      <c r="N288" s="11">
        <v>5</v>
      </c>
      <c r="O288" s="11">
        <v>5</v>
      </c>
      <c r="P288" s="11">
        <v>5</v>
      </c>
      <c r="Q288" s="11">
        <v>1</v>
      </c>
      <c r="R288" s="11">
        <v>1</v>
      </c>
      <c r="S288" s="11">
        <v>1</v>
      </c>
      <c r="T288" s="11">
        <v>1</v>
      </c>
      <c r="U288" s="10">
        <v>1</v>
      </c>
      <c r="V288" s="6">
        <f t="shared" ca="1" si="21"/>
        <v>80.461436352131372</v>
      </c>
      <c r="W288" s="6">
        <f t="shared" ca="1" si="21"/>
        <v>80.330128107910809</v>
      </c>
      <c r="X288" s="6">
        <f t="shared" ca="1" si="21"/>
        <v>80.054279726529273</v>
      </c>
      <c r="Y288" s="6">
        <f t="shared" ca="1" si="20"/>
        <v>79.950530107536366</v>
      </c>
      <c r="Z288" s="6">
        <f t="shared" ca="1" si="20"/>
        <v>80.422912353356537</v>
      </c>
      <c r="AA288" s="6">
        <f t="shared" ca="1" si="20"/>
        <v>80.305989018129935</v>
      </c>
      <c r="AB288" s="6">
        <f t="shared" ca="1" si="18"/>
        <v>79.950530107536366</v>
      </c>
      <c r="AC288" s="6">
        <f t="shared" ca="1" si="19"/>
        <v>4</v>
      </c>
    </row>
    <row r="289" spans="1:29">
      <c r="A289" s="11">
        <v>288</v>
      </c>
      <c r="B289" s="12">
        <v>3</v>
      </c>
      <c r="C289" s="11">
        <v>1</v>
      </c>
      <c r="D289" s="11">
        <v>4</v>
      </c>
      <c r="E289" s="11">
        <v>2</v>
      </c>
      <c r="F289" s="11">
        <v>4</v>
      </c>
      <c r="G289" s="11">
        <v>5</v>
      </c>
      <c r="H289" s="11">
        <v>2</v>
      </c>
      <c r="I289" s="11">
        <v>1</v>
      </c>
      <c r="J289" s="11">
        <v>1</v>
      </c>
      <c r="K289" s="11">
        <v>4</v>
      </c>
      <c r="L289" s="11">
        <v>2</v>
      </c>
      <c r="M289" s="11">
        <v>4</v>
      </c>
      <c r="N289" s="11">
        <v>1</v>
      </c>
      <c r="O289" s="11">
        <v>4</v>
      </c>
      <c r="P289" s="11">
        <v>3</v>
      </c>
      <c r="Q289" s="11">
        <v>1</v>
      </c>
      <c r="R289" s="11">
        <v>3</v>
      </c>
      <c r="S289" s="11">
        <v>2</v>
      </c>
      <c r="T289" s="11">
        <v>1</v>
      </c>
      <c r="U289" s="10">
        <v>1</v>
      </c>
      <c r="V289" s="6">
        <f t="shared" ca="1" si="21"/>
        <v>41.172028303934979</v>
      </c>
      <c r="W289" s="6">
        <f t="shared" ca="1" si="21"/>
        <v>40.47355231378225</v>
      </c>
      <c r="X289" s="6">
        <f t="shared" ca="1" si="21"/>
        <v>41.157478990410617</v>
      </c>
      <c r="Y289" s="6">
        <f t="shared" ca="1" si="20"/>
        <v>40.962859520432289</v>
      </c>
      <c r="Z289" s="6">
        <f t="shared" ca="1" si="20"/>
        <v>41.229264260634324</v>
      </c>
      <c r="AA289" s="6">
        <f t="shared" ca="1" si="20"/>
        <v>40.842733421305688</v>
      </c>
      <c r="AB289" s="6">
        <f t="shared" ca="1" si="18"/>
        <v>40.47355231378225</v>
      </c>
      <c r="AC289" s="6">
        <f t="shared" ca="1" si="19"/>
        <v>2</v>
      </c>
    </row>
    <row r="290" spans="1:29">
      <c r="A290" s="11">
        <v>289</v>
      </c>
      <c r="B290" s="12">
        <v>3</v>
      </c>
      <c r="C290" s="11">
        <v>1</v>
      </c>
      <c r="D290" s="11">
        <v>1</v>
      </c>
      <c r="E290" s="11">
        <v>3</v>
      </c>
      <c r="F290" s="11">
        <v>1</v>
      </c>
      <c r="G290" s="11">
        <v>1</v>
      </c>
      <c r="H290" s="11">
        <v>3</v>
      </c>
      <c r="I290" s="11">
        <v>3</v>
      </c>
      <c r="J290" s="11">
        <v>3</v>
      </c>
      <c r="K290" s="11">
        <v>3</v>
      </c>
      <c r="L290" s="11">
        <v>2</v>
      </c>
      <c r="M290" s="11">
        <v>3</v>
      </c>
      <c r="N290" s="11">
        <v>5</v>
      </c>
      <c r="O290" s="11">
        <v>3</v>
      </c>
      <c r="P290" s="11">
        <v>5</v>
      </c>
      <c r="Q290" s="11">
        <v>1</v>
      </c>
      <c r="R290" s="11">
        <v>1</v>
      </c>
      <c r="S290" s="11">
        <v>1</v>
      </c>
      <c r="T290" s="11">
        <v>3</v>
      </c>
      <c r="U290" s="10">
        <v>1</v>
      </c>
      <c r="V290" s="6">
        <f t="shared" ca="1" si="21"/>
        <v>41.38317464964944</v>
      </c>
      <c r="W290" s="6">
        <f t="shared" ca="1" si="21"/>
        <v>41.365746555534557</v>
      </c>
      <c r="X290" s="6">
        <f t="shared" ca="1" si="21"/>
        <v>41.465908703333312</v>
      </c>
      <c r="Y290" s="6">
        <f t="shared" ca="1" si="20"/>
        <v>41.243176670331948</v>
      </c>
      <c r="Z290" s="6">
        <f t="shared" ca="1" si="20"/>
        <v>41.326155907712888</v>
      </c>
      <c r="AA290" s="6">
        <f t="shared" ca="1" si="20"/>
        <v>40.547430095437285</v>
      </c>
      <c r="AB290" s="6">
        <f t="shared" ca="1" si="18"/>
        <v>40.547430095437285</v>
      </c>
      <c r="AC290" s="6">
        <f t="shared" ca="1" si="19"/>
        <v>6</v>
      </c>
    </row>
    <row r="291" spans="1:29">
      <c r="A291" s="11">
        <v>290</v>
      </c>
      <c r="B291" s="12">
        <v>3</v>
      </c>
      <c r="C291" s="11">
        <v>3</v>
      </c>
      <c r="D291" s="11">
        <v>1</v>
      </c>
      <c r="E291" s="11">
        <v>2</v>
      </c>
      <c r="F291" s="11">
        <v>2</v>
      </c>
      <c r="G291" s="11">
        <v>4</v>
      </c>
      <c r="H291" s="11">
        <v>3</v>
      </c>
      <c r="I291" s="11">
        <v>2</v>
      </c>
      <c r="J291" s="11">
        <v>2</v>
      </c>
      <c r="K291" s="11">
        <v>3</v>
      </c>
      <c r="L291" s="11">
        <v>2</v>
      </c>
      <c r="M291" s="11">
        <v>3</v>
      </c>
      <c r="N291" s="11">
        <v>3</v>
      </c>
      <c r="O291" s="11">
        <v>3</v>
      </c>
      <c r="P291" s="11">
        <v>4</v>
      </c>
      <c r="Q291" s="11">
        <v>4</v>
      </c>
      <c r="R291" s="11">
        <v>3</v>
      </c>
      <c r="S291" s="11">
        <v>1</v>
      </c>
      <c r="T291" s="11">
        <v>3</v>
      </c>
      <c r="U291" s="10">
        <v>3</v>
      </c>
      <c r="V291" s="6">
        <f t="shared" ca="1" si="21"/>
        <v>15.576367378063864</v>
      </c>
      <c r="W291" s="6">
        <f t="shared" ca="1" si="21"/>
        <v>16.211940226781717</v>
      </c>
      <c r="X291" s="6">
        <f t="shared" ca="1" si="21"/>
        <v>16.028843000374195</v>
      </c>
      <c r="Y291" s="6">
        <f t="shared" ca="1" si="20"/>
        <v>15.843355758606938</v>
      </c>
      <c r="Z291" s="6">
        <f t="shared" ca="1" si="20"/>
        <v>16.337169130642383</v>
      </c>
      <c r="AA291" s="6">
        <f t="shared" ca="1" si="20"/>
        <v>16.126910122977502</v>
      </c>
      <c r="AB291" s="6">
        <f t="shared" ca="1" si="18"/>
        <v>15.576367378063864</v>
      </c>
      <c r="AC291" s="6">
        <f t="shared" ca="1" si="19"/>
        <v>1</v>
      </c>
    </row>
    <row r="292" spans="1:29">
      <c r="A292" s="11">
        <v>291</v>
      </c>
      <c r="B292" s="12">
        <v>4</v>
      </c>
      <c r="C292" s="11">
        <v>1</v>
      </c>
      <c r="D292" s="11">
        <v>2</v>
      </c>
      <c r="E292" s="11">
        <v>4</v>
      </c>
      <c r="F292" s="11">
        <v>4</v>
      </c>
      <c r="G292" s="11">
        <v>2</v>
      </c>
      <c r="H292" s="11">
        <v>3</v>
      </c>
      <c r="I292" s="11">
        <v>2</v>
      </c>
      <c r="J292" s="11">
        <v>1</v>
      </c>
      <c r="K292" s="11">
        <v>1</v>
      </c>
      <c r="L292" s="11">
        <v>1</v>
      </c>
      <c r="M292" s="11">
        <v>1</v>
      </c>
      <c r="N292" s="11">
        <v>4</v>
      </c>
      <c r="O292" s="11">
        <v>4</v>
      </c>
      <c r="P292" s="11">
        <v>4</v>
      </c>
      <c r="Q292" s="11">
        <v>2</v>
      </c>
      <c r="R292" s="11">
        <v>1</v>
      </c>
      <c r="S292" s="11">
        <v>5</v>
      </c>
      <c r="T292" s="11">
        <v>1</v>
      </c>
      <c r="U292" s="10">
        <v>5</v>
      </c>
      <c r="V292" s="6">
        <f t="shared" ca="1" si="21"/>
        <v>46.217059789764313</v>
      </c>
      <c r="W292" s="6">
        <f t="shared" ca="1" si="21"/>
        <v>45.469896828445627</v>
      </c>
      <c r="X292" s="6">
        <f t="shared" ca="1" si="21"/>
        <v>45.681630629183374</v>
      </c>
      <c r="Y292" s="6">
        <f t="shared" ca="1" si="20"/>
        <v>45.921376557329857</v>
      </c>
      <c r="Z292" s="6">
        <f t="shared" ca="1" si="20"/>
        <v>46.005338339802123</v>
      </c>
      <c r="AA292" s="6">
        <f t="shared" ca="1" si="20"/>
        <v>46.866592554900159</v>
      </c>
      <c r="AB292" s="6">
        <f t="shared" ca="1" si="18"/>
        <v>45.469896828445627</v>
      </c>
      <c r="AC292" s="6">
        <f t="shared" ca="1" si="19"/>
        <v>2</v>
      </c>
    </row>
    <row r="293" spans="1:29">
      <c r="A293" s="11">
        <v>292</v>
      </c>
      <c r="B293" s="12">
        <v>3</v>
      </c>
      <c r="C293" s="11">
        <v>2</v>
      </c>
      <c r="D293" s="11">
        <v>2</v>
      </c>
      <c r="E293" s="11">
        <v>3</v>
      </c>
      <c r="F293" s="11">
        <v>2</v>
      </c>
      <c r="G293" s="11">
        <v>2</v>
      </c>
      <c r="H293" s="11">
        <v>3</v>
      </c>
      <c r="I293" s="11">
        <v>3</v>
      </c>
      <c r="J293" s="11">
        <v>5</v>
      </c>
      <c r="K293" s="11">
        <v>5</v>
      </c>
      <c r="L293" s="11">
        <v>1</v>
      </c>
      <c r="M293" s="11">
        <v>1</v>
      </c>
      <c r="N293" s="11">
        <v>2</v>
      </c>
      <c r="O293" s="11">
        <v>5</v>
      </c>
      <c r="P293" s="11">
        <v>5</v>
      </c>
      <c r="Q293" s="11">
        <v>3</v>
      </c>
      <c r="R293" s="11">
        <v>1</v>
      </c>
      <c r="S293" s="11">
        <v>4</v>
      </c>
      <c r="T293" s="11">
        <v>5</v>
      </c>
      <c r="U293" s="10">
        <v>4</v>
      </c>
      <c r="V293" s="6">
        <f t="shared" ca="1" si="21"/>
        <v>39.242754533861905</v>
      </c>
      <c r="W293" s="6">
        <f t="shared" ca="1" si="21"/>
        <v>39.0921588923445</v>
      </c>
      <c r="X293" s="6">
        <f t="shared" ca="1" si="21"/>
        <v>39.082864902799749</v>
      </c>
      <c r="Y293" s="6">
        <f t="shared" ca="1" si="20"/>
        <v>39.106417835765129</v>
      </c>
      <c r="Z293" s="6">
        <f t="shared" ca="1" si="20"/>
        <v>39.097282162764436</v>
      </c>
      <c r="AA293" s="6">
        <f t="shared" ca="1" si="20"/>
        <v>38.987967495286469</v>
      </c>
      <c r="AB293" s="6">
        <f t="shared" ca="1" si="18"/>
        <v>38.987967495286469</v>
      </c>
      <c r="AC293" s="6">
        <f t="shared" ca="1" si="19"/>
        <v>6</v>
      </c>
    </row>
    <row r="294" spans="1:29">
      <c r="A294" s="11">
        <v>293</v>
      </c>
      <c r="B294" s="12">
        <v>2</v>
      </c>
      <c r="C294" s="11">
        <v>2</v>
      </c>
      <c r="D294" s="11">
        <v>1</v>
      </c>
      <c r="E294" s="11">
        <v>2</v>
      </c>
      <c r="F294" s="11">
        <v>4</v>
      </c>
      <c r="G294" s="11">
        <v>2</v>
      </c>
      <c r="H294" s="11">
        <v>2</v>
      </c>
      <c r="I294" s="11">
        <v>2</v>
      </c>
      <c r="J294" s="11">
        <v>4</v>
      </c>
      <c r="K294" s="11">
        <v>4</v>
      </c>
      <c r="L294" s="11">
        <v>4</v>
      </c>
      <c r="M294" s="11">
        <v>2</v>
      </c>
      <c r="N294" s="11">
        <v>2</v>
      </c>
      <c r="O294" s="11">
        <v>4</v>
      </c>
      <c r="P294" s="11">
        <v>4</v>
      </c>
      <c r="Q294" s="11">
        <v>2</v>
      </c>
      <c r="R294" s="11">
        <v>2</v>
      </c>
      <c r="S294" s="11">
        <v>2</v>
      </c>
      <c r="T294" s="11">
        <v>2</v>
      </c>
      <c r="U294" s="10">
        <v>1</v>
      </c>
      <c r="V294" s="6">
        <f t="shared" ca="1" si="21"/>
        <v>26.463391298130965</v>
      </c>
      <c r="W294" s="6">
        <f t="shared" ca="1" si="21"/>
        <v>26.444803513413326</v>
      </c>
      <c r="X294" s="6">
        <f t="shared" ca="1" si="21"/>
        <v>26.751148996831645</v>
      </c>
      <c r="Y294" s="6">
        <f t="shared" ca="1" si="20"/>
        <v>26.108170247140148</v>
      </c>
      <c r="Z294" s="6">
        <f t="shared" ca="1" si="20"/>
        <v>26.035094196972484</v>
      </c>
      <c r="AA294" s="6">
        <f t="shared" ca="1" si="20"/>
        <v>25.498795359332519</v>
      </c>
      <c r="AB294" s="6">
        <f t="shared" ca="1" si="18"/>
        <v>25.498795359332519</v>
      </c>
      <c r="AC294" s="6">
        <f t="shared" ca="1" si="19"/>
        <v>6</v>
      </c>
    </row>
    <row r="295" spans="1:29">
      <c r="A295" s="11">
        <v>294</v>
      </c>
      <c r="B295" s="12">
        <v>2</v>
      </c>
      <c r="C295" s="11">
        <v>2</v>
      </c>
      <c r="D295" s="11">
        <v>2</v>
      </c>
      <c r="E295" s="11">
        <v>3</v>
      </c>
      <c r="F295" s="11">
        <v>2</v>
      </c>
      <c r="G295" s="11">
        <v>3</v>
      </c>
      <c r="H295" s="11">
        <v>4</v>
      </c>
      <c r="I295" s="11">
        <v>3</v>
      </c>
      <c r="J295" s="11">
        <v>3</v>
      </c>
      <c r="K295" s="11">
        <v>4</v>
      </c>
      <c r="L295" s="11">
        <v>1</v>
      </c>
      <c r="M295" s="11">
        <v>2</v>
      </c>
      <c r="N295" s="11">
        <v>4</v>
      </c>
      <c r="O295" s="11">
        <v>5</v>
      </c>
      <c r="P295" s="11">
        <v>3</v>
      </c>
      <c r="Q295" s="11">
        <v>2</v>
      </c>
      <c r="R295" s="11">
        <v>3</v>
      </c>
      <c r="S295" s="11">
        <v>3</v>
      </c>
      <c r="T295" s="11">
        <v>5</v>
      </c>
      <c r="U295" s="10">
        <v>4</v>
      </c>
      <c r="V295" s="6">
        <f t="shared" ca="1" si="21"/>
        <v>22.160490138284842</v>
      </c>
      <c r="W295" s="6">
        <f t="shared" ca="1" si="21"/>
        <v>21.819602224557901</v>
      </c>
      <c r="X295" s="6">
        <f t="shared" ca="1" si="21"/>
        <v>21.86126185359538</v>
      </c>
      <c r="Y295" s="6">
        <f t="shared" ca="1" si="20"/>
        <v>22.002700306402943</v>
      </c>
      <c r="Z295" s="6">
        <f t="shared" ca="1" si="20"/>
        <v>22.103428931735024</v>
      </c>
      <c r="AA295" s="6">
        <f t="shared" ca="1" si="20"/>
        <v>22.3731142091629</v>
      </c>
      <c r="AB295" s="6">
        <f t="shared" ca="1" si="18"/>
        <v>21.819602224557901</v>
      </c>
      <c r="AC295" s="6">
        <f t="shared" ca="1" si="19"/>
        <v>2</v>
      </c>
    </row>
    <row r="296" spans="1:29">
      <c r="A296" s="11">
        <v>295</v>
      </c>
      <c r="B296" s="12">
        <v>2</v>
      </c>
      <c r="C296" s="11">
        <v>3</v>
      </c>
      <c r="D296" s="11">
        <v>3</v>
      </c>
      <c r="E296" s="11">
        <v>2</v>
      </c>
      <c r="F296" s="11">
        <v>3</v>
      </c>
      <c r="G296" s="11">
        <v>4</v>
      </c>
      <c r="H296" s="11">
        <v>1</v>
      </c>
      <c r="I296" s="11">
        <v>5</v>
      </c>
      <c r="J296" s="11">
        <v>3</v>
      </c>
      <c r="K296" s="11">
        <v>4</v>
      </c>
      <c r="L296" s="11">
        <v>1</v>
      </c>
      <c r="M296" s="11">
        <v>1</v>
      </c>
      <c r="N296" s="11">
        <v>1</v>
      </c>
      <c r="O296" s="11">
        <v>1</v>
      </c>
      <c r="P296" s="11">
        <v>5</v>
      </c>
      <c r="Q296" s="11">
        <v>1</v>
      </c>
      <c r="R296" s="11">
        <v>3</v>
      </c>
      <c r="S296" s="11">
        <v>2</v>
      </c>
      <c r="T296" s="11">
        <v>4</v>
      </c>
      <c r="U296" s="10">
        <v>4</v>
      </c>
      <c r="V296" s="6">
        <f t="shared" ca="1" si="21"/>
        <v>38.605539413478269</v>
      </c>
      <c r="W296" s="6">
        <f t="shared" ca="1" si="21"/>
        <v>38.390174591983715</v>
      </c>
      <c r="X296" s="6">
        <f t="shared" ca="1" si="21"/>
        <v>38.761927787465417</v>
      </c>
      <c r="Y296" s="6">
        <f t="shared" ca="1" si="20"/>
        <v>38.789052777363167</v>
      </c>
      <c r="Z296" s="6">
        <f t="shared" ca="1" si="20"/>
        <v>39.36940759996628</v>
      </c>
      <c r="AA296" s="6">
        <f t="shared" ca="1" si="20"/>
        <v>38.752047388911528</v>
      </c>
      <c r="AB296" s="6">
        <f t="shared" ca="1" si="18"/>
        <v>38.390174591983715</v>
      </c>
      <c r="AC296" s="6">
        <f t="shared" ca="1" si="19"/>
        <v>2</v>
      </c>
    </row>
    <row r="297" spans="1:29">
      <c r="A297" s="11">
        <v>296</v>
      </c>
      <c r="B297" s="12">
        <v>3</v>
      </c>
      <c r="C297" s="11">
        <v>1</v>
      </c>
      <c r="D297" s="11">
        <v>1</v>
      </c>
      <c r="E297" s="11">
        <v>3</v>
      </c>
      <c r="F297" s="11">
        <v>3</v>
      </c>
      <c r="G297" s="11">
        <v>3</v>
      </c>
      <c r="H297" s="11">
        <v>3</v>
      </c>
      <c r="I297" s="11">
        <v>1</v>
      </c>
      <c r="J297" s="11">
        <v>1</v>
      </c>
      <c r="K297" s="11">
        <v>1</v>
      </c>
      <c r="L297" s="11">
        <v>1</v>
      </c>
      <c r="M297" s="11">
        <v>1</v>
      </c>
      <c r="N297" s="11">
        <v>3</v>
      </c>
      <c r="O297" s="11">
        <v>5</v>
      </c>
      <c r="P297" s="11">
        <v>1</v>
      </c>
      <c r="Q297" s="11">
        <v>1</v>
      </c>
      <c r="R297" s="11">
        <v>5</v>
      </c>
      <c r="S297" s="11">
        <v>3</v>
      </c>
      <c r="T297" s="11">
        <v>2</v>
      </c>
      <c r="U297" s="10">
        <v>1</v>
      </c>
      <c r="V297" s="6">
        <f t="shared" ca="1" si="21"/>
        <v>49.683292535644554</v>
      </c>
      <c r="W297" s="6">
        <f t="shared" ca="1" si="21"/>
        <v>48.645459564937134</v>
      </c>
      <c r="X297" s="6">
        <f t="shared" ca="1" si="21"/>
        <v>48.834069665952782</v>
      </c>
      <c r="Y297" s="6">
        <f t="shared" ca="1" si="20"/>
        <v>48.772399824773792</v>
      </c>
      <c r="Z297" s="6">
        <f t="shared" ca="1" si="20"/>
        <v>49.312227427089198</v>
      </c>
      <c r="AA297" s="6">
        <f t="shared" ca="1" si="20"/>
        <v>49.8408248772908</v>
      </c>
      <c r="AB297" s="6">
        <f t="shared" ca="1" si="18"/>
        <v>48.645459564937134</v>
      </c>
      <c r="AC297" s="6">
        <f t="shared" ca="1" si="19"/>
        <v>2</v>
      </c>
    </row>
    <row r="298" spans="1:29">
      <c r="A298" s="11">
        <v>297</v>
      </c>
      <c r="B298" s="12">
        <v>1</v>
      </c>
      <c r="C298" s="11">
        <v>1</v>
      </c>
      <c r="D298" s="11">
        <v>4</v>
      </c>
      <c r="E298" s="11">
        <v>4</v>
      </c>
      <c r="F298" s="11">
        <v>4</v>
      </c>
      <c r="G298" s="11">
        <v>4</v>
      </c>
      <c r="H298" s="11">
        <v>4</v>
      </c>
      <c r="I298" s="11">
        <v>4</v>
      </c>
      <c r="J298" s="11">
        <v>1</v>
      </c>
      <c r="K298" s="11">
        <v>1</v>
      </c>
      <c r="L298" s="11">
        <v>1</v>
      </c>
      <c r="M298" s="11">
        <v>1</v>
      </c>
      <c r="N298" s="11">
        <v>1</v>
      </c>
      <c r="O298" s="11">
        <v>1</v>
      </c>
      <c r="P298" s="11">
        <v>1</v>
      </c>
      <c r="Q298" s="11">
        <v>1</v>
      </c>
      <c r="R298" s="11">
        <v>1</v>
      </c>
      <c r="S298" s="11">
        <v>1</v>
      </c>
      <c r="T298" s="11">
        <v>1</v>
      </c>
      <c r="U298" s="10">
        <v>1</v>
      </c>
      <c r="V298" s="6">
        <f t="shared" ca="1" si="21"/>
        <v>61.83062257037971</v>
      </c>
      <c r="W298" s="6">
        <f t="shared" ca="1" si="21"/>
        <v>61.271866755152985</v>
      </c>
      <c r="X298" s="6">
        <f t="shared" ca="1" si="21"/>
        <v>61.990881345212195</v>
      </c>
      <c r="Y298" s="6">
        <f t="shared" ca="1" si="20"/>
        <v>61.616411824996355</v>
      </c>
      <c r="Z298" s="6">
        <f t="shared" ca="1" si="20"/>
        <v>62.881529659953088</v>
      </c>
      <c r="AA298" s="6">
        <f t="shared" ca="1" si="20"/>
        <v>61.682786244716155</v>
      </c>
      <c r="AB298" s="6">
        <f t="shared" ca="1" si="18"/>
        <v>61.271866755152985</v>
      </c>
      <c r="AC298" s="6">
        <f t="shared" ca="1" si="19"/>
        <v>2</v>
      </c>
    </row>
    <row r="299" spans="1:29">
      <c r="A299" s="11">
        <v>298</v>
      </c>
      <c r="B299" s="12">
        <v>3</v>
      </c>
      <c r="C299" s="11">
        <v>2</v>
      </c>
      <c r="D299" s="11">
        <v>2</v>
      </c>
      <c r="E299" s="11">
        <v>2</v>
      </c>
      <c r="F299" s="11">
        <v>2</v>
      </c>
      <c r="G299" s="11">
        <v>4</v>
      </c>
      <c r="H299" s="11">
        <v>4</v>
      </c>
      <c r="I299" s="11">
        <v>2</v>
      </c>
      <c r="J299" s="11">
        <v>1</v>
      </c>
      <c r="K299" s="11">
        <v>2</v>
      </c>
      <c r="L299" s="11">
        <v>2</v>
      </c>
      <c r="M299" s="11">
        <v>2</v>
      </c>
      <c r="N299" s="11">
        <v>2</v>
      </c>
      <c r="O299" s="11">
        <v>2</v>
      </c>
      <c r="P299" s="11">
        <v>5</v>
      </c>
      <c r="Q299" s="11">
        <v>4</v>
      </c>
      <c r="R299" s="11">
        <v>2</v>
      </c>
      <c r="S299" s="11">
        <v>2</v>
      </c>
      <c r="T299" s="11">
        <v>1</v>
      </c>
      <c r="U299" s="10">
        <v>3</v>
      </c>
      <c r="V299" s="6">
        <f t="shared" ca="1" si="21"/>
        <v>26.687783050052175</v>
      </c>
      <c r="W299" s="6">
        <f t="shared" ca="1" si="21"/>
        <v>26.647228882664137</v>
      </c>
      <c r="X299" s="6">
        <f t="shared" ca="1" si="21"/>
        <v>26.990193126430718</v>
      </c>
      <c r="Y299" s="6">
        <f t="shared" ca="1" si="20"/>
        <v>26.732233711996585</v>
      </c>
      <c r="Z299" s="6">
        <f t="shared" ca="1" si="20"/>
        <v>27.302458538023668</v>
      </c>
      <c r="AA299" s="6">
        <f t="shared" ca="1" si="20"/>
        <v>26.960961468680718</v>
      </c>
      <c r="AB299" s="6">
        <f t="shared" ca="1" si="18"/>
        <v>26.647228882664137</v>
      </c>
      <c r="AC299" s="6">
        <f t="shared" ca="1" si="19"/>
        <v>2</v>
      </c>
    </row>
    <row r="300" spans="1:29">
      <c r="A300" s="11">
        <v>299</v>
      </c>
      <c r="B300" s="12">
        <v>3</v>
      </c>
      <c r="C300" s="11">
        <v>2</v>
      </c>
      <c r="D300" s="11">
        <v>1</v>
      </c>
      <c r="E300" s="11">
        <v>2</v>
      </c>
      <c r="F300" s="11">
        <v>3</v>
      </c>
      <c r="G300" s="11">
        <v>2</v>
      </c>
      <c r="H300" s="11">
        <v>3</v>
      </c>
      <c r="I300" s="11">
        <v>2</v>
      </c>
      <c r="J300" s="11">
        <v>2</v>
      </c>
      <c r="K300" s="11">
        <v>2</v>
      </c>
      <c r="L300" s="11">
        <v>1</v>
      </c>
      <c r="M300" s="11">
        <v>1</v>
      </c>
      <c r="N300" s="11">
        <v>3</v>
      </c>
      <c r="O300" s="11">
        <v>4</v>
      </c>
      <c r="P300" s="11">
        <v>4</v>
      </c>
      <c r="Q300" s="11">
        <v>2</v>
      </c>
      <c r="R300" s="11">
        <v>1</v>
      </c>
      <c r="S300" s="11">
        <v>5</v>
      </c>
      <c r="T300" s="11">
        <v>2</v>
      </c>
      <c r="U300" s="10">
        <v>5</v>
      </c>
      <c r="V300" s="6">
        <f t="shared" ca="1" si="21"/>
        <v>34.054621534519775</v>
      </c>
      <c r="W300" s="6">
        <f t="shared" ca="1" si="21"/>
        <v>33.644220086639642</v>
      </c>
      <c r="X300" s="6">
        <f t="shared" ca="1" si="21"/>
        <v>33.781636444648207</v>
      </c>
      <c r="Y300" s="6">
        <f t="shared" ca="1" si="20"/>
        <v>33.81385019174909</v>
      </c>
      <c r="Z300" s="6">
        <f t="shared" ca="1" si="20"/>
        <v>34.09850577409361</v>
      </c>
      <c r="AA300" s="6">
        <f t="shared" ca="1" si="20"/>
        <v>34.557170882687345</v>
      </c>
      <c r="AB300" s="6">
        <f t="shared" ca="1" si="18"/>
        <v>33.644220086639642</v>
      </c>
      <c r="AC300" s="6">
        <f t="shared" ca="1" si="19"/>
        <v>2</v>
      </c>
    </row>
    <row r="301" spans="1:29">
      <c r="A301" s="11">
        <v>300</v>
      </c>
      <c r="B301" s="12">
        <v>4</v>
      </c>
      <c r="C301" s="11">
        <v>3</v>
      </c>
      <c r="D301" s="11">
        <v>3</v>
      </c>
      <c r="E301" s="11">
        <v>4</v>
      </c>
      <c r="F301" s="11">
        <v>3</v>
      </c>
      <c r="G301" s="11">
        <v>4</v>
      </c>
      <c r="H301" s="11">
        <v>3</v>
      </c>
      <c r="I301" s="11">
        <v>2</v>
      </c>
      <c r="J301" s="11">
        <v>2</v>
      </c>
      <c r="K301" s="11">
        <v>4</v>
      </c>
      <c r="L301" s="11">
        <v>2</v>
      </c>
      <c r="M301" s="11">
        <v>1</v>
      </c>
      <c r="N301" s="11">
        <v>2</v>
      </c>
      <c r="O301" s="11">
        <v>5</v>
      </c>
      <c r="P301" s="11">
        <v>4</v>
      </c>
      <c r="Q301" s="11">
        <v>2</v>
      </c>
      <c r="R301" s="11">
        <v>1</v>
      </c>
      <c r="S301" s="11">
        <v>3</v>
      </c>
      <c r="T301" s="11">
        <v>3</v>
      </c>
      <c r="U301" s="10">
        <v>4</v>
      </c>
      <c r="V301" s="6">
        <f t="shared" ca="1" si="21"/>
        <v>23.114861272289968</v>
      </c>
      <c r="W301" s="6">
        <f t="shared" ca="1" si="21"/>
        <v>22.82414907093694</v>
      </c>
      <c r="X301" s="6">
        <f t="shared" ca="1" si="21"/>
        <v>22.674699397385609</v>
      </c>
      <c r="Y301" s="6">
        <f t="shared" ca="1" si="20"/>
        <v>23.046825807339292</v>
      </c>
      <c r="Z301" s="6">
        <f t="shared" ca="1" si="20"/>
        <v>23.0330567946807</v>
      </c>
      <c r="AA301" s="6">
        <f t="shared" ca="1" si="20"/>
        <v>23.377356642189518</v>
      </c>
      <c r="AB301" s="6">
        <f t="shared" ca="1" si="18"/>
        <v>22.674699397385609</v>
      </c>
      <c r="AC301" s="6">
        <f t="shared" ca="1" si="19"/>
        <v>3</v>
      </c>
    </row>
    <row r="302" spans="1:29">
      <c r="A302" s="11">
        <v>301</v>
      </c>
      <c r="B302" s="12">
        <v>3</v>
      </c>
      <c r="C302" s="11">
        <v>1</v>
      </c>
      <c r="D302" s="11">
        <v>1</v>
      </c>
      <c r="E302" s="11">
        <v>3</v>
      </c>
      <c r="F302" s="11">
        <v>2</v>
      </c>
      <c r="G302" s="11">
        <v>3</v>
      </c>
      <c r="H302" s="11">
        <v>3</v>
      </c>
      <c r="I302" s="11">
        <v>2</v>
      </c>
      <c r="J302" s="11">
        <v>3</v>
      </c>
      <c r="K302" s="11">
        <v>2</v>
      </c>
      <c r="L302" s="11">
        <v>1</v>
      </c>
      <c r="M302" s="11">
        <v>2</v>
      </c>
      <c r="N302" s="11">
        <v>3</v>
      </c>
      <c r="O302" s="11">
        <v>4</v>
      </c>
      <c r="P302" s="11">
        <v>4</v>
      </c>
      <c r="Q302" s="11">
        <v>2</v>
      </c>
      <c r="R302" s="11">
        <v>2</v>
      </c>
      <c r="S302" s="11">
        <v>3</v>
      </c>
      <c r="T302" s="11">
        <v>3</v>
      </c>
      <c r="U302" s="10">
        <v>3</v>
      </c>
      <c r="V302" s="6">
        <f t="shared" ca="1" si="21"/>
        <v>20.206409450037015</v>
      </c>
      <c r="W302" s="6">
        <f t="shared" ca="1" si="21"/>
        <v>19.873546998641029</v>
      </c>
      <c r="X302" s="6">
        <f t="shared" ca="1" si="21"/>
        <v>20.000481434466781</v>
      </c>
      <c r="Y302" s="6">
        <f t="shared" ca="1" si="20"/>
        <v>19.972519172685477</v>
      </c>
      <c r="Z302" s="6">
        <f t="shared" ca="1" si="20"/>
        <v>20.397505413482193</v>
      </c>
      <c r="AA302" s="6">
        <f t="shared" ca="1" si="20"/>
        <v>20.316878312583601</v>
      </c>
      <c r="AB302" s="6">
        <f t="shared" ca="1" si="18"/>
        <v>19.873546998641029</v>
      </c>
      <c r="AC302" s="6">
        <f t="shared" ca="1" si="19"/>
        <v>2</v>
      </c>
    </row>
    <row r="303" spans="1:29">
      <c r="A303" s="11">
        <v>302</v>
      </c>
      <c r="B303" s="12">
        <v>4</v>
      </c>
      <c r="C303" s="11">
        <v>4</v>
      </c>
      <c r="D303" s="11">
        <v>4</v>
      </c>
      <c r="E303" s="11">
        <v>2</v>
      </c>
      <c r="F303" s="11">
        <v>3</v>
      </c>
      <c r="G303" s="11">
        <v>3</v>
      </c>
      <c r="H303" s="11">
        <v>2</v>
      </c>
      <c r="I303" s="11">
        <v>2</v>
      </c>
      <c r="J303" s="11">
        <v>2</v>
      </c>
      <c r="K303" s="11">
        <v>4</v>
      </c>
      <c r="L303" s="11">
        <v>2</v>
      </c>
      <c r="M303" s="11">
        <v>2</v>
      </c>
      <c r="N303" s="11">
        <v>2</v>
      </c>
      <c r="O303" s="11">
        <v>4</v>
      </c>
      <c r="P303" s="11">
        <v>4</v>
      </c>
      <c r="Q303" s="11">
        <v>2</v>
      </c>
      <c r="R303" s="11">
        <v>1</v>
      </c>
      <c r="S303" s="11">
        <v>3</v>
      </c>
      <c r="T303" s="11">
        <v>4</v>
      </c>
      <c r="U303" s="10">
        <v>5</v>
      </c>
      <c r="V303" s="6">
        <f t="shared" ca="1" si="21"/>
        <v>22.72654589198315</v>
      </c>
      <c r="W303" s="6">
        <f t="shared" ca="1" si="21"/>
        <v>22.929840772829479</v>
      </c>
      <c r="X303" s="6">
        <f t="shared" ca="1" si="21"/>
        <v>22.544064578248424</v>
      </c>
      <c r="Y303" s="6">
        <f t="shared" ca="1" si="20"/>
        <v>22.957240270284125</v>
      </c>
      <c r="Z303" s="6">
        <f t="shared" ca="1" si="20"/>
        <v>23.096756840998655</v>
      </c>
      <c r="AA303" s="6">
        <f t="shared" ca="1" si="20"/>
        <v>23.292775467878922</v>
      </c>
      <c r="AB303" s="6">
        <f t="shared" ca="1" si="18"/>
        <v>22.544064578248424</v>
      </c>
      <c r="AC303" s="6">
        <f t="shared" ca="1" si="19"/>
        <v>3</v>
      </c>
    </row>
    <row r="304" spans="1:29">
      <c r="A304" s="11">
        <v>303</v>
      </c>
      <c r="B304" s="12">
        <v>1</v>
      </c>
      <c r="C304" s="11">
        <v>3</v>
      </c>
      <c r="D304" s="11">
        <v>3</v>
      </c>
      <c r="E304" s="11">
        <v>4</v>
      </c>
      <c r="F304" s="11">
        <v>5</v>
      </c>
      <c r="G304" s="11">
        <v>3</v>
      </c>
      <c r="H304" s="11">
        <v>3</v>
      </c>
      <c r="I304" s="11">
        <v>1</v>
      </c>
      <c r="J304" s="11">
        <v>1</v>
      </c>
      <c r="K304" s="11">
        <v>3</v>
      </c>
      <c r="L304" s="11">
        <v>2</v>
      </c>
      <c r="M304" s="11">
        <v>1</v>
      </c>
      <c r="N304" s="11">
        <v>1</v>
      </c>
      <c r="O304" s="11">
        <v>4</v>
      </c>
      <c r="P304" s="11">
        <v>4</v>
      </c>
      <c r="Q304" s="11">
        <v>1</v>
      </c>
      <c r="R304" s="11">
        <v>2</v>
      </c>
      <c r="S304" s="11">
        <v>3</v>
      </c>
      <c r="T304" s="11">
        <v>3</v>
      </c>
      <c r="U304" s="10">
        <v>3</v>
      </c>
      <c r="V304" s="6">
        <f t="shared" ca="1" si="21"/>
        <v>33.184643249999468</v>
      </c>
      <c r="W304" s="6">
        <f t="shared" ca="1" si="21"/>
        <v>32.558084476033443</v>
      </c>
      <c r="X304" s="6">
        <f t="shared" ca="1" si="21"/>
        <v>32.91632899098839</v>
      </c>
      <c r="Y304" s="6">
        <f t="shared" ca="1" si="20"/>
        <v>32.954318181700842</v>
      </c>
      <c r="Z304" s="6">
        <f t="shared" ca="1" si="20"/>
        <v>33.274684898521869</v>
      </c>
      <c r="AA304" s="6">
        <f t="shared" ca="1" si="20"/>
        <v>33.246746303896892</v>
      </c>
      <c r="AB304" s="6">
        <f t="shared" ca="1" si="18"/>
        <v>32.558084476033443</v>
      </c>
      <c r="AC304" s="6">
        <f t="shared" ca="1" si="19"/>
        <v>2</v>
      </c>
    </row>
    <row r="305" spans="1:29">
      <c r="A305" s="11">
        <v>304</v>
      </c>
      <c r="B305" s="12">
        <v>3</v>
      </c>
      <c r="C305" s="11">
        <v>4</v>
      </c>
      <c r="D305" s="11">
        <v>4</v>
      </c>
      <c r="E305" s="11">
        <v>3</v>
      </c>
      <c r="F305" s="11">
        <v>4</v>
      </c>
      <c r="G305" s="11">
        <v>2</v>
      </c>
      <c r="H305" s="11">
        <v>3</v>
      </c>
      <c r="I305" s="11">
        <v>2</v>
      </c>
      <c r="J305" s="11">
        <v>2</v>
      </c>
      <c r="K305" s="11">
        <v>3</v>
      </c>
      <c r="L305" s="11">
        <v>2</v>
      </c>
      <c r="M305" s="11">
        <v>4</v>
      </c>
      <c r="N305" s="11">
        <v>4</v>
      </c>
      <c r="O305" s="11">
        <v>4</v>
      </c>
      <c r="P305" s="11">
        <v>4</v>
      </c>
      <c r="Q305" s="11">
        <v>3</v>
      </c>
      <c r="R305" s="11">
        <v>3</v>
      </c>
      <c r="S305" s="11">
        <v>2</v>
      </c>
      <c r="T305" s="11">
        <v>2</v>
      </c>
      <c r="U305" s="10">
        <v>4</v>
      </c>
      <c r="V305" s="6">
        <f t="shared" ca="1" si="21"/>
        <v>13.771659508705179</v>
      </c>
      <c r="W305" s="6">
        <f t="shared" ca="1" si="21"/>
        <v>14.016636801699011</v>
      </c>
      <c r="X305" s="6">
        <f t="shared" ca="1" si="21"/>
        <v>14.036720310031935</v>
      </c>
      <c r="Y305" s="6">
        <f t="shared" ca="1" si="20"/>
        <v>14.180097359452288</v>
      </c>
      <c r="Z305" s="6">
        <f t="shared" ca="1" si="20"/>
        <v>13.801045552539387</v>
      </c>
      <c r="AA305" s="6">
        <f t="shared" ca="1" si="20"/>
        <v>14.128849204194463</v>
      </c>
      <c r="AB305" s="6">
        <f t="shared" ca="1" si="18"/>
        <v>13.771659508705179</v>
      </c>
      <c r="AC305" s="6">
        <f t="shared" ca="1" si="19"/>
        <v>1</v>
      </c>
    </row>
    <row r="306" spans="1:29">
      <c r="A306" s="11">
        <v>305</v>
      </c>
      <c r="B306" s="12">
        <v>2</v>
      </c>
      <c r="C306" s="11">
        <v>2</v>
      </c>
      <c r="D306" s="11">
        <v>2</v>
      </c>
      <c r="E306" s="11">
        <v>5</v>
      </c>
      <c r="F306" s="11">
        <v>3</v>
      </c>
      <c r="G306" s="11">
        <v>5</v>
      </c>
      <c r="H306" s="11">
        <v>3</v>
      </c>
      <c r="I306" s="11">
        <v>3</v>
      </c>
      <c r="J306" s="11">
        <v>3</v>
      </c>
      <c r="K306" s="11">
        <v>2</v>
      </c>
      <c r="L306" s="11">
        <v>2</v>
      </c>
      <c r="M306" s="11">
        <v>2</v>
      </c>
      <c r="N306" s="11">
        <v>3</v>
      </c>
      <c r="O306" s="11">
        <v>5</v>
      </c>
      <c r="P306" s="11">
        <v>4</v>
      </c>
      <c r="Q306" s="11">
        <v>1</v>
      </c>
      <c r="R306" s="11">
        <v>2</v>
      </c>
      <c r="S306" s="11">
        <v>3</v>
      </c>
      <c r="T306" s="11">
        <v>3</v>
      </c>
      <c r="U306" s="10">
        <v>3</v>
      </c>
      <c r="V306" s="6">
        <f t="shared" ca="1" si="21"/>
        <v>24.32654867271512</v>
      </c>
      <c r="W306" s="6">
        <f t="shared" ca="1" si="21"/>
        <v>23.651890236876877</v>
      </c>
      <c r="X306" s="6">
        <f t="shared" ca="1" si="21"/>
        <v>23.907443091760619</v>
      </c>
      <c r="Y306" s="6">
        <f t="shared" ca="1" si="20"/>
        <v>24.089860432630143</v>
      </c>
      <c r="Z306" s="6">
        <f t="shared" ca="1" si="20"/>
        <v>24.276145538488528</v>
      </c>
      <c r="AA306" s="6">
        <f t="shared" ca="1" si="20"/>
        <v>24.341578377631237</v>
      </c>
      <c r="AB306" s="6">
        <f t="shared" ca="1" si="18"/>
        <v>23.651890236876877</v>
      </c>
      <c r="AC306" s="6">
        <f t="shared" ca="1" si="19"/>
        <v>2</v>
      </c>
    </row>
    <row r="307" spans="1:29">
      <c r="A307" s="11">
        <v>306</v>
      </c>
      <c r="B307" s="12">
        <v>2</v>
      </c>
      <c r="C307" s="11">
        <v>1</v>
      </c>
      <c r="D307" s="11">
        <v>2</v>
      </c>
      <c r="E307" s="11">
        <v>2</v>
      </c>
      <c r="F307" s="11">
        <v>2</v>
      </c>
      <c r="G307" s="11">
        <v>2</v>
      </c>
      <c r="H307" s="11">
        <v>4</v>
      </c>
      <c r="I307" s="11">
        <v>1</v>
      </c>
      <c r="J307" s="11">
        <v>1</v>
      </c>
      <c r="K307" s="11">
        <v>2</v>
      </c>
      <c r="L307" s="11">
        <v>1</v>
      </c>
      <c r="M307" s="11">
        <v>4</v>
      </c>
      <c r="N307" s="11">
        <v>2</v>
      </c>
      <c r="O307" s="11">
        <v>5</v>
      </c>
      <c r="P307" s="11">
        <v>2</v>
      </c>
      <c r="Q307" s="11">
        <v>1</v>
      </c>
      <c r="R307" s="11">
        <v>1</v>
      </c>
      <c r="S307" s="11">
        <v>1</v>
      </c>
      <c r="T307" s="11">
        <v>5</v>
      </c>
      <c r="U307" s="10">
        <v>5</v>
      </c>
      <c r="V307" s="6">
        <f t="shared" ca="1" si="21"/>
        <v>49.730964637014864</v>
      </c>
      <c r="W307" s="6">
        <f t="shared" ca="1" si="21"/>
        <v>49.844339750438245</v>
      </c>
      <c r="X307" s="6">
        <f t="shared" ca="1" si="21"/>
        <v>49.818190995776718</v>
      </c>
      <c r="Y307" s="6">
        <f t="shared" ca="1" si="20"/>
        <v>49.737211819012892</v>
      </c>
      <c r="Z307" s="6">
        <f t="shared" ca="1" si="20"/>
        <v>50.74909210058626</v>
      </c>
      <c r="AA307" s="6">
        <f t="shared" ca="1" si="20"/>
        <v>50.410100316799706</v>
      </c>
      <c r="AB307" s="6">
        <f t="shared" ca="1" si="18"/>
        <v>49.730964637014864</v>
      </c>
      <c r="AC307" s="6">
        <f t="shared" ca="1" si="19"/>
        <v>1</v>
      </c>
    </row>
    <row r="308" spans="1:29">
      <c r="A308" s="11">
        <v>307</v>
      </c>
      <c r="B308" s="12">
        <v>2</v>
      </c>
      <c r="C308" s="11">
        <v>3</v>
      </c>
      <c r="D308" s="11">
        <v>2</v>
      </c>
      <c r="E308" s="11">
        <v>4</v>
      </c>
      <c r="F308" s="11">
        <v>3</v>
      </c>
      <c r="G308" s="11">
        <v>3</v>
      </c>
      <c r="H308" s="11">
        <v>2</v>
      </c>
      <c r="I308" s="11">
        <v>4</v>
      </c>
      <c r="J308" s="11">
        <v>3</v>
      </c>
      <c r="K308" s="11">
        <v>2</v>
      </c>
      <c r="L308" s="11">
        <v>4</v>
      </c>
      <c r="M308" s="11">
        <v>3</v>
      </c>
      <c r="N308" s="11">
        <v>2</v>
      </c>
      <c r="O308" s="11">
        <v>4</v>
      </c>
      <c r="P308" s="11">
        <v>3</v>
      </c>
      <c r="Q308" s="11">
        <v>2</v>
      </c>
      <c r="R308" s="11">
        <v>3</v>
      </c>
      <c r="S308" s="11">
        <v>3</v>
      </c>
      <c r="T308" s="11">
        <v>2</v>
      </c>
      <c r="U308" s="10">
        <v>3</v>
      </c>
      <c r="V308" s="6">
        <f t="shared" ca="1" si="21"/>
        <v>11.243874396124522</v>
      </c>
      <c r="W308" s="6">
        <f t="shared" ca="1" si="21"/>
        <v>10.910306132286733</v>
      </c>
      <c r="X308" s="6">
        <f t="shared" ca="1" si="21"/>
        <v>11.14251216205488</v>
      </c>
      <c r="Y308" s="6">
        <f t="shared" ca="1" si="20"/>
        <v>10.920229705739816</v>
      </c>
      <c r="Z308" s="6">
        <f t="shared" ca="1" si="20"/>
        <v>11.062854606378444</v>
      </c>
      <c r="AA308" s="6">
        <f t="shared" ca="1" si="20"/>
        <v>10.884842463578885</v>
      </c>
      <c r="AB308" s="6">
        <f t="shared" ca="1" si="18"/>
        <v>10.884842463578885</v>
      </c>
      <c r="AC308" s="6">
        <f t="shared" ca="1" si="19"/>
        <v>6</v>
      </c>
    </row>
    <row r="309" spans="1:29">
      <c r="A309" s="11">
        <v>308</v>
      </c>
      <c r="B309" s="12">
        <v>2</v>
      </c>
      <c r="C309" s="11">
        <v>2</v>
      </c>
      <c r="D309" s="11">
        <v>2</v>
      </c>
      <c r="E309" s="11">
        <v>2</v>
      </c>
      <c r="F309" s="11">
        <v>1</v>
      </c>
      <c r="G309" s="11">
        <v>2</v>
      </c>
      <c r="H309" s="11">
        <v>2</v>
      </c>
      <c r="I309" s="11">
        <v>2</v>
      </c>
      <c r="J309" s="11">
        <v>2</v>
      </c>
      <c r="K309" s="11">
        <v>2</v>
      </c>
      <c r="L309" s="11">
        <v>2</v>
      </c>
      <c r="M309" s="11">
        <v>2</v>
      </c>
      <c r="N309" s="11">
        <v>4</v>
      </c>
      <c r="O309" s="11">
        <v>4</v>
      </c>
      <c r="P309" s="11">
        <v>5</v>
      </c>
      <c r="Q309" s="11">
        <v>1</v>
      </c>
      <c r="R309" s="11">
        <v>2</v>
      </c>
      <c r="S309" s="11">
        <v>4</v>
      </c>
      <c r="T309" s="11">
        <v>3</v>
      </c>
      <c r="U309" s="10">
        <v>4</v>
      </c>
      <c r="V309" s="6">
        <f t="shared" ca="1" si="21"/>
        <v>28.299337250804133</v>
      </c>
      <c r="W309" s="6">
        <f t="shared" ca="1" si="21"/>
        <v>27.732573194378812</v>
      </c>
      <c r="X309" s="6">
        <f t="shared" ca="1" si="21"/>
        <v>27.774828763843626</v>
      </c>
      <c r="Y309" s="6">
        <f t="shared" ca="1" si="20"/>
        <v>27.995215605141716</v>
      </c>
      <c r="Z309" s="6">
        <f t="shared" ca="1" si="20"/>
        <v>28.230321310910909</v>
      </c>
      <c r="AA309" s="6">
        <f t="shared" ca="1" si="20"/>
        <v>28.208069817942196</v>
      </c>
      <c r="AB309" s="6">
        <f t="shared" ca="1" si="18"/>
        <v>27.732573194378812</v>
      </c>
      <c r="AC309" s="6">
        <f t="shared" ca="1" si="19"/>
        <v>2</v>
      </c>
    </row>
    <row r="310" spans="1:29">
      <c r="A310" s="11">
        <v>309</v>
      </c>
      <c r="B310" s="12">
        <v>2</v>
      </c>
      <c r="C310" s="11">
        <v>2</v>
      </c>
      <c r="D310" s="11">
        <v>3</v>
      </c>
      <c r="E310" s="11">
        <v>3</v>
      </c>
      <c r="F310" s="11">
        <v>3</v>
      </c>
      <c r="G310" s="11">
        <v>2</v>
      </c>
      <c r="H310" s="11">
        <v>3</v>
      </c>
      <c r="I310" s="11">
        <v>2</v>
      </c>
      <c r="J310" s="11">
        <v>1</v>
      </c>
      <c r="K310" s="11">
        <v>3</v>
      </c>
      <c r="L310" s="11">
        <v>3</v>
      </c>
      <c r="M310" s="11">
        <v>3</v>
      </c>
      <c r="N310" s="11">
        <v>2</v>
      </c>
      <c r="O310" s="11">
        <v>3</v>
      </c>
      <c r="P310" s="11">
        <v>3</v>
      </c>
      <c r="Q310" s="11">
        <v>2</v>
      </c>
      <c r="R310" s="11">
        <v>3</v>
      </c>
      <c r="S310" s="11">
        <v>3</v>
      </c>
      <c r="T310" s="11">
        <v>2</v>
      </c>
      <c r="U310" s="10">
        <v>3</v>
      </c>
      <c r="V310" s="6">
        <f t="shared" ca="1" si="21"/>
        <v>11.170899609152555</v>
      </c>
      <c r="W310" s="6">
        <f t="shared" ca="1" si="21"/>
        <v>10.661475773253086</v>
      </c>
      <c r="X310" s="6">
        <f t="shared" ca="1" si="21"/>
        <v>11.037374037480122</v>
      </c>
      <c r="Y310" s="6">
        <f t="shared" ca="1" si="20"/>
        <v>10.90335261198237</v>
      </c>
      <c r="Z310" s="6">
        <f t="shared" ca="1" si="20"/>
        <v>11.102129664122948</v>
      </c>
      <c r="AA310" s="6">
        <f t="shared" ca="1" si="20"/>
        <v>10.911650439204591</v>
      </c>
      <c r="AB310" s="6">
        <f t="shared" ca="1" si="18"/>
        <v>10.661475773253086</v>
      </c>
      <c r="AC310" s="6">
        <f t="shared" ca="1" si="19"/>
        <v>2</v>
      </c>
    </row>
    <row r="311" spans="1:29">
      <c r="A311" s="11">
        <v>310</v>
      </c>
      <c r="B311" s="12">
        <v>1</v>
      </c>
      <c r="C311" s="11">
        <v>2</v>
      </c>
      <c r="D311" s="11">
        <v>1</v>
      </c>
      <c r="E311" s="11">
        <v>1</v>
      </c>
      <c r="F311" s="11">
        <v>2</v>
      </c>
      <c r="G311" s="11">
        <v>1</v>
      </c>
      <c r="H311" s="11">
        <v>2</v>
      </c>
      <c r="I311" s="11">
        <v>3</v>
      </c>
      <c r="J311" s="11">
        <v>2</v>
      </c>
      <c r="K311" s="11">
        <v>1</v>
      </c>
      <c r="L311" s="11">
        <v>1</v>
      </c>
      <c r="M311" s="11">
        <v>2</v>
      </c>
      <c r="N311" s="11">
        <v>3</v>
      </c>
      <c r="O311" s="11">
        <v>2</v>
      </c>
      <c r="P311" s="11">
        <v>1</v>
      </c>
      <c r="Q311" s="11">
        <v>3</v>
      </c>
      <c r="R311" s="11">
        <v>2</v>
      </c>
      <c r="S311" s="11">
        <v>3</v>
      </c>
      <c r="T311" s="11">
        <v>4</v>
      </c>
      <c r="U311" s="10">
        <v>4</v>
      </c>
      <c r="V311" s="6">
        <f t="shared" ca="1" si="21"/>
        <v>36.550291790074638</v>
      </c>
      <c r="W311" s="6">
        <f t="shared" ca="1" si="21"/>
        <v>37.083827563589978</v>
      </c>
      <c r="X311" s="6">
        <f t="shared" ca="1" si="21"/>
        <v>36.805869365246814</v>
      </c>
      <c r="Y311" s="6">
        <f t="shared" ca="1" si="20"/>
        <v>36.44602591906493</v>
      </c>
      <c r="Z311" s="6">
        <f t="shared" ca="1" si="20"/>
        <v>37.879227721474393</v>
      </c>
      <c r="AA311" s="6">
        <f t="shared" ca="1" si="20"/>
        <v>37.265646140821417</v>
      </c>
      <c r="AB311" s="6">
        <f t="shared" ca="1" si="18"/>
        <v>36.44602591906493</v>
      </c>
      <c r="AC311" s="6">
        <f t="shared" ca="1" si="19"/>
        <v>4</v>
      </c>
    </row>
    <row r="312" spans="1:29">
      <c r="A312" s="11">
        <v>311</v>
      </c>
      <c r="B312" s="12">
        <v>3</v>
      </c>
      <c r="C312" s="11">
        <v>4</v>
      </c>
      <c r="D312" s="11">
        <v>5</v>
      </c>
      <c r="E312" s="11">
        <v>4</v>
      </c>
      <c r="F312" s="11">
        <v>3</v>
      </c>
      <c r="G312" s="11">
        <v>3</v>
      </c>
      <c r="H312" s="11">
        <v>5</v>
      </c>
      <c r="I312" s="11">
        <v>4</v>
      </c>
      <c r="J312" s="11">
        <v>4</v>
      </c>
      <c r="K312" s="11">
        <v>4</v>
      </c>
      <c r="L312" s="11">
        <v>5</v>
      </c>
      <c r="M312" s="11">
        <v>4</v>
      </c>
      <c r="N312" s="11">
        <v>3</v>
      </c>
      <c r="O312" s="11">
        <v>3</v>
      </c>
      <c r="P312" s="11">
        <v>4</v>
      </c>
      <c r="Q312" s="11">
        <v>5</v>
      </c>
      <c r="R312" s="11">
        <v>4</v>
      </c>
      <c r="S312" s="11">
        <v>4</v>
      </c>
      <c r="T312" s="11">
        <v>4</v>
      </c>
      <c r="U312" s="10">
        <v>2</v>
      </c>
      <c r="V312" s="6">
        <f t="shared" ca="1" si="21"/>
        <v>27.290736715567135</v>
      </c>
      <c r="W312" s="6">
        <f t="shared" ca="1" si="21"/>
        <v>27.063781748860954</v>
      </c>
      <c r="X312" s="6">
        <f t="shared" ca="1" si="21"/>
        <v>27.24625976660797</v>
      </c>
      <c r="Y312" s="6">
        <f t="shared" ca="1" si="20"/>
        <v>27.183408223586252</v>
      </c>
      <c r="Z312" s="6">
        <f t="shared" ca="1" si="20"/>
        <v>26.504093552365013</v>
      </c>
      <c r="AA312" s="6">
        <f t="shared" ca="1" si="20"/>
        <v>26.62749782940541</v>
      </c>
      <c r="AB312" s="6">
        <f t="shared" ca="1" si="18"/>
        <v>26.504093552365013</v>
      </c>
      <c r="AC312" s="6">
        <f t="shared" ca="1" si="19"/>
        <v>5</v>
      </c>
    </row>
    <row r="313" spans="1:29">
      <c r="A313" s="11">
        <v>312</v>
      </c>
      <c r="B313" s="12">
        <v>2</v>
      </c>
      <c r="C313" s="11">
        <v>3</v>
      </c>
      <c r="D313" s="11">
        <v>3</v>
      </c>
      <c r="E313" s="11">
        <v>2</v>
      </c>
      <c r="F313" s="11">
        <v>3</v>
      </c>
      <c r="G313" s="11">
        <v>2</v>
      </c>
      <c r="H313" s="11">
        <v>2</v>
      </c>
      <c r="I313" s="11">
        <v>2</v>
      </c>
      <c r="J313" s="11">
        <v>2</v>
      </c>
      <c r="K313" s="11">
        <v>2</v>
      </c>
      <c r="L313" s="11">
        <v>2</v>
      </c>
      <c r="M313" s="11">
        <v>2</v>
      </c>
      <c r="N313" s="11">
        <v>3</v>
      </c>
      <c r="O313" s="11">
        <v>4</v>
      </c>
      <c r="P313" s="11">
        <v>4</v>
      </c>
      <c r="Q313" s="11">
        <v>2</v>
      </c>
      <c r="R313" s="11">
        <v>2</v>
      </c>
      <c r="S313" s="11">
        <v>3</v>
      </c>
      <c r="T313" s="11">
        <v>3</v>
      </c>
      <c r="U313" s="10">
        <v>4</v>
      </c>
      <c r="V313" s="6">
        <f t="shared" ca="1" si="21"/>
        <v>13.969056651156835</v>
      </c>
      <c r="W313" s="6">
        <f t="shared" ca="1" si="21"/>
        <v>13.887070643294468</v>
      </c>
      <c r="X313" s="6">
        <f t="shared" ca="1" si="21"/>
        <v>13.848942271261755</v>
      </c>
      <c r="Y313" s="6">
        <f t="shared" ca="1" si="20"/>
        <v>13.893584402716941</v>
      </c>
      <c r="Z313" s="6">
        <f t="shared" ca="1" si="20"/>
        <v>14.256215461453817</v>
      </c>
      <c r="AA313" s="6">
        <f t="shared" ca="1" si="20"/>
        <v>14.234139787987727</v>
      </c>
      <c r="AB313" s="6">
        <f t="shared" ca="1" si="18"/>
        <v>13.848942271261755</v>
      </c>
      <c r="AC313" s="6">
        <f t="shared" ca="1" si="19"/>
        <v>3</v>
      </c>
    </row>
    <row r="314" spans="1:29">
      <c r="A314" s="11">
        <v>313</v>
      </c>
      <c r="B314" s="12">
        <v>3</v>
      </c>
      <c r="C314" s="11">
        <v>2</v>
      </c>
      <c r="D314" s="11">
        <v>3</v>
      </c>
      <c r="E314" s="11">
        <v>4</v>
      </c>
      <c r="F314" s="11">
        <v>5</v>
      </c>
      <c r="G314" s="11">
        <v>3</v>
      </c>
      <c r="H314" s="11">
        <v>4</v>
      </c>
      <c r="I314" s="11">
        <v>2</v>
      </c>
      <c r="J314" s="11">
        <v>1</v>
      </c>
      <c r="K314" s="11">
        <v>3</v>
      </c>
      <c r="L314" s="11">
        <v>1</v>
      </c>
      <c r="M314" s="11">
        <v>1</v>
      </c>
      <c r="N314" s="11">
        <v>1</v>
      </c>
      <c r="O314" s="11">
        <v>1</v>
      </c>
      <c r="P314" s="11">
        <v>3</v>
      </c>
      <c r="Q314" s="11">
        <v>4</v>
      </c>
      <c r="R314" s="11">
        <v>3</v>
      </c>
      <c r="S314" s="11">
        <v>4</v>
      </c>
      <c r="T314" s="11">
        <v>1</v>
      </c>
      <c r="U314" s="10">
        <v>4</v>
      </c>
      <c r="V314" s="6">
        <f t="shared" ca="1" si="21"/>
        <v>34.72984509945713</v>
      </c>
      <c r="W314" s="6">
        <f t="shared" ca="1" si="21"/>
        <v>34.313581834617644</v>
      </c>
      <c r="X314" s="6">
        <f t="shared" ca="1" si="21"/>
        <v>34.812991134590469</v>
      </c>
      <c r="Y314" s="6">
        <f t="shared" ca="1" si="20"/>
        <v>34.790336400041248</v>
      </c>
      <c r="Z314" s="6">
        <f t="shared" ca="1" si="20"/>
        <v>35.065495895869333</v>
      </c>
      <c r="AA314" s="6">
        <f t="shared" ca="1" si="20"/>
        <v>35.318457770588012</v>
      </c>
      <c r="AB314" s="6">
        <f t="shared" ca="1" si="18"/>
        <v>34.313581834617644</v>
      </c>
      <c r="AC314" s="6">
        <f t="shared" ca="1" si="19"/>
        <v>2</v>
      </c>
    </row>
    <row r="315" spans="1:29">
      <c r="A315" s="11">
        <v>314</v>
      </c>
      <c r="B315" s="12">
        <v>4</v>
      </c>
      <c r="C315" s="11">
        <v>2</v>
      </c>
      <c r="D315" s="11">
        <v>3</v>
      </c>
      <c r="E315" s="11">
        <v>3</v>
      </c>
      <c r="F315" s="11">
        <v>2</v>
      </c>
      <c r="G315" s="11">
        <v>2</v>
      </c>
      <c r="H315" s="11">
        <v>3</v>
      </c>
      <c r="I315" s="11">
        <v>2</v>
      </c>
      <c r="J315" s="11">
        <v>4</v>
      </c>
      <c r="K315" s="11">
        <v>3</v>
      </c>
      <c r="L315" s="11">
        <v>2</v>
      </c>
      <c r="M315" s="11">
        <v>2</v>
      </c>
      <c r="N315" s="11">
        <v>2</v>
      </c>
      <c r="O315" s="11">
        <v>3</v>
      </c>
      <c r="P315" s="11">
        <v>4</v>
      </c>
      <c r="Q315" s="11">
        <v>3</v>
      </c>
      <c r="R315" s="11">
        <v>2</v>
      </c>
      <c r="S315" s="11">
        <v>4</v>
      </c>
      <c r="T315" s="11">
        <v>3</v>
      </c>
      <c r="U315" s="10">
        <v>4</v>
      </c>
      <c r="V315" s="6">
        <f t="shared" ca="1" si="21"/>
        <v>13.164190779595545</v>
      </c>
      <c r="W315" s="6">
        <f t="shared" ca="1" si="21"/>
        <v>12.94494317084505</v>
      </c>
      <c r="X315" s="6">
        <f t="shared" ca="1" si="21"/>
        <v>12.896494464877636</v>
      </c>
      <c r="Y315" s="6">
        <f t="shared" ca="1" si="20"/>
        <v>13.120634821773429</v>
      </c>
      <c r="Z315" s="6">
        <f t="shared" ca="1" si="20"/>
        <v>13.073313182260719</v>
      </c>
      <c r="AA315" s="6">
        <f t="shared" ca="1" si="20"/>
        <v>13.065166395146749</v>
      </c>
      <c r="AB315" s="6">
        <f t="shared" ca="1" si="18"/>
        <v>12.896494464877636</v>
      </c>
      <c r="AC315" s="6">
        <f t="shared" ca="1" si="19"/>
        <v>3</v>
      </c>
    </row>
    <row r="316" spans="1:29">
      <c r="A316" s="11">
        <v>315</v>
      </c>
      <c r="B316" s="12">
        <v>1</v>
      </c>
      <c r="C316" s="11">
        <v>4</v>
      </c>
      <c r="D316" s="11">
        <v>4</v>
      </c>
      <c r="E316" s="11">
        <v>4</v>
      </c>
      <c r="F316" s="11">
        <v>3</v>
      </c>
      <c r="G316" s="11">
        <v>4</v>
      </c>
      <c r="H316" s="11">
        <v>4</v>
      </c>
      <c r="I316" s="11">
        <v>4</v>
      </c>
      <c r="J316" s="11">
        <v>2</v>
      </c>
      <c r="K316" s="11">
        <v>4</v>
      </c>
      <c r="L316" s="11">
        <v>1</v>
      </c>
      <c r="M316" s="11">
        <v>1</v>
      </c>
      <c r="N316" s="11">
        <v>1</v>
      </c>
      <c r="O316" s="11">
        <v>3</v>
      </c>
      <c r="P316" s="11">
        <v>3</v>
      </c>
      <c r="Q316" s="11">
        <v>1</v>
      </c>
      <c r="R316" s="11">
        <v>1</v>
      </c>
      <c r="S316" s="11">
        <v>5</v>
      </c>
      <c r="T316" s="11">
        <v>3</v>
      </c>
      <c r="U316" s="10">
        <v>5</v>
      </c>
      <c r="V316" s="6">
        <f t="shared" ca="1" si="21"/>
        <v>39.829346680461718</v>
      </c>
      <c r="W316" s="6">
        <f t="shared" ca="1" si="21"/>
        <v>39.079414672056664</v>
      </c>
      <c r="X316" s="6">
        <f t="shared" ca="1" si="21"/>
        <v>39.476562151232237</v>
      </c>
      <c r="Y316" s="6">
        <f t="shared" ca="1" si="20"/>
        <v>39.86162784392458</v>
      </c>
      <c r="Z316" s="6">
        <f t="shared" ca="1" si="20"/>
        <v>40.137640576250156</v>
      </c>
      <c r="AA316" s="6">
        <f t="shared" ca="1" si="20"/>
        <v>39.99325920692656</v>
      </c>
      <c r="AB316" s="6">
        <f t="shared" ca="1" si="18"/>
        <v>39.079414672056664</v>
      </c>
      <c r="AC316" s="6">
        <f t="shared" ca="1" si="19"/>
        <v>2</v>
      </c>
    </row>
    <row r="317" spans="1:29">
      <c r="A317" s="11">
        <v>316</v>
      </c>
      <c r="B317" s="12">
        <v>4</v>
      </c>
      <c r="C317" s="11">
        <v>1</v>
      </c>
      <c r="D317" s="11">
        <v>1</v>
      </c>
      <c r="E317" s="11">
        <v>3</v>
      </c>
      <c r="F317" s="11">
        <v>1</v>
      </c>
      <c r="G317" s="11">
        <v>4</v>
      </c>
      <c r="H317" s="11">
        <v>3</v>
      </c>
      <c r="I317" s="11">
        <v>2</v>
      </c>
      <c r="J317" s="11">
        <v>3</v>
      </c>
      <c r="K317" s="11">
        <v>3</v>
      </c>
      <c r="L317" s="11">
        <v>2</v>
      </c>
      <c r="M317" s="11">
        <v>3</v>
      </c>
      <c r="N317" s="11">
        <v>3</v>
      </c>
      <c r="O317" s="11">
        <v>4</v>
      </c>
      <c r="P317" s="11">
        <v>5</v>
      </c>
      <c r="Q317" s="11">
        <v>1</v>
      </c>
      <c r="R317" s="11">
        <v>3</v>
      </c>
      <c r="S317" s="11">
        <v>2</v>
      </c>
      <c r="T317" s="11">
        <v>3</v>
      </c>
      <c r="U317" s="10">
        <v>2</v>
      </c>
      <c r="V317" s="6">
        <f t="shared" ca="1" si="21"/>
        <v>27.438508039158858</v>
      </c>
      <c r="W317" s="6">
        <f t="shared" ca="1" si="21"/>
        <v>26.863026798980375</v>
      </c>
      <c r="X317" s="6">
        <f t="shared" ca="1" si="21"/>
        <v>27.088534069501044</v>
      </c>
      <c r="Y317" s="6">
        <f t="shared" ca="1" si="20"/>
        <v>27.169771557877077</v>
      </c>
      <c r="Z317" s="6">
        <f t="shared" ca="1" si="20"/>
        <v>27.176778364447209</v>
      </c>
      <c r="AA317" s="6">
        <f t="shared" ca="1" si="20"/>
        <v>27.065139098947785</v>
      </c>
      <c r="AB317" s="6">
        <f t="shared" ca="1" si="18"/>
        <v>26.863026798980375</v>
      </c>
      <c r="AC317" s="6">
        <f t="shared" ca="1" si="19"/>
        <v>2</v>
      </c>
    </row>
    <row r="318" spans="1:29">
      <c r="A318" s="11">
        <v>317</v>
      </c>
      <c r="B318" s="12">
        <v>5</v>
      </c>
      <c r="C318" s="11">
        <v>1</v>
      </c>
      <c r="D318" s="11">
        <v>1</v>
      </c>
      <c r="E318" s="11">
        <v>5</v>
      </c>
      <c r="F318" s="11">
        <v>5</v>
      </c>
      <c r="G318" s="11">
        <v>5</v>
      </c>
      <c r="H318" s="11">
        <v>3</v>
      </c>
      <c r="I318" s="11">
        <v>1</v>
      </c>
      <c r="J318" s="11">
        <v>1</v>
      </c>
      <c r="K318" s="11">
        <v>5</v>
      </c>
      <c r="L318" s="11">
        <v>1</v>
      </c>
      <c r="M318" s="11">
        <v>1</v>
      </c>
      <c r="N318" s="11">
        <v>1</v>
      </c>
      <c r="O318" s="11">
        <v>5</v>
      </c>
      <c r="P318" s="11">
        <v>3</v>
      </c>
      <c r="Q318" s="11">
        <v>1</v>
      </c>
      <c r="R318" s="11">
        <v>1</v>
      </c>
      <c r="S318" s="11">
        <v>5</v>
      </c>
      <c r="T318" s="11">
        <v>2</v>
      </c>
      <c r="U318" s="10">
        <v>1</v>
      </c>
      <c r="V318" s="6">
        <f t="shared" ca="1" si="21"/>
        <v>69.618124990367448</v>
      </c>
      <c r="W318" s="6">
        <f t="shared" ca="1" si="21"/>
        <v>68.587529253359648</v>
      </c>
      <c r="X318" s="6">
        <f t="shared" ca="1" si="21"/>
        <v>68.917829087448027</v>
      </c>
      <c r="Y318" s="6">
        <f t="shared" ca="1" si="20"/>
        <v>69.001427890400677</v>
      </c>
      <c r="Z318" s="6">
        <f t="shared" ca="1" si="20"/>
        <v>69.064057241120182</v>
      </c>
      <c r="AA318" s="6">
        <f t="shared" ca="1" si="20"/>
        <v>69.615788257945169</v>
      </c>
      <c r="AB318" s="6">
        <f t="shared" ca="1" si="18"/>
        <v>68.587529253359648</v>
      </c>
      <c r="AC318" s="6">
        <f t="shared" ca="1" si="19"/>
        <v>2</v>
      </c>
    </row>
    <row r="319" spans="1:29">
      <c r="A319" s="11">
        <v>318</v>
      </c>
      <c r="B319" s="12">
        <v>5</v>
      </c>
      <c r="C319" s="11">
        <v>3</v>
      </c>
      <c r="D319" s="11">
        <v>2</v>
      </c>
      <c r="E319" s="11">
        <v>2</v>
      </c>
      <c r="F319" s="11">
        <v>2</v>
      </c>
      <c r="G319" s="11">
        <v>5</v>
      </c>
      <c r="H319" s="11">
        <v>1</v>
      </c>
      <c r="I319" s="11">
        <v>1</v>
      </c>
      <c r="J319" s="11">
        <v>3</v>
      </c>
      <c r="K319" s="11">
        <v>3</v>
      </c>
      <c r="L319" s="11">
        <v>2</v>
      </c>
      <c r="M319" s="11">
        <v>3</v>
      </c>
      <c r="N319" s="11">
        <v>3</v>
      </c>
      <c r="O319" s="11">
        <v>4</v>
      </c>
      <c r="P319" s="11">
        <v>4</v>
      </c>
      <c r="Q319" s="11">
        <v>4</v>
      </c>
      <c r="R319" s="11">
        <v>2</v>
      </c>
      <c r="S319" s="11">
        <v>2</v>
      </c>
      <c r="T319" s="11">
        <v>4</v>
      </c>
      <c r="U319" s="10">
        <v>2</v>
      </c>
      <c r="V319" s="6">
        <f t="shared" ca="1" si="21"/>
        <v>26.760914019537822</v>
      </c>
      <c r="W319" s="6">
        <f t="shared" ca="1" si="21"/>
        <v>27.573265838191499</v>
      </c>
      <c r="X319" s="6">
        <f t="shared" ca="1" si="21"/>
        <v>26.805163526810407</v>
      </c>
      <c r="Y319" s="6">
        <f t="shared" ca="1" si="20"/>
        <v>26.968437142852331</v>
      </c>
      <c r="Z319" s="6">
        <f t="shared" ca="1" si="20"/>
        <v>27.513642322785515</v>
      </c>
      <c r="AA319" s="6">
        <f t="shared" ca="1" si="20"/>
        <v>27.421107574569149</v>
      </c>
      <c r="AB319" s="6">
        <f t="shared" ca="1" si="18"/>
        <v>26.760914019537822</v>
      </c>
      <c r="AC319" s="6">
        <f t="shared" ca="1" si="19"/>
        <v>1</v>
      </c>
    </row>
    <row r="320" spans="1:29">
      <c r="A320" s="11">
        <v>319</v>
      </c>
      <c r="B320" s="12">
        <v>4</v>
      </c>
      <c r="C320" s="11">
        <v>3</v>
      </c>
      <c r="D320" s="11">
        <v>2</v>
      </c>
      <c r="E320" s="11">
        <v>4</v>
      </c>
      <c r="F320" s="11">
        <v>3</v>
      </c>
      <c r="G320" s="11">
        <v>2</v>
      </c>
      <c r="H320" s="11">
        <v>3</v>
      </c>
      <c r="I320" s="11">
        <v>4</v>
      </c>
      <c r="J320" s="11">
        <v>2</v>
      </c>
      <c r="K320" s="11">
        <v>3</v>
      </c>
      <c r="L320" s="11">
        <v>3</v>
      </c>
      <c r="M320" s="11">
        <v>3</v>
      </c>
      <c r="N320" s="11">
        <v>4</v>
      </c>
      <c r="O320" s="11">
        <v>4</v>
      </c>
      <c r="P320" s="11">
        <v>4</v>
      </c>
      <c r="Q320" s="11">
        <v>2</v>
      </c>
      <c r="R320" s="11">
        <v>2</v>
      </c>
      <c r="S320" s="11">
        <v>2</v>
      </c>
      <c r="T320" s="11">
        <v>3</v>
      </c>
      <c r="U320" s="10">
        <v>2</v>
      </c>
      <c r="V320" s="6">
        <f t="shared" ca="1" si="21"/>
        <v>13.247719969765711</v>
      </c>
      <c r="W320" s="6">
        <f t="shared" ca="1" si="21"/>
        <v>13.180331738543464</v>
      </c>
      <c r="X320" s="6">
        <f t="shared" ca="1" si="21"/>
        <v>13.171170531897475</v>
      </c>
      <c r="Y320" s="6">
        <f t="shared" ca="1" si="20"/>
        <v>13.043316671593878</v>
      </c>
      <c r="Z320" s="6">
        <f t="shared" ca="1" si="20"/>
        <v>12.925600369048979</v>
      </c>
      <c r="AA320" s="6">
        <f t="shared" ca="1" si="20"/>
        <v>13.010562140797635</v>
      </c>
      <c r="AB320" s="6">
        <f t="shared" ca="1" si="18"/>
        <v>12.925600369048979</v>
      </c>
      <c r="AC320" s="6">
        <f t="shared" ca="1" si="19"/>
        <v>5</v>
      </c>
    </row>
    <row r="321" spans="1:29">
      <c r="A321" s="11">
        <v>320</v>
      </c>
      <c r="B321" s="12">
        <v>2</v>
      </c>
      <c r="C321" s="11">
        <v>2</v>
      </c>
      <c r="D321" s="11">
        <v>1</v>
      </c>
      <c r="E321" s="11">
        <v>1</v>
      </c>
      <c r="F321" s="11">
        <v>2</v>
      </c>
      <c r="G321" s="11">
        <v>3</v>
      </c>
      <c r="H321" s="11">
        <v>3</v>
      </c>
      <c r="I321" s="11">
        <v>3</v>
      </c>
      <c r="J321" s="11">
        <v>4</v>
      </c>
      <c r="K321" s="11">
        <v>3</v>
      </c>
      <c r="L321" s="11">
        <v>3</v>
      </c>
      <c r="M321" s="11">
        <v>4</v>
      </c>
      <c r="N321" s="11">
        <v>3</v>
      </c>
      <c r="O321" s="11">
        <v>5</v>
      </c>
      <c r="P321" s="11">
        <v>5</v>
      </c>
      <c r="Q321" s="11">
        <v>2</v>
      </c>
      <c r="R321" s="11">
        <v>3</v>
      </c>
      <c r="S321" s="11">
        <v>4</v>
      </c>
      <c r="T321" s="11">
        <v>3</v>
      </c>
      <c r="U321" s="10">
        <v>2</v>
      </c>
      <c r="V321" s="6">
        <f t="shared" ca="1" si="21"/>
        <v>24.447180783177316</v>
      </c>
      <c r="W321" s="6">
        <f t="shared" ca="1" si="21"/>
        <v>23.933422314319152</v>
      </c>
      <c r="X321" s="6">
        <f t="shared" ca="1" si="21"/>
        <v>24.478254961073315</v>
      </c>
      <c r="Y321" s="6">
        <f t="shared" ca="1" si="20"/>
        <v>23.989091394884824</v>
      </c>
      <c r="Z321" s="6">
        <f t="shared" ca="1" si="20"/>
        <v>23.92517764802929</v>
      </c>
      <c r="AA321" s="6">
        <f t="shared" ca="1" si="20"/>
        <v>23.767434950303375</v>
      </c>
      <c r="AB321" s="6">
        <f t="shared" ca="1" si="18"/>
        <v>23.767434950303375</v>
      </c>
      <c r="AC321" s="6">
        <f t="shared" ca="1" si="19"/>
        <v>6</v>
      </c>
    </row>
    <row r="322" spans="1:29">
      <c r="A322" s="11">
        <v>321</v>
      </c>
      <c r="B322" s="12">
        <v>3</v>
      </c>
      <c r="C322" s="11">
        <v>2</v>
      </c>
      <c r="D322" s="11">
        <v>4</v>
      </c>
      <c r="E322" s="11">
        <v>3</v>
      </c>
      <c r="F322" s="11">
        <v>1</v>
      </c>
      <c r="G322" s="11">
        <v>2</v>
      </c>
      <c r="H322" s="11">
        <v>3</v>
      </c>
      <c r="I322" s="11">
        <v>2</v>
      </c>
      <c r="J322" s="11">
        <v>1</v>
      </c>
      <c r="K322" s="11">
        <v>3</v>
      </c>
      <c r="L322" s="11">
        <v>2</v>
      </c>
      <c r="M322" s="11">
        <v>1</v>
      </c>
      <c r="N322" s="11">
        <v>2</v>
      </c>
      <c r="O322" s="11">
        <v>4</v>
      </c>
      <c r="P322" s="11">
        <v>5</v>
      </c>
      <c r="Q322" s="11">
        <v>1</v>
      </c>
      <c r="R322" s="11">
        <v>1</v>
      </c>
      <c r="S322" s="11">
        <v>5</v>
      </c>
      <c r="T322" s="11">
        <v>2</v>
      </c>
      <c r="U322" s="10">
        <v>5</v>
      </c>
      <c r="V322" s="6">
        <f t="shared" ca="1" si="21"/>
        <v>40.373556534237046</v>
      </c>
      <c r="W322" s="6">
        <f t="shared" ca="1" si="21"/>
        <v>39.229789438807117</v>
      </c>
      <c r="X322" s="6">
        <f t="shared" ca="1" si="21"/>
        <v>39.489896344357184</v>
      </c>
      <c r="Y322" s="6">
        <f t="shared" ca="1" si="20"/>
        <v>39.978071904574207</v>
      </c>
      <c r="Z322" s="6">
        <f t="shared" ca="1" si="20"/>
        <v>39.997796812827126</v>
      </c>
      <c r="AA322" s="6">
        <f t="shared" ca="1" si="20"/>
        <v>40.122725910180016</v>
      </c>
      <c r="AB322" s="6">
        <f t="shared" ca="1" si="18"/>
        <v>39.229789438807117</v>
      </c>
      <c r="AC322" s="6">
        <f t="shared" ca="1" si="19"/>
        <v>2</v>
      </c>
    </row>
    <row r="323" spans="1:29">
      <c r="A323" s="11">
        <v>322</v>
      </c>
      <c r="B323" s="12">
        <v>4</v>
      </c>
      <c r="C323" s="11">
        <v>2</v>
      </c>
      <c r="D323" s="11">
        <v>3</v>
      </c>
      <c r="E323" s="11">
        <v>2</v>
      </c>
      <c r="F323" s="11">
        <v>2</v>
      </c>
      <c r="G323" s="11">
        <v>3</v>
      </c>
      <c r="H323" s="11">
        <v>2</v>
      </c>
      <c r="I323" s="11">
        <v>2</v>
      </c>
      <c r="J323" s="11">
        <v>2</v>
      </c>
      <c r="K323" s="11">
        <v>3</v>
      </c>
      <c r="L323" s="11">
        <v>3</v>
      </c>
      <c r="M323" s="11">
        <v>4</v>
      </c>
      <c r="N323" s="11">
        <v>3</v>
      </c>
      <c r="O323" s="11">
        <v>1</v>
      </c>
      <c r="P323" s="11">
        <v>5</v>
      </c>
      <c r="Q323" s="11">
        <v>1</v>
      </c>
      <c r="R323" s="11">
        <v>2</v>
      </c>
      <c r="S323" s="11">
        <v>2</v>
      </c>
      <c r="T323" s="11">
        <v>3</v>
      </c>
      <c r="U323" s="10">
        <v>5</v>
      </c>
      <c r="V323" s="6">
        <f t="shared" ca="1" si="21"/>
        <v>25.718404319662397</v>
      </c>
      <c r="W323" s="6">
        <f t="shared" ca="1" si="21"/>
        <v>25.784448934882022</v>
      </c>
      <c r="X323" s="6">
        <f t="shared" ca="1" si="21"/>
        <v>25.777161051035556</v>
      </c>
      <c r="Y323" s="6">
        <f t="shared" ca="1" si="20"/>
        <v>26.140794226293075</v>
      </c>
      <c r="Z323" s="6">
        <f t="shared" ca="1" si="20"/>
        <v>26.152810335834726</v>
      </c>
      <c r="AA323" s="6">
        <f t="shared" ca="1" si="20"/>
        <v>25.94402707888705</v>
      </c>
      <c r="AB323" s="6">
        <f t="shared" ref="AB323:AB341" ca="1" si="22">MIN(V323:AA323)</f>
        <v>25.718404319662397</v>
      </c>
      <c r="AC323" s="6">
        <f t="shared" ref="AC323:AC341" ca="1" si="23">IF(AB323=V323,1,IF(AB323=W323,2,IF(AB323=X323,3,IF(AB323=Y323,4,IF(AB323=Z323,5,6)))))</f>
        <v>1</v>
      </c>
    </row>
    <row r="324" spans="1:29">
      <c r="A324" s="11">
        <v>323</v>
      </c>
      <c r="B324" s="12">
        <v>1</v>
      </c>
      <c r="C324" s="11">
        <v>1</v>
      </c>
      <c r="D324" s="11">
        <v>3</v>
      </c>
      <c r="E324" s="11">
        <v>2</v>
      </c>
      <c r="F324" s="11">
        <v>2</v>
      </c>
      <c r="G324" s="11">
        <v>2</v>
      </c>
      <c r="H324" s="11">
        <v>2</v>
      </c>
      <c r="I324" s="11">
        <v>2</v>
      </c>
      <c r="J324" s="11">
        <v>2</v>
      </c>
      <c r="K324" s="11">
        <v>2</v>
      </c>
      <c r="L324" s="11">
        <v>2</v>
      </c>
      <c r="M324" s="11">
        <v>4</v>
      </c>
      <c r="N324" s="11">
        <v>2</v>
      </c>
      <c r="O324" s="11">
        <v>4</v>
      </c>
      <c r="P324" s="11">
        <v>3</v>
      </c>
      <c r="Q324" s="11">
        <v>2</v>
      </c>
      <c r="R324" s="11">
        <v>2</v>
      </c>
      <c r="S324" s="11">
        <v>4</v>
      </c>
      <c r="T324" s="11">
        <v>2</v>
      </c>
      <c r="U324" s="10">
        <v>5</v>
      </c>
      <c r="V324" s="6">
        <f t="shared" ca="1" si="21"/>
        <v>26.954604588282255</v>
      </c>
      <c r="W324" s="6">
        <f t="shared" ca="1" si="21"/>
        <v>26.527003985651767</v>
      </c>
      <c r="X324" s="6">
        <f t="shared" ca="1" si="21"/>
        <v>26.943849803831313</v>
      </c>
      <c r="Y324" s="6">
        <f t="shared" ca="1" si="20"/>
        <v>26.819629349557971</v>
      </c>
      <c r="Z324" s="6">
        <f t="shared" ca="1" si="20"/>
        <v>27.387297896747391</v>
      </c>
      <c r="AA324" s="6">
        <f t="shared" ca="1" si="20"/>
        <v>26.974956655029924</v>
      </c>
      <c r="AB324" s="6">
        <f t="shared" ca="1" si="22"/>
        <v>26.527003985651767</v>
      </c>
      <c r="AC324" s="6">
        <f t="shared" ca="1" si="23"/>
        <v>2</v>
      </c>
    </row>
    <row r="325" spans="1:29">
      <c r="A325" s="11">
        <v>324</v>
      </c>
      <c r="B325" s="12">
        <v>5</v>
      </c>
      <c r="C325" s="11">
        <v>2</v>
      </c>
      <c r="D325" s="11">
        <v>2</v>
      </c>
      <c r="E325" s="11">
        <v>4</v>
      </c>
      <c r="F325" s="11">
        <v>4</v>
      </c>
      <c r="G325" s="11">
        <v>5</v>
      </c>
      <c r="H325" s="11">
        <v>3</v>
      </c>
      <c r="I325" s="11">
        <v>3</v>
      </c>
      <c r="J325" s="11">
        <v>2</v>
      </c>
      <c r="K325" s="11">
        <v>2</v>
      </c>
      <c r="L325" s="11">
        <v>1</v>
      </c>
      <c r="M325" s="11">
        <v>1</v>
      </c>
      <c r="N325" s="11">
        <v>2</v>
      </c>
      <c r="O325" s="11">
        <v>2</v>
      </c>
      <c r="P325" s="11">
        <v>4</v>
      </c>
      <c r="Q325" s="11">
        <v>3</v>
      </c>
      <c r="R325" s="11">
        <v>3</v>
      </c>
      <c r="S325" s="11">
        <v>1</v>
      </c>
      <c r="T325" s="11">
        <v>2</v>
      </c>
      <c r="U325" s="10">
        <v>3</v>
      </c>
      <c r="V325" s="6">
        <f t="shared" ca="1" si="21"/>
        <v>29.718412576035806</v>
      </c>
      <c r="W325" s="6">
        <f t="shared" ca="1" si="21"/>
        <v>29.689107404214255</v>
      </c>
      <c r="X325" s="6">
        <f t="shared" ca="1" si="21"/>
        <v>29.794331342924188</v>
      </c>
      <c r="Y325" s="6">
        <f t="shared" ca="1" si="20"/>
        <v>29.861519360716041</v>
      </c>
      <c r="Z325" s="6">
        <f t="shared" ca="1" si="20"/>
        <v>30.270183370790651</v>
      </c>
      <c r="AA325" s="6">
        <f t="shared" ca="1" si="20"/>
        <v>30.498195029119763</v>
      </c>
      <c r="AB325" s="6">
        <f t="shared" ca="1" si="22"/>
        <v>29.689107404214255</v>
      </c>
      <c r="AC325" s="6">
        <f t="shared" ca="1" si="23"/>
        <v>2</v>
      </c>
    </row>
    <row r="326" spans="1:29">
      <c r="A326" s="11">
        <v>325</v>
      </c>
      <c r="B326" s="12">
        <v>1</v>
      </c>
      <c r="C326" s="11">
        <v>1</v>
      </c>
      <c r="D326" s="11">
        <v>1</v>
      </c>
      <c r="E326" s="11">
        <v>4</v>
      </c>
      <c r="F326" s="11">
        <v>1</v>
      </c>
      <c r="G326" s="11">
        <v>5</v>
      </c>
      <c r="H326" s="11">
        <v>5</v>
      </c>
      <c r="I326" s="11">
        <v>5</v>
      </c>
      <c r="J326" s="11">
        <v>1</v>
      </c>
      <c r="K326" s="11">
        <v>1</v>
      </c>
      <c r="L326" s="11">
        <v>1</v>
      </c>
      <c r="M326" s="11">
        <v>1</v>
      </c>
      <c r="N326" s="11">
        <v>4</v>
      </c>
      <c r="O326" s="11">
        <v>3</v>
      </c>
      <c r="P326" s="11">
        <v>2</v>
      </c>
      <c r="Q326" s="11">
        <v>1</v>
      </c>
      <c r="R326" s="11">
        <v>3</v>
      </c>
      <c r="S326" s="11">
        <v>1</v>
      </c>
      <c r="T326" s="11">
        <v>2</v>
      </c>
      <c r="U326" s="10">
        <v>5</v>
      </c>
      <c r="V326" s="6">
        <f t="shared" ca="1" si="21"/>
        <v>59.792265720402334</v>
      </c>
      <c r="W326" s="6">
        <f t="shared" ca="1" si="21"/>
        <v>59.111283862558984</v>
      </c>
      <c r="X326" s="6">
        <f t="shared" ca="1" si="21"/>
        <v>59.606684302437706</v>
      </c>
      <c r="Y326" s="6">
        <f t="shared" ca="1" si="20"/>
        <v>59.647170124401555</v>
      </c>
      <c r="Z326" s="6">
        <f t="shared" ca="1" si="20"/>
        <v>60.437612430706523</v>
      </c>
      <c r="AA326" s="6">
        <f t="shared" ca="1" si="20"/>
        <v>60.372253535657357</v>
      </c>
      <c r="AB326" s="6">
        <f t="shared" ca="1" si="22"/>
        <v>59.111283862558984</v>
      </c>
      <c r="AC326" s="6">
        <f t="shared" ca="1" si="23"/>
        <v>2</v>
      </c>
    </row>
    <row r="327" spans="1:29">
      <c r="A327" s="11">
        <v>326</v>
      </c>
      <c r="B327" s="12">
        <v>3</v>
      </c>
      <c r="C327" s="11">
        <v>4</v>
      </c>
      <c r="D327" s="11">
        <v>1</v>
      </c>
      <c r="E327" s="11">
        <v>2</v>
      </c>
      <c r="F327" s="11">
        <v>2</v>
      </c>
      <c r="G327" s="11">
        <v>4</v>
      </c>
      <c r="H327" s="11">
        <v>4</v>
      </c>
      <c r="I327" s="11">
        <v>2</v>
      </c>
      <c r="J327" s="11">
        <v>2</v>
      </c>
      <c r="K327" s="11">
        <v>2</v>
      </c>
      <c r="L327" s="11">
        <v>3</v>
      </c>
      <c r="M327" s="11">
        <v>2</v>
      </c>
      <c r="N327" s="11">
        <v>2</v>
      </c>
      <c r="O327" s="11">
        <v>4</v>
      </c>
      <c r="P327" s="11">
        <v>4</v>
      </c>
      <c r="Q327" s="11">
        <v>1</v>
      </c>
      <c r="R327" s="11">
        <v>2</v>
      </c>
      <c r="S327" s="11">
        <v>3</v>
      </c>
      <c r="T327" s="11">
        <v>2</v>
      </c>
      <c r="U327" s="10">
        <v>5</v>
      </c>
      <c r="V327" s="6">
        <f t="shared" ca="1" si="21"/>
        <v>25.951034595338019</v>
      </c>
      <c r="W327" s="6">
        <f t="shared" ca="1" si="21"/>
        <v>25.668598189655857</v>
      </c>
      <c r="X327" s="6">
        <f t="shared" ca="1" si="21"/>
        <v>25.719342327029544</v>
      </c>
      <c r="Y327" s="6">
        <f t="shared" ca="1" si="20"/>
        <v>25.90536570586832</v>
      </c>
      <c r="Z327" s="6">
        <f t="shared" ca="1" si="20"/>
        <v>25.950974043949596</v>
      </c>
      <c r="AA327" s="6">
        <f t="shared" ca="1" si="20"/>
        <v>26.306771261701872</v>
      </c>
      <c r="AB327" s="6">
        <f t="shared" ca="1" si="22"/>
        <v>25.668598189655857</v>
      </c>
      <c r="AC327" s="6">
        <f t="shared" ca="1" si="23"/>
        <v>2</v>
      </c>
    </row>
    <row r="328" spans="1:29">
      <c r="A328" s="11">
        <v>327</v>
      </c>
      <c r="B328" s="12">
        <v>2</v>
      </c>
      <c r="C328" s="11">
        <v>1</v>
      </c>
      <c r="D328" s="11">
        <v>2</v>
      </c>
      <c r="E328" s="11">
        <v>4</v>
      </c>
      <c r="F328" s="11">
        <v>2</v>
      </c>
      <c r="G328" s="11">
        <v>4</v>
      </c>
      <c r="H328" s="11">
        <v>2</v>
      </c>
      <c r="I328" s="11">
        <v>1</v>
      </c>
      <c r="J328" s="11">
        <v>1</v>
      </c>
      <c r="K328" s="11">
        <v>4</v>
      </c>
      <c r="L328" s="11">
        <v>1</v>
      </c>
      <c r="M328" s="11">
        <v>2</v>
      </c>
      <c r="N328" s="11">
        <v>2</v>
      </c>
      <c r="O328" s="11">
        <v>5</v>
      </c>
      <c r="P328" s="11">
        <v>5</v>
      </c>
      <c r="Q328" s="11">
        <v>1</v>
      </c>
      <c r="R328" s="11">
        <v>1</v>
      </c>
      <c r="S328" s="11">
        <v>2</v>
      </c>
      <c r="T328" s="11">
        <v>4</v>
      </c>
      <c r="U328" s="10">
        <v>1</v>
      </c>
      <c r="V328" s="6">
        <f t="shared" ca="1" si="21"/>
        <v>47.353666022828953</v>
      </c>
      <c r="W328" s="6">
        <f t="shared" ca="1" si="21"/>
        <v>46.84781148345548</v>
      </c>
      <c r="X328" s="6">
        <f t="shared" ca="1" si="21"/>
        <v>46.994142843777709</v>
      </c>
      <c r="Y328" s="6">
        <f t="shared" ca="1" si="20"/>
        <v>47.0054551035226</v>
      </c>
      <c r="Z328" s="6">
        <f t="shared" ca="1" si="20"/>
        <v>47.718418568510977</v>
      </c>
      <c r="AA328" s="6">
        <f t="shared" ca="1" si="20"/>
        <v>47.051889140582738</v>
      </c>
      <c r="AB328" s="6">
        <f t="shared" ca="1" si="22"/>
        <v>46.84781148345548</v>
      </c>
      <c r="AC328" s="6">
        <f t="shared" ca="1" si="23"/>
        <v>2</v>
      </c>
    </row>
    <row r="329" spans="1:29">
      <c r="A329" s="11">
        <v>328</v>
      </c>
      <c r="B329" s="12">
        <v>3</v>
      </c>
      <c r="C329" s="11">
        <v>3</v>
      </c>
      <c r="D329" s="11">
        <v>3</v>
      </c>
      <c r="E329" s="11">
        <v>3</v>
      </c>
      <c r="F329" s="11">
        <v>3</v>
      </c>
      <c r="G329" s="11">
        <v>3</v>
      </c>
      <c r="H329" s="11">
        <v>3</v>
      </c>
      <c r="I329" s="11">
        <v>3</v>
      </c>
      <c r="J329" s="11">
        <v>3</v>
      </c>
      <c r="K329" s="11">
        <v>3</v>
      </c>
      <c r="L329" s="11">
        <v>3</v>
      </c>
      <c r="M329" s="11">
        <v>3</v>
      </c>
      <c r="N329" s="11">
        <v>3</v>
      </c>
      <c r="O329" s="11">
        <v>3</v>
      </c>
      <c r="P329" s="11">
        <v>3</v>
      </c>
      <c r="Q329" s="11">
        <v>3</v>
      </c>
      <c r="R329" s="11">
        <v>3</v>
      </c>
      <c r="S329" s="11">
        <v>3</v>
      </c>
      <c r="T329" s="11">
        <v>3</v>
      </c>
      <c r="U329" s="10">
        <v>3</v>
      </c>
      <c r="V329" s="6">
        <f t="shared" ca="1" si="21"/>
        <v>1.6367439110968204E-2</v>
      </c>
      <c r="W329" s="6">
        <f t="shared" ca="1" si="21"/>
        <v>1.8598694926248233E-2</v>
      </c>
      <c r="X329" s="6">
        <f t="shared" ca="1" si="21"/>
        <v>1.1968072512637214E-2</v>
      </c>
      <c r="Y329" s="6">
        <f t="shared" ca="1" si="20"/>
        <v>8.4249631265164507E-3</v>
      </c>
      <c r="Z329" s="6">
        <f t="shared" ca="1" si="20"/>
        <v>1.5200919047612504E-2</v>
      </c>
      <c r="AA329" s="6">
        <f t="shared" ca="1" si="20"/>
        <v>1.8623472507931987E-2</v>
      </c>
      <c r="AB329" s="6">
        <f t="shared" ca="1" si="22"/>
        <v>8.4249631265164507E-3</v>
      </c>
      <c r="AC329" s="6">
        <f t="shared" ca="1" si="23"/>
        <v>4</v>
      </c>
    </row>
    <row r="330" spans="1:29">
      <c r="A330" s="11">
        <v>329</v>
      </c>
      <c r="B330" s="12">
        <v>3</v>
      </c>
      <c r="C330" s="11">
        <v>1</v>
      </c>
      <c r="D330" s="11">
        <v>1</v>
      </c>
      <c r="E330" s="11">
        <v>4</v>
      </c>
      <c r="F330" s="11">
        <v>3</v>
      </c>
      <c r="G330" s="11">
        <v>4</v>
      </c>
      <c r="H330" s="11">
        <v>4</v>
      </c>
      <c r="I330" s="11">
        <v>2</v>
      </c>
      <c r="J330" s="11">
        <v>1</v>
      </c>
      <c r="K330" s="11">
        <v>2</v>
      </c>
      <c r="L330" s="11">
        <v>2</v>
      </c>
      <c r="M330" s="11">
        <v>2</v>
      </c>
      <c r="N330" s="11">
        <v>2</v>
      </c>
      <c r="O330" s="11">
        <v>4</v>
      </c>
      <c r="P330" s="11">
        <v>3</v>
      </c>
      <c r="Q330" s="11">
        <v>2</v>
      </c>
      <c r="R330" s="11">
        <v>2</v>
      </c>
      <c r="S330" s="11">
        <v>2</v>
      </c>
      <c r="T330" s="11">
        <v>1</v>
      </c>
      <c r="U330" s="10">
        <v>4</v>
      </c>
      <c r="V330" s="6">
        <f t="shared" ca="1" si="21"/>
        <v>29.026929964549371</v>
      </c>
      <c r="W330" s="6">
        <f t="shared" ca="1" si="21"/>
        <v>28.549521416404982</v>
      </c>
      <c r="X330" s="6">
        <f t="shared" ca="1" si="21"/>
        <v>28.94858207357364</v>
      </c>
      <c r="Y330" s="6">
        <f t="shared" ca="1" si="20"/>
        <v>28.837357052234623</v>
      </c>
      <c r="Z330" s="6">
        <f t="shared" ca="1" si="20"/>
        <v>29.222163805140358</v>
      </c>
      <c r="AA330" s="6">
        <f t="shared" ca="1" si="20"/>
        <v>29.371951074253584</v>
      </c>
      <c r="AB330" s="6">
        <f t="shared" ca="1" si="22"/>
        <v>28.549521416404982</v>
      </c>
      <c r="AC330" s="6">
        <f t="shared" ca="1" si="23"/>
        <v>2</v>
      </c>
    </row>
    <row r="331" spans="1:29">
      <c r="A331" s="11">
        <v>330</v>
      </c>
      <c r="B331" s="12">
        <v>2</v>
      </c>
      <c r="C331" s="11">
        <v>2</v>
      </c>
      <c r="D331" s="11">
        <v>2</v>
      </c>
      <c r="E331" s="11">
        <v>4</v>
      </c>
      <c r="F331" s="11">
        <v>2</v>
      </c>
      <c r="G331" s="11">
        <v>4</v>
      </c>
      <c r="H331" s="11">
        <v>2</v>
      </c>
      <c r="I331" s="11">
        <v>1</v>
      </c>
      <c r="J331" s="11">
        <v>1</v>
      </c>
      <c r="K331" s="11">
        <v>4</v>
      </c>
      <c r="L331" s="11">
        <v>1</v>
      </c>
      <c r="M331" s="11">
        <v>1</v>
      </c>
      <c r="N331" s="11">
        <v>1</v>
      </c>
      <c r="O331" s="11">
        <v>1</v>
      </c>
      <c r="P331" s="11">
        <v>4</v>
      </c>
      <c r="Q331" s="11">
        <v>1</v>
      </c>
      <c r="R331" s="11">
        <v>1</v>
      </c>
      <c r="S331" s="11">
        <v>4</v>
      </c>
      <c r="T331" s="11">
        <v>2</v>
      </c>
      <c r="U331" s="10">
        <v>2</v>
      </c>
      <c r="V331" s="6">
        <f t="shared" ca="1" si="21"/>
        <v>44.040153890254622</v>
      </c>
      <c r="W331" s="6">
        <f t="shared" ca="1" si="21"/>
        <v>43.534424769381957</v>
      </c>
      <c r="X331" s="6">
        <f t="shared" ca="1" si="21"/>
        <v>43.679167354957471</v>
      </c>
      <c r="Y331" s="6">
        <f t="shared" ca="1" si="20"/>
        <v>43.99465284163719</v>
      </c>
      <c r="Z331" s="6">
        <f t="shared" ca="1" si="20"/>
        <v>44.661468048132306</v>
      </c>
      <c r="AA331" s="6">
        <f t="shared" ca="1" si="20"/>
        <v>43.864448290376714</v>
      </c>
      <c r="AB331" s="6">
        <f t="shared" ca="1" si="22"/>
        <v>43.534424769381957</v>
      </c>
      <c r="AC331" s="6">
        <f t="shared" ca="1" si="23"/>
        <v>2</v>
      </c>
    </row>
    <row r="332" spans="1:29">
      <c r="A332" s="11">
        <v>331</v>
      </c>
      <c r="B332" s="12">
        <v>2</v>
      </c>
      <c r="C332" s="11">
        <v>2</v>
      </c>
      <c r="D332" s="11">
        <v>2</v>
      </c>
      <c r="E332" s="11">
        <v>4</v>
      </c>
      <c r="F332" s="11">
        <v>2</v>
      </c>
      <c r="G332" s="11">
        <v>2</v>
      </c>
      <c r="H332" s="11">
        <v>2</v>
      </c>
      <c r="I332" s="11">
        <v>2</v>
      </c>
      <c r="J332" s="11">
        <v>2</v>
      </c>
      <c r="K332" s="11">
        <v>3</v>
      </c>
      <c r="L332" s="11">
        <v>1</v>
      </c>
      <c r="M332" s="11">
        <v>1</v>
      </c>
      <c r="N332" s="11">
        <v>1</v>
      </c>
      <c r="O332" s="11">
        <v>4</v>
      </c>
      <c r="P332" s="11">
        <v>4</v>
      </c>
      <c r="Q332" s="11">
        <v>2</v>
      </c>
      <c r="R332" s="11">
        <v>2</v>
      </c>
      <c r="S332" s="11">
        <v>2</v>
      </c>
      <c r="T332" s="11">
        <v>2</v>
      </c>
      <c r="U332" s="10">
        <v>2</v>
      </c>
      <c r="V332" s="6">
        <f t="shared" ca="1" si="21"/>
        <v>28.235727921287783</v>
      </c>
      <c r="W332" s="6">
        <f t="shared" ca="1" si="21"/>
        <v>27.853178329781187</v>
      </c>
      <c r="X332" s="6">
        <f t="shared" ca="1" si="21"/>
        <v>28.051743506611341</v>
      </c>
      <c r="Y332" s="6">
        <f t="shared" ca="1" si="20"/>
        <v>27.930658751199015</v>
      </c>
      <c r="Z332" s="6">
        <f t="shared" ca="1" si="20"/>
        <v>28.51660336193914</v>
      </c>
      <c r="AA332" s="6">
        <f t="shared" ca="1" si="20"/>
        <v>27.842336462493723</v>
      </c>
      <c r="AB332" s="6">
        <f t="shared" ca="1" si="22"/>
        <v>27.842336462493723</v>
      </c>
      <c r="AC332" s="6">
        <f t="shared" ca="1" si="23"/>
        <v>6</v>
      </c>
    </row>
    <row r="333" spans="1:29">
      <c r="A333" s="11">
        <v>332</v>
      </c>
      <c r="B333" s="12">
        <v>2</v>
      </c>
      <c r="C333" s="11">
        <v>2</v>
      </c>
      <c r="D333" s="11">
        <v>1</v>
      </c>
      <c r="E333" s="11">
        <v>2</v>
      </c>
      <c r="F333" s="11">
        <v>3</v>
      </c>
      <c r="G333" s="11">
        <v>2</v>
      </c>
      <c r="H333" s="11">
        <v>2</v>
      </c>
      <c r="I333" s="11">
        <v>2</v>
      </c>
      <c r="J333" s="11">
        <v>5</v>
      </c>
      <c r="K333" s="11">
        <v>5</v>
      </c>
      <c r="L333" s="11">
        <v>1</v>
      </c>
      <c r="M333" s="11">
        <v>1</v>
      </c>
      <c r="N333" s="11">
        <v>1</v>
      </c>
      <c r="O333" s="11">
        <v>1</v>
      </c>
      <c r="P333" s="11">
        <v>5</v>
      </c>
      <c r="Q333" s="11">
        <v>1</v>
      </c>
      <c r="R333" s="11">
        <v>5</v>
      </c>
      <c r="S333" s="11">
        <v>4</v>
      </c>
      <c r="T333" s="11">
        <v>5</v>
      </c>
      <c r="U333" s="10">
        <v>1</v>
      </c>
      <c r="V333" s="6">
        <f t="shared" ca="1" si="21"/>
        <v>55.504218982125224</v>
      </c>
      <c r="W333" s="6">
        <f t="shared" ca="1" si="21"/>
        <v>54.830953714293074</v>
      </c>
      <c r="X333" s="6">
        <f t="shared" ca="1" si="21"/>
        <v>55.266760779567612</v>
      </c>
      <c r="Y333" s="6">
        <f t="shared" ca="1" si="20"/>
        <v>55.183101715653308</v>
      </c>
      <c r="Z333" s="6">
        <f t="shared" ca="1" si="20"/>
        <v>55.183754068091496</v>
      </c>
      <c r="AA333" s="6">
        <f t="shared" ca="1" si="20"/>
        <v>54.724032746538761</v>
      </c>
      <c r="AB333" s="6">
        <f t="shared" ca="1" si="22"/>
        <v>54.724032746538761</v>
      </c>
      <c r="AC333" s="6">
        <f t="shared" ca="1" si="23"/>
        <v>6</v>
      </c>
    </row>
    <row r="334" spans="1:29">
      <c r="A334" s="11">
        <v>333</v>
      </c>
      <c r="B334" s="12">
        <v>5</v>
      </c>
      <c r="C334" s="11">
        <v>2</v>
      </c>
      <c r="D334" s="11">
        <v>2</v>
      </c>
      <c r="E334" s="11">
        <v>4</v>
      </c>
      <c r="F334" s="11">
        <v>2</v>
      </c>
      <c r="G334" s="11">
        <v>2</v>
      </c>
      <c r="H334" s="11">
        <v>3</v>
      </c>
      <c r="I334" s="11">
        <v>2</v>
      </c>
      <c r="J334" s="11">
        <v>2</v>
      </c>
      <c r="K334" s="11">
        <v>2</v>
      </c>
      <c r="L334" s="11">
        <v>1</v>
      </c>
      <c r="M334" s="11">
        <v>4</v>
      </c>
      <c r="N334" s="11">
        <v>2</v>
      </c>
      <c r="O334" s="11">
        <v>4</v>
      </c>
      <c r="P334" s="11">
        <v>5</v>
      </c>
      <c r="Q334" s="11">
        <v>2</v>
      </c>
      <c r="R334" s="11">
        <v>2</v>
      </c>
      <c r="S334" s="11">
        <v>3</v>
      </c>
      <c r="T334" s="11">
        <v>4</v>
      </c>
      <c r="U334" s="10">
        <v>2</v>
      </c>
      <c r="V334" s="6">
        <f t="shared" ca="1" si="21"/>
        <v>27.241412918254699</v>
      </c>
      <c r="W334" s="6">
        <f t="shared" ca="1" si="21"/>
        <v>26.921968083899447</v>
      </c>
      <c r="X334" s="6">
        <f t="shared" ca="1" si="21"/>
        <v>26.939665083028274</v>
      </c>
      <c r="Y334" s="6">
        <f t="shared" ca="1" si="20"/>
        <v>27.018823518296891</v>
      </c>
      <c r="Z334" s="6">
        <f t="shared" ca="1" si="20"/>
        <v>27.343178716216968</v>
      </c>
      <c r="AA334" s="6">
        <f t="shared" ca="1" si="20"/>
        <v>27.289235044046894</v>
      </c>
      <c r="AB334" s="6">
        <f t="shared" ca="1" si="22"/>
        <v>26.921968083899447</v>
      </c>
      <c r="AC334" s="6">
        <f t="shared" ca="1" si="23"/>
        <v>2</v>
      </c>
    </row>
    <row r="335" spans="1:29">
      <c r="A335" s="11">
        <v>334</v>
      </c>
      <c r="B335" s="12">
        <v>3</v>
      </c>
      <c r="C335" s="11">
        <v>2</v>
      </c>
      <c r="D335" s="11">
        <v>5</v>
      </c>
      <c r="E335" s="11">
        <v>3</v>
      </c>
      <c r="F335" s="11">
        <v>3</v>
      </c>
      <c r="G335" s="11">
        <v>4</v>
      </c>
      <c r="H335" s="11">
        <v>2</v>
      </c>
      <c r="I335" s="11">
        <v>2</v>
      </c>
      <c r="J335" s="11">
        <v>1</v>
      </c>
      <c r="K335" s="11">
        <v>1</v>
      </c>
      <c r="L335" s="11">
        <v>1</v>
      </c>
      <c r="M335" s="11">
        <v>2</v>
      </c>
      <c r="N335" s="11">
        <v>2</v>
      </c>
      <c r="O335" s="11">
        <v>4</v>
      </c>
      <c r="P335" s="11">
        <v>3</v>
      </c>
      <c r="Q335" s="11">
        <v>2</v>
      </c>
      <c r="R335" s="11">
        <v>3</v>
      </c>
      <c r="S335" s="11">
        <v>2</v>
      </c>
      <c r="T335" s="11">
        <v>2</v>
      </c>
      <c r="U335" s="10">
        <v>4</v>
      </c>
      <c r="V335" s="6">
        <f t="shared" ca="1" si="21"/>
        <v>26.855831928761091</v>
      </c>
      <c r="W335" s="6">
        <f t="shared" ca="1" si="21"/>
        <v>26.359717276244435</v>
      </c>
      <c r="X335" s="6">
        <f t="shared" ca="1" si="21"/>
        <v>26.48844881546076</v>
      </c>
      <c r="Y335" s="6">
        <f t="shared" ca="1" si="20"/>
        <v>26.792269004003579</v>
      </c>
      <c r="Z335" s="6">
        <f t="shared" ca="1" si="20"/>
        <v>27.44134933942701</v>
      </c>
      <c r="AA335" s="6">
        <f t="shared" ca="1" si="20"/>
        <v>27.498243075923806</v>
      </c>
      <c r="AB335" s="6">
        <f t="shared" ca="1" si="22"/>
        <v>26.359717276244435</v>
      </c>
      <c r="AC335" s="6">
        <f t="shared" ca="1" si="23"/>
        <v>2</v>
      </c>
    </row>
    <row r="336" spans="1:29">
      <c r="A336" s="11">
        <v>335</v>
      </c>
      <c r="B336" s="12">
        <v>3</v>
      </c>
      <c r="C336" s="11">
        <v>4</v>
      </c>
      <c r="D336" s="11">
        <v>2</v>
      </c>
      <c r="E336" s="11">
        <v>3</v>
      </c>
      <c r="F336" s="11">
        <v>5</v>
      </c>
      <c r="G336" s="11">
        <v>5</v>
      </c>
      <c r="H336" s="11">
        <v>3</v>
      </c>
      <c r="I336" s="11">
        <v>1</v>
      </c>
      <c r="J336" s="11">
        <v>1</v>
      </c>
      <c r="K336" s="11">
        <v>3</v>
      </c>
      <c r="L336" s="11">
        <v>3</v>
      </c>
      <c r="M336" s="11">
        <v>1</v>
      </c>
      <c r="N336" s="11">
        <v>2</v>
      </c>
      <c r="O336" s="11">
        <v>5</v>
      </c>
      <c r="P336" s="11">
        <v>5</v>
      </c>
      <c r="Q336" s="11">
        <v>3</v>
      </c>
      <c r="R336" s="11">
        <v>1</v>
      </c>
      <c r="S336" s="11">
        <v>5</v>
      </c>
      <c r="T336" s="11">
        <v>2</v>
      </c>
      <c r="U336" s="10">
        <v>5</v>
      </c>
      <c r="V336" s="6">
        <f t="shared" ca="1" si="21"/>
        <v>43.921066132789043</v>
      </c>
      <c r="W336" s="6">
        <f t="shared" ca="1" si="21"/>
        <v>43.664589546705386</v>
      </c>
      <c r="X336" s="6">
        <f t="shared" ca="1" si="21"/>
        <v>43.677065522990624</v>
      </c>
      <c r="Y336" s="6">
        <f t="shared" ca="1" si="20"/>
        <v>43.85923861896125</v>
      </c>
      <c r="Z336" s="6">
        <f t="shared" ca="1" si="20"/>
        <v>43.834981064487934</v>
      </c>
      <c r="AA336" s="6">
        <f t="shared" ca="1" si="20"/>
        <v>44.752215828471527</v>
      </c>
      <c r="AB336" s="6">
        <f t="shared" ca="1" si="22"/>
        <v>43.664589546705386</v>
      </c>
      <c r="AC336" s="6">
        <f t="shared" ca="1" si="23"/>
        <v>2</v>
      </c>
    </row>
    <row r="337" spans="1:29">
      <c r="A337" s="11">
        <v>336</v>
      </c>
      <c r="B337" s="12">
        <v>4</v>
      </c>
      <c r="C337" s="11">
        <v>4</v>
      </c>
      <c r="D337" s="11">
        <v>1</v>
      </c>
      <c r="E337" s="11">
        <v>1</v>
      </c>
      <c r="F337" s="11">
        <v>4</v>
      </c>
      <c r="G337" s="11">
        <v>2</v>
      </c>
      <c r="H337" s="11">
        <v>3</v>
      </c>
      <c r="I337" s="11">
        <v>3</v>
      </c>
      <c r="J337" s="11">
        <v>3</v>
      </c>
      <c r="K337" s="11">
        <v>3</v>
      </c>
      <c r="L337" s="11">
        <v>1</v>
      </c>
      <c r="M337" s="11">
        <v>4</v>
      </c>
      <c r="N337" s="11">
        <v>1</v>
      </c>
      <c r="O337" s="11">
        <v>1</v>
      </c>
      <c r="P337" s="11">
        <v>5</v>
      </c>
      <c r="Q337" s="11">
        <v>1</v>
      </c>
      <c r="R337" s="11">
        <v>3</v>
      </c>
      <c r="S337" s="11">
        <v>4</v>
      </c>
      <c r="T337" s="11">
        <v>3</v>
      </c>
      <c r="U337" s="10">
        <v>2</v>
      </c>
      <c r="V337" s="6">
        <f t="shared" ca="1" si="21"/>
        <v>34.856677633044072</v>
      </c>
      <c r="W337" s="6">
        <f t="shared" ca="1" si="21"/>
        <v>34.70094330332698</v>
      </c>
      <c r="X337" s="6">
        <f t="shared" ca="1" si="21"/>
        <v>35.195436218243437</v>
      </c>
      <c r="Y337" s="6">
        <f t="shared" ca="1" si="20"/>
        <v>34.920182459143852</v>
      </c>
      <c r="Z337" s="6">
        <f t="shared" ca="1" si="20"/>
        <v>35.002892496553692</v>
      </c>
      <c r="AA337" s="6">
        <f t="shared" ca="1" si="20"/>
        <v>34.839557662049558</v>
      </c>
      <c r="AB337" s="6">
        <f t="shared" ca="1" si="22"/>
        <v>34.70094330332698</v>
      </c>
      <c r="AC337" s="6">
        <f t="shared" ca="1" si="23"/>
        <v>2</v>
      </c>
    </row>
    <row r="338" spans="1:29">
      <c r="A338" s="11">
        <v>337</v>
      </c>
      <c r="B338" s="12">
        <v>3</v>
      </c>
      <c r="C338" s="11">
        <v>1</v>
      </c>
      <c r="D338" s="11">
        <v>2</v>
      </c>
      <c r="E338" s="11">
        <v>2</v>
      </c>
      <c r="F338" s="11">
        <v>2</v>
      </c>
      <c r="G338" s="11">
        <v>1</v>
      </c>
      <c r="H338" s="11">
        <v>2</v>
      </c>
      <c r="I338" s="11">
        <v>2</v>
      </c>
      <c r="J338" s="11">
        <v>3</v>
      </c>
      <c r="K338" s="11">
        <v>2</v>
      </c>
      <c r="L338" s="11">
        <v>3</v>
      </c>
      <c r="M338" s="11">
        <v>2</v>
      </c>
      <c r="N338" s="11">
        <v>3</v>
      </c>
      <c r="O338" s="11">
        <v>4</v>
      </c>
      <c r="P338" s="11">
        <v>3</v>
      </c>
      <c r="Q338" s="11">
        <v>2</v>
      </c>
      <c r="R338" s="11">
        <v>2</v>
      </c>
      <c r="S338" s="11">
        <v>2</v>
      </c>
      <c r="T338" s="11">
        <v>4</v>
      </c>
      <c r="U338" s="10">
        <v>3</v>
      </c>
      <c r="V338" s="6">
        <f t="shared" ca="1" si="21"/>
        <v>20.318876158810149</v>
      </c>
      <c r="W338" s="6">
        <f t="shared" ca="1" si="21"/>
        <v>20.305476938161831</v>
      </c>
      <c r="X338" s="6">
        <f t="shared" ca="1" si="21"/>
        <v>20.100051616869905</v>
      </c>
      <c r="Y338" s="6">
        <f t="shared" ca="1" si="21"/>
        <v>19.914223906775756</v>
      </c>
      <c r="Z338" s="6">
        <f t="shared" ca="1" si="21"/>
        <v>20.407208836590552</v>
      </c>
      <c r="AA338" s="6">
        <f t="shared" ca="1" si="21"/>
        <v>20.116970840856126</v>
      </c>
      <c r="AB338" s="6">
        <f t="shared" ca="1" si="22"/>
        <v>19.914223906775756</v>
      </c>
      <c r="AC338" s="6">
        <f t="shared" ca="1" si="23"/>
        <v>4</v>
      </c>
    </row>
    <row r="339" spans="1:29">
      <c r="A339" s="11">
        <v>338</v>
      </c>
      <c r="B339" s="12">
        <v>2</v>
      </c>
      <c r="C339" s="11">
        <v>3</v>
      </c>
      <c r="D339" s="11">
        <v>2</v>
      </c>
      <c r="E339" s="11">
        <v>3</v>
      </c>
      <c r="F339" s="11">
        <v>4</v>
      </c>
      <c r="G339" s="11">
        <v>4</v>
      </c>
      <c r="H339" s="11">
        <v>3</v>
      </c>
      <c r="I339" s="11">
        <v>3</v>
      </c>
      <c r="J339" s="11">
        <v>2</v>
      </c>
      <c r="K339" s="11">
        <v>4</v>
      </c>
      <c r="L339" s="11">
        <v>2</v>
      </c>
      <c r="M339" s="11">
        <v>2</v>
      </c>
      <c r="N339" s="11">
        <v>2</v>
      </c>
      <c r="O339" s="11">
        <v>4</v>
      </c>
      <c r="P339" s="11">
        <v>4</v>
      </c>
      <c r="Q339" s="11">
        <v>3</v>
      </c>
      <c r="R339" s="11">
        <v>3</v>
      </c>
      <c r="S339" s="11">
        <v>4</v>
      </c>
      <c r="T339" s="11">
        <v>4</v>
      </c>
      <c r="U339" s="10">
        <v>5</v>
      </c>
      <c r="V339" s="6">
        <f t="shared" ref="V339:AA341" ca="1" si="24">SUMXMY2($B339:$U339,AG$2:AG$21)</f>
        <v>16.822411162058131</v>
      </c>
      <c r="W339" s="6">
        <f t="shared" ca="1" si="24"/>
        <v>16.576789977372538</v>
      </c>
      <c r="X339" s="6">
        <f t="shared" ca="1" si="24"/>
        <v>16.803924014487134</v>
      </c>
      <c r="Y339" s="6">
        <f t="shared" ca="1" si="24"/>
        <v>16.795381724217862</v>
      </c>
      <c r="Z339" s="6">
        <f t="shared" ca="1" si="24"/>
        <v>16.984816964305303</v>
      </c>
      <c r="AA339" s="6">
        <f t="shared" ca="1" si="24"/>
        <v>17.435952806183778</v>
      </c>
      <c r="AB339" s="6">
        <f t="shared" ca="1" si="22"/>
        <v>16.576789977372538</v>
      </c>
      <c r="AC339" s="6">
        <f t="shared" ca="1" si="23"/>
        <v>2</v>
      </c>
    </row>
    <row r="340" spans="1:29">
      <c r="A340" s="11">
        <v>339</v>
      </c>
      <c r="B340" s="12">
        <v>4</v>
      </c>
      <c r="C340" s="11">
        <v>2</v>
      </c>
      <c r="D340" s="11">
        <v>1</v>
      </c>
      <c r="E340" s="11">
        <v>3</v>
      </c>
      <c r="F340" s="11">
        <v>4</v>
      </c>
      <c r="G340" s="11">
        <v>3</v>
      </c>
      <c r="H340" s="11">
        <v>3</v>
      </c>
      <c r="I340" s="11">
        <v>2</v>
      </c>
      <c r="J340" s="11">
        <v>2</v>
      </c>
      <c r="K340" s="11">
        <v>2</v>
      </c>
      <c r="L340" s="11">
        <v>1</v>
      </c>
      <c r="M340" s="11">
        <v>2</v>
      </c>
      <c r="N340" s="11">
        <v>2</v>
      </c>
      <c r="O340" s="11">
        <v>2</v>
      </c>
      <c r="P340" s="11">
        <v>4</v>
      </c>
      <c r="Q340" s="11">
        <v>1</v>
      </c>
      <c r="R340" s="11">
        <v>3</v>
      </c>
      <c r="S340" s="11">
        <v>2</v>
      </c>
      <c r="T340" s="11">
        <v>3</v>
      </c>
      <c r="U340" s="10">
        <v>2</v>
      </c>
      <c r="V340" s="6">
        <f t="shared" ca="1" si="24"/>
        <v>24.058322737027641</v>
      </c>
      <c r="W340" s="6">
        <f t="shared" ca="1" si="24"/>
        <v>23.764648340148526</v>
      </c>
      <c r="X340" s="6">
        <f t="shared" ca="1" si="24"/>
        <v>24.005126395865901</v>
      </c>
      <c r="Y340" s="6">
        <f t="shared" ca="1" si="24"/>
        <v>23.937252302578749</v>
      </c>
      <c r="Z340" s="6">
        <f t="shared" ca="1" si="24"/>
        <v>24.32372618620122</v>
      </c>
      <c r="AA340" s="6">
        <f t="shared" ca="1" si="24"/>
        <v>24.351351910207732</v>
      </c>
      <c r="AB340" s="6">
        <f t="shared" ca="1" si="22"/>
        <v>23.764648340148526</v>
      </c>
      <c r="AC340" s="6">
        <f t="shared" ca="1" si="23"/>
        <v>2</v>
      </c>
    </row>
    <row r="341" spans="1:29">
      <c r="A341" s="8">
        <v>340</v>
      </c>
      <c r="B341" s="9">
        <v>3</v>
      </c>
      <c r="C341" s="8">
        <v>2</v>
      </c>
      <c r="D341" s="8">
        <v>1</v>
      </c>
      <c r="E341" s="8">
        <v>2</v>
      </c>
      <c r="F341" s="8">
        <v>2</v>
      </c>
      <c r="G341" s="8">
        <v>1</v>
      </c>
      <c r="H341" s="8">
        <v>3</v>
      </c>
      <c r="I341" s="8">
        <v>2</v>
      </c>
      <c r="J341" s="8">
        <v>2</v>
      </c>
      <c r="K341" s="8">
        <v>2</v>
      </c>
      <c r="L341" s="8">
        <v>3</v>
      </c>
      <c r="M341" s="8">
        <v>3</v>
      </c>
      <c r="N341" s="8">
        <v>3</v>
      </c>
      <c r="O341" s="8">
        <v>4</v>
      </c>
      <c r="P341" s="8">
        <v>4</v>
      </c>
      <c r="Q341" s="8">
        <v>1</v>
      </c>
      <c r="R341" s="8">
        <v>2</v>
      </c>
      <c r="S341" s="8">
        <v>1</v>
      </c>
      <c r="T341" s="8">
        <v>3</v>
      </c>
      <c r="U341" s="7">
        <v>3</v>
      </c>
      <c r="V341" s="6">
        <f t="shared" ca="1" si="24"/>
        <v>25.213220879322787</v>
      </c>
      <c r="W341" s="6">
        <f t="shared" ca="1" si="24"/>
        <v>25.187316251987969</v>
      </c>
      <c r="X341" s="6">
        <f t="shared" ca="1" si="24"/>
        <v>25.232570102551314</v>
      </c>
      <c r="Y341" s="6">
        <f t="shared" ca="1" si="24"/>
        <v>24.971079928664054</v>
      </c>
      <c r="Z341" s="6">
        <f t="shared" ca="1" si="24"/>
        <v>25.220011412360652</v>
      </c>
      <c r="AA341" s="6">
        <f t="shared" ca="1" si="24"/>
        <v>24.96616868767207</v>
      </c>
      <c r="AB341" s="6">
        <f t="shared" ca="1" si="22"/>
        <v>24.96616868767207</v>
      </c>
      <c r="AC341" s="6">
        <f t="shared" ca="1" si="23"/>
        <v>6</v>
      </c>
    </row>
  </sheetData>
  <phoneticPr fontId="1" type="noConversion"/>
  <conditionalFormatting sqref="AG2:AL21">
    <cfRule type="cellIs" dxfId="5" priority="1" operator="between">
      <formula>2</formula>
      <formula>2.5</formula>
    </cfRule>
    <cfRule type="cellIs" dxfId="4" priority="2" operator="lessThan">
      <formula>2</formula>
    </cfRule>
    <cfRule type="cellIs" dxfId="3" priority="3" operator="greaterThan">
      <formula>3.5</formula>
    </cfRule>
  </conditionalFormatting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1"/>
  <sheetViews>
    <sheetView tabSelected="1" topLeftCell="Q1" zoomScaleNormal="100" workbookViewId="0">
      <selection activeCell="I6" sqref="I6"/>
    </sheetView>
  </sheetViews>
  <sheetFormatPr defaultRowHeight="16.2"/>
  <cols>
    <col min="1" max="21" width="3.77734375" style="6" customWidth="1"/>
    <col min="22" max="28" width="8.88671875" style="6"/>
    <col min="29" max="29" width="10.33203125" style="6" bestFit="1" customWidth="1"/>
    <col min="30" max="31" width="8.88671875" style="6"/>
    <col min="32" max="32" width="20.88671875" style="6" customWidth="1"/>
    <col min="33" max="38" width="8.77734375" style="6" customWidth="1"/>
    <col min="39" max="39" width="46.5546875" style="6" customWidth="1"/>
    <col min="40" max="16384" width="8.88671875" style="6"/>
  </cols>
  <sheetData>
    <row r="1" spans="1:39" ht="16.8" thickBot="1">
      <c r="A1" s="16" t="s">
        <v>72</v>
      </c>
      <c r="B1" s="16" t="s">
        <v>45</v>
      </c>
      <c r="C1" s="16" t="s">
        <v>44</v>
      </c>
      <c r="D1" s="16" t="s">
        <v>43</v>
      </c>
      <c r="E1" s="16" t="s">
        <v>42</v>
      </c>
      <c r="F1" s="16" t="s">
        <v>41</v>
      </c>
      <c r="G1" s="16" t="s">
        <v>40</v>
      </c>
      <c r="H1" s="16" t="s">
        <v>39</v>
      </c>
      <c r="I1" s="16" t="s">
        <v>38</v>
      </c>
      <c r="J1" s="16" t="s">
        <v>37</v>
      </c>
      <c r="K1" s="16" t="s">
        <v>36</v>
      </c>
      <c r="L1" s="16" t="s">
        <v>35</v>
      </c>
      <c r="M1" s="16" t="s">
        <v>34</v>
      </c>
      <c r="N1" s="16" t="s">
        <v>33</v>
      </c>
      <c r="O1" s="16" t="s">
        <v>32</v>
      </c>
      <c r="P1" s="16" t="s">
        <v>31</v>
      </c>
      <c r="Q1" s="16" t="s">
        <v>30</v>
      </c>
      <c r="R1" s="16" t="s">
        <v>29</v>
      </c>
      <c r="S1" s="16" t="s">
        <v>28</v>
      </c>
      <c r="T1" s="16" t="s">
        <v>27</v>
      </c>
      <c r="U1" s="16" t="s">
        <v>26</v>
      </c>
      <c r="V1" s="6" t="s">
        <v>0</v>
      </c>
      <c r="W1" s="6" t="s">
        <v>1</v>
      </c>
      <c r="X1" s="6" t="s">
        <v>2</v>
      </c>
      <c r="Y1" s="6" t="s">
        <v>46</v>
      </c>
      <c r="Z1" s="6" t="s">
        <v>47</v>
      </c>
      <c r="AA1" s="6" t="s">
        <v>48</v>
      </c>
      <c r="AB1" s="6" t="s">
        <v>3</v>
      </c>
      <c r="AC1" s="6" t="s">
        <v>70</v>
      </c>
      <c r="AD1" s="6" t="s">
        <v>69</v>
      </c>
      <c r="AF1" s="17"/>
      <c r="AG1" s="17" t="s">
        <v>0</v>
      </c>
      <c r="AH1" s="17" t="s">
        <v>1</v>
      </c>
      <c r="AI1" s="17" t="s">
        <v>2</v>
      </c>
      <c r="AJ1" s="17" t="s">
        <v>46</v>
      </c>
      <c r="AK1" s="17" t="s">
        <v>47</v>
      </c>
      <c r="AL1" s="17" t="s">
        <v>48</v>
      </c>
    </row>
    <row r="2" spans="1:39" ht="15" customHeight="1" thickBot="1">
      <c r="A2" s="14">
        <v>1</v>
      </c>
      <c r="B2" s="15">
        <v>1</v>
      </c>
      <c r="C2" s="14">
        <v>1</v>
      </c>
      <c r="D2" s="14">
        <v>1</v>
      </c>
      <c r="E2" s="14">
        <v>1</v>
      </c>
      <c r="F2" s="14">
        <v>1</v>
      </c>
      <c r="G2" s="14">
        <v>3</v>
      </c>
      <c r="H2" s="14">
        <v>3</v>
      </c>
      <c r="I2" s="14">
        <v>3</v>
      </c>
      <c r="J2" s="14">
        <v>5</v>
      </c>
      <c r="K2" s="14">
        <v>1</v>
      </c>
      <c r="L2" s="14">
        <v>1</v>
      </c>
      <c r="M2" s="14">
        <v>3</v>
      </c>
      <c r="N2" s="14">
        <v>1</v>
      </c>
      <c r="O2" s="14">
        <v>1</v>
      </c>
      <c r="P2" s="14">
        <v>3</v>
      </c>
      <c r="Q2" s="14">
        <v>1</v>
      </c>
      <c r="R2" s="14">
        <v>1</v>
      </c>
      <c r="S2" s="14">
        <v>5</v>
      </c>
      <c r="T2" s="14">
        <v>5</v>
      </c>
      <c r="U2" s="13">
        <v>1</v>
      </c>
      <c r="V2" s="6">
        <f t="shared" ref="V2:AA2" si="0">SUMXMY2($B2:$U2,AG$2:AG$21)</f>
        <v>79.392400724043782</v>
      </c>
      <c r="W2" s="6">
        <f t="shared" si="0"/>
        <v>60.88797644198651</v>
      </c>
      <c r="X2" s="6">
        <f t="shared" si="0"/>
        <v>51.620595495471079</v>
      </c>
      <c r="Y2" s="6">
        <f t="shared" si="0"/>
        <v>43.133632784885542</v>
      </c>
      <c r="Z2" s="6">
        <f t="shared" si="0"/>
        <v>70.094608145609428</v>
      </c>
      <c r="AA2" s="6">
        <f t="shared" si="0"/>
        <v>59.785691274542494</v>
      </c>
      <c r="AB2" s="6">
        <f>MIN(V2:AA2)</f>
        <v>43.133632784885542</v>
      </c>
      <c r="AC2" s="6">
        <f>IF(AB2=V2,1,IF(AB2=W2,2,IF(AB2=X2,3,IF(AB2=Y2,4,IF(AB2=Z2,5,6)))))</f>
        <v>4</v>
      </c>
      <c r="AD2" s="6">
        <f>SUM(AB2:AB341)</f>
        <v>6369.4869886787956</v>
      </c>
      <c r="AF2" s="17" t="s">
        <v>49</v>
      </c>
      <c r="AG2" s="20">
        <v>3.3636329169806283</v>
      </c>
      <c r="AH2" s="20">
        <v>2.9076889304078084</v>
      </c>
      <c r="AI2" s="20">
        <v>2.4166710018700828</v>
      </c>
      <c r="AJ2" s="20">
        <v>2.0444191415325861</v>
      </c>
      <c r="AK2" s="20">
        <v>2.8571564512725813</v>
      </c>
      <c r="AL2" s="20">
        <v>3.2444441277184577</v>
      </c>
      <c r="AM2" s="4" t="s">
        <v>24</v>
      </c>
    </row>
    <row r="3" spans="1:39" ht="15" customHeight="1" thickBot="1">
      <c r="A3" s="11">
        <v>2</v>
      </c>
      <c r="B3" s="12">
        <v>2</v>
      </c>
      <c r="C3" s="11">
        <v>4</v>
      </c>
      <c r="D3" s="11">
        <v>4</v>
      </c>
      <c r="E3" s="11">
        <v>4</v>
      </c>
      <c r="F3" s="11">
        <v>2</v>
      </c>
      <c r="G3" s="11">
        <v>2</v>
      </c>
      <c r="H3" s="11">
        <v>3</v>
      </c>
      <c r="I3" s="11">
        <v>2</v>
      </c>
      <c r="J3" s="11">
        <v>2</v>
      </c>
      <c r="K3" s="11">
        <v>2</v>
      </c>
      <c r="L3" s="11">
        <v>2</v>
      </c>
      <c r="M3" s="11">
        <v>2</v>
      </c>
      <c r="N3" s="11">
        <v>2</v>
      </c>
      <c r="O3" s="11">
        <v>2</v>
      </c>
      <c r="P3" s="11">
        <v>4</v>
      </c>
      <c r="Q3" s="11">
        <v>2</v>
      </c>
      <c r="R3" s="11">
        <v>2</v>
      </c>
      <c r="S3" s="11">
        <v>3</v>
      </c>
      <c r="T3" s="11">
        <v>3</v>
      </c>
      <c r="U3" s="10">
        <v>3</v>
      </c>
      <c r="V3" s="6">
        <f t="shared" ref="V3:V66" si="1">SUMXMY2($B3:$U3,AG$2:AG$21)</f>
        <v>26.028801803311097</v>
      </c>
      <c r="W3" s="6">
        <f t="shared" ref="W3:W66" si="2">SUMXMY2($B3:$U3,AH$2:AH$21)</f>
        <v>13.072671181150788</v>
      </c>
      <c r="X3" s="6">
        <f t="shared" ref="X3:X66" si="3">SUMXMY2($B3:$U3,AI$2:AI$21)</f>
        <v>16.578936389023315</v>
      </c>
      <c r="Y3" s="6">
        <f t="shared" ref="Y3:Y66" si="4">SUMXMY2($B3:$U3,AJ$2:AJ$21)</f>
        <v>21.356026986459767</v>
      </c>
      <c r="Z3" s="6">
        <f t="shared" ref="Z3:Z66" si="5">SUMXMY2($B3:$U3,AK$2:AK$21)</f>
        <v>20.694527338956508</v>
      </c>
      <c r="AA3" s="6">
        <f t="shared" ref="AA3:AA66" si="6">SUMXMY2($B3:$U3,AL$2:AL$21)</f>
        <v>23.096876174420654</v>
      </c>
      <c r="AB3" s="6">
        <f t="shared" ref="AB3:AB66" si="7">MIN(V3:AA3)</f>
        <v>13.072671181150788</v>
      </c>
      <c r="AC3" s="6">
        <f t="shared" ref="AC3:AC66" si="8">IF(AB3=V3,1,IF(AB3=W3,2,IF(AB3=X3,3,IF(AB3=Y3,4,IF(AB3=Z3,5,6)))))</f>
        <v>2</v>
      </c>
      <c r="AF3" s="17" t="s">
        <v>50</v>
      </c>
      <c r="AG3" s="20">
        <v>3.2727140710365794</v>
      </c>
      <c r="AH3" s="20">
        <v>2.3999932072907004</v>
      </c>
      <c r="AI3" s="20">
        <v>2.5833317963253202</v>
      </c>
      <c r="AJ3" s="20">
        <v>1.5332683037718229</v>
      </c>
      <c r="AK3" s="20">
        <v>2.5142828115520208</v>
      </c>
      <c r="AL3" s="20">
        <v>2.0666693812223924</v>
      </c>
      <c r="AM3" s="3" t="s">
        <v>23</v>
      </c>
    </row>
    <row r="4" spans="1:39" ht="15" customHeight="1" thickBot="1">
      <c r="A4" s="11">
        <v>3</v>
      </c>
      <c r="B4" s="12">
        <v>2</v>
      </c>
      <c r="C4" s="11">
        <v>2</v>
      </c>
      <c r="D4" s="11">
        <v>2</v>
      </c>
      <c r="E4" s="11">
        <v>4</v>
      </c>
      <c r="F4" s="11">
        <v>3</v>
      </c>
      <c r="G4" s="11">
        <v>2</v>
      </c>
      <c r="H4" s="11">
        <v>2</v>
      </c>
      <c r="I4" s="11">
        <v>1</v>
      </c>
      <c r="J4" s="11">
        <v>2</v>
      </c>
      <c r="K4" s="11">
        <v>2</v>
      </c>
      <c r="L4" s="11">
        <v>1</v>
      </c>
      <c r="M4" s="11">
        <v>3</v>
      </c>
      <c r="N4" s="11">
        <v>3</v>
      </c>
      <c r="O4" s="11">
        <v>4</v>
      </c>
      <c r="P4" s="11">
        <v>5</v>
      </c>
      <c r="Q4" s="11">
        <v>5</v>
      </c>
      <c r="R4" s="11">
        <v>3</v>
      </c>
      <c r="S4" s="11">
        <v>2</v>
      </c>
      <c r="T4" s="11">
        <v>4</v>
      </c>
      <c r="U4" s="10">
        <v>2</v>
      </c>
      <c r="V4" s="6">
        <f t="shared" si="1"/>
        <v>42.937963719787433</v>
      </c>
      <c r="W4" s="6">
        <f t="shared" si="2"/>
        <v>25.534192655888734</v>
      </c>
      <c r="X4" s="6">
        <f t="shared" si="3"/>
        <v>25.370648857833512</v>
      </c>
      <c r="Y4" s="6">
        <f t="shared" si="4"/>
        <v>27.044760636215031</v>
      </c>
      <c r="Z4" s="6">
        <f t="shared" si="5"/>
        <v>27.494649851250301</v>
      </c>
      <c r="AA4" s="6">
        <f t="shared" si="6"/>
        <v>18.718972901516434</v>
      </c>
      <c r="AB4" s="6">
        <f t="shared" si="7"/>
        <v>18.718972901516434</v>
      </c>
      <c r="AC4" s="6">
        <f t="shared" si="8"/>
        <v>6</v>
      </c>
      <c r="AF4" s="17" t="s">
        <v>51</v>
      </c>
      <c r="AG4" s="20">
        <v>3.9090923308035928</v>
      </c>
      <c r="AH4" s="20">
        <v>2.6923016916614193</v>
      </c>
      <c r="AI4" s="20">
        <v>2.2916634610471682</v>
      </c>
      <c r="AJ4" s="20">
        <v>1.7555920466077115</v>
      </c>
      <c r="AK4" s="20">
        <v>2.0142987641324148</v>
      </c>
      <c r="AL4" s="20">
        <v>1.4444322761962514</v>
      </c>
      <c r="AM4" s="3" t="s">
        <v>22</v>
      </c>
    </row>
    <row r="5" spans="1:39" ht="15" customHeight="1" thickBot="1">
      <c r="A5" s="11">
        <v>4</v>
      </c>
      <c r="B5" s="12">
        <v>2</v>
      </c>
      <c r="C5" s="11">
        <v>2</v>
      </c>
      <c r="D5" s="11">
        <v>2</v>
      </c>
      <c r="E5" s="11">
        <v>3</v>
      </c>
      <c r="F5" s="11">
        <v>3</v>
      </c>
      <c r="G5" s="11">
        <v>4</v>
      </c>
      <c r="H5" s="11">
        <v>3</v>
      </c>
      <c r="I5" s="11">
        <v>2</v>
      </c>
      <c r="J5" s="11">
        <v>2</v>
      </c>
      <c r="K5" s="11">
        <v>2</v>
      </c>
      <c r="L5" s="11">
        <v>3</v>
      </c>
      <c r="M5" s="11">
        <v>3</v>
      </c>
      <c r="N5" s="11">
        <v>1</v>
      </c>
      <c r="O5" s="11">
        <v>2</v>
      </c>
      <c r="P5" s="11">
        <v>2</v>
      </c>
      <c r="Q5" s="11">
        <v>3</v>
      </c>
      <c r="R5" s="11">
        <v>1</v>
      </c>
      <c r="S5" s="11">
        <v>2</v>
      </c>
      <c r="T5" s="11">
        <v>2</v>
      </c>
      <c r="U5" s="10">
        <v>4</v>
      </c>
      <c r="V5" s="6">
        <f t="shared" si="1"/>
        <v>34.210558073656337</v>
      </c>
      <c r="W5" s="6">
        <f t="shared" si="2"/>
        <v>10.426494650072588</v>
      </c>
      <c r="X5" s="6">
        <f t="shared" si="3"/>
        <v>23.578869338866298</v>
      </c>
      <c r="Y5" s="6">
        <f t="shared" si="4"/>
        <v>21.04497537720302</v>
      </c>
      <c r="Z5" s="6">
        <f t="shared" si="5"/>
        <v>19.780262707796723</v>
      </c>
      <c r="AA5" s="6">
        <f t="shared" si="6"/>
        <v>24.719142579272024</v>
      </c>
      <c r="AB5" s="6">
        <f t="shared" si="7"/>
        <v>10.426494650072588</v>
      </c>
      <c r="AC5" s="6">
        <f t="shared" si="8"/>
        <v>2</v>
      </c>
      <c r="AF5" s="17" t="s">
        <v>52</v>
      </c>
      <c r="AG5" s="20">
        <v>3.8636365818898333</v>
      </c>
      <c r="AH5" s="20">
        <v>2.7384583952146819</v>
      </c>
      <c r="AI5" s="20">
        <v>2.7708357285492462</v>
      </c>
      <c r="AJ5" s="20">
        <v>1.777810092842868</v>
      </c>
      <c r="AK5" s="20">
        <v>3.3142961746866888</v>
      </c>
      <c r="AL5" s="20">
        <v>2.6888840471716153</v>
      </c>
      <c r="AM5" s="3" t="s">
        <v>21</v>
      </c>
    </row>
    <row r="6" spans="1:39" ht="15" customHeight="1" thickBot="1">
      <c r="A6" s="11">
        <v>5</v>
      </c>
      <c r="B6" s="12">
        <v>2</v>
      </c>
      <c r="C6" s="11">
        <v>3</v>
      </c>
      <c r="D6" s="11">
        <v>2</v>
      </c>
      <c r="E6" s="11">
        <v>3</v>
      </c>
      <c r="F6" s="11">
        <v>1</v>
      </c>
      <c r="G6" s="11">
        <v>3</v>
      </c>
      <c r="H6" s="11">
        <v>3</v>
      </c>
      <c r="I6" s="11">
        <v>4</v>
      </c>
      <c r="J6" s="11">
        <v>4</v>
      </c>
      <c r="K6" s="11">
        <v>5</v>
      </c>
      <c r="L6" s="11">
        <v>3</v>
      </c>
      <c r="M6" s="11">
        <v>4</v>
      </c>
      <c r="N6" s="11">
        <v>4</v>
      </c>
      <c r="O6" s="11">
        <v>2</v>
      </c>
      <c r="P6" s="11">
        <v>2</v>
      </c>
      <c r="Q6" s="11">
        <v>2</v>
      </c>
      <c r="R6" s="11">
        <v>4</v>
      </c>
      <c r="S6" s="11">
        <v>5</v>
      </c>
      <c r="T6" s="11">
        <v>2</v>
      </c>
      <c r="U6" s="10">
        <v>2</v>
      </c>
      <c r="V6" s="6">
        <f t="shared" si="1"/>
        <v>34.210653003797347</v>
      </c>
      <c r="W6" s="6">
        <f t="shared" si="2"/>
        <v>40.64193461324215</v>
      </c>
      <c r="X6" s="6">
        <f t="shared" si="3"/>
        <v>27.412385826197784</v>
      </c>
      <c r="Y6" s="6">
        <f t="shared" si="4"/>
        <v>40.734058960585664</v>
      </c>
      <c r="Z6" s="6">
        <f t="shared" si="5"/>
        <v>51.265957276664054</v>
      </c>
      <c r="AA6" s="6">
        <f t="shared" si="6"/>
        <v>45.074697861692982</v>
      </c>
      <c r="AB6" s="6">
        <f t="shared" si="7"/>
        <v>27.412385826197784</v>
      </c>
      <c r="AC6" s="6">
        <f t="shared" si="8"/>
        <v>3</v>
      </c>
      <c r="AF6" s="17" t="s">
        <v>53</v>
      </c>
      <c r="AG6" s="20">
        <v>4.2727162286334375</v>
      </c>
      <c r="AH6" s="20">
        <v>2.9384561569797976</v>
      </c>
      <c r="AI6" s="20">
        <v>3.1875040268019528</v>
      </c>
      <c r="AJ6" s="20">
        <v>1.8888903849466134</v>
      </c>
      <c r="AK6" s="20">
        <v>3.5142933930910796</v>
      </c>
      <c r="AL6" s="20">
        <v>2.7111086767844785</v>
      </c>
      <c r="AM6" s="3" t="s">
        <v>20</v>
      </c>
    </row>
    <row r="7" spans="1:39" ht="15" customHeight="1" thickBot="1">
      <c r="A7" s="11">
        <v>6</v>
      </c>
      <c r="B7" s="12">
        <v>2</v>
      </c>
      <c r="C7" s="11">
        <v>2</v>
      </c>
      <c r="D7" s="11">
        <v>2</v>
      </c>
      <c r="E7" s="11">
        <v>2</v>
      </c>
      <c r="F7" s="11">
        <v>5</v>
      </c>
      <c r="G7" s="11">
        <v>3</v>
      </c>
      <c r="H7" s="11">
        <v>4</v>
      </c>
      <c r="I7" s="11">
        <v>3</v>
      </c>
      <c r="J7" s="11">
        <v>1</v>
      </c>
      <c r="K7" s="11">
        <v>2</v>
      </c>
      <c r="L7" s="11">
        <v>1</v>
      </c>
      <c r="M7" s="11">
        <v>2</v>
      </c>
      <c r="N7" s="11">
        <v>1</v>
      </c>
      <c r="O7" s="11">
        <v>5</v>
      </c>
      <c r="P7" s="11">
        <v>1</v>
      </c>
      <c r="Q7" s="11">
        <v>3</v>
      </c>
      <c r="R7" s="11">
        <v>1</v>
      </c>
      <c r="S7" s="11">
        <v>2</v>
      </c>
      <c r="T7" s="11">
        <v>2</v>
      </c>
      <c r="U7" s="10">
        <v>2</v>
      </c>
      <c r="V7" s="6">
        <f t="shared" si="1"/>
        <v>54.937804968971307</v>
      </c>
      <c r="W7" s="6">
        <f t="shared" si="2"/>
        <v>27.411050633371566</v>
      </c>
      <c r="X7" s="6">
        <f t="shared" si="3"/>
        <v>38.787192930271083</v>
      </c>
      <c r="Y7" s="6">
        <f t="shared" si="4"/>
        <v>37.044898602328786</v>
      </c>
      <c r="Z7" s="6">
        <f t="shared" si="5"/>
        <v>24.723279195366583</v>
      </c>
      <c r="AA7" s="6">
        <f t="shared" si="6"/>
        <v>30.119023955399353</v>
      </c>
      <c r="AB7" s="6">
        <f t="shared" si="7"/>
        <v>24.723279195366583</v>
      </c>
      <c r="AC7" s="6">
        <f t="shared" si="8"/>
        <v>5</v>
      </c>
      <c r="AF7" s="17" t="s">
        <v>54</v>
      </c>
      <c r="AG7" s="20">
        <v>3.8636340252392105</v>
      </c>
      <c r="AH7" s="20">
        <v>2.7692309721585766</v>
      </c>
      <c r="AI7" s="20">
        <v>2.5416623098856919</v>
      </c>
      <c r="AJ7" s="20">
        <v>2.6888861868559966</v>
      </c>
      <c r="AK7" s="20">
        <v>3.5857100971675449</v>
      </c>
      <c r="AL7" s="20">
        <v>3.155541228311078</v>
      </c>
      <c r="AM7" s="3" t="s">
        <v>19</v>
      </c>
    </row>
    <row r="8" spans="1:39" ht="15" customHeight="1" thickBot="1">
      <c r="A8" s="11">
        <v>7</v>
      </c>
      <c r="B8" s="12">
        <v>5</v>
      </c>
      <c r="C8" s="11">
        <v>1</v>
      </c>
      <c r="D8" s="11">
        <v>1</v>
      </c>
      <c r="E8" s="11">
        <v>2</v>
      </c>
      <c r="F8" s="11">
        <v>5</v>
      </c>
      <c r="G8" s="11">
        <v>3</v>
      </c>
      <c r="H8" s="11">
        <v>3</v>
      </c>
      <c r="I8" s="11">
        <v>3</v>
      </c>
      <c r="J8" s="11">
        <v>1</v>
      </c>
      <c r="K8" s="11">
        <v>5</v>
      </c>
      <c r="L8" s="11">
        <v>1</v>
      </c>
      <c r="M8" s="11">
        <v>1</v>
      </c>
      <c r="N8" s="11">
        <v>1</v>
      </c>
      <c r="O8" s="11">
        <v>5</v>
      </c>
      <c r="P8" s="11">
        <v>1</v>
      </c>
      <c r="Q8" s="11">
        <v>3</v>
      </c>
      <c r="R8" s="11">
        <v>1</v>
      </c>
      <c r="S8" s="11">
        <v>3</v>
      </c>
      <c r="T8" s="11">
        <v>2</v>
      </c>
      <c r="U8" s="10">
        <v>2</v>
      </c>
      <c r="V8" s="6">
        <f t="shared" si="1"/>
        <v>66.392397374562336</v>
      </c>
      <c r="W8" s="6">
        <f t="shared" si="2"/>
        <v>43.82646299256222</v>
      </c>
      <c r="X8" s="6">
        <f t="shared" si="3"/>
        <v>48.828864044144694</v>
      </c>
      <c r="Y8" s="6">
        <f t="shared" si="4"/>
        <v>55.422859886745925</v>
      </c>
      <c r="Z8" s="6">
        <f t="shared" si="5"/>
        <v>31.351807887036809</v>
      </c>
      <c r="AA8" s="6">
        <f t="shared" si="6"/>
        <v>36.496803774580094</v>
      </c>
      <c r="AB8" s="6">
        <f t="shared" si="7"/>
        <v>31.351807887036809</v>
      </c>
      <c r="AC8" s="6">
        <f t="shared" si="8"/>
        <v>5</v>
      </c>
      <c r="AF8" s="17" t="s">
        <v>55</v>
      </c>
      <c r="AG8" s="20">
        <v>3.6818111150615871</v>
      </c>
      <c r="AH8" s="20">
        <v>2.8153798442748488</v>
      </c>
      <c r="AI8" s="20">
        <v>2.8541708246252435</v>
      </c>
      <c r="AJ8" s="20">
        <v>2.9111179137085386</v>
      </c>
      <c r="AK8" s="20">
        <v>3.028561823255687</v>
      </c>
      <c r="AL8" s="20">
        <v>2.7666643563692173</v>
      </c>
      <c r="AM8" s="3" t="s">
        <v>18</v>
      </c>
    </row>
    <row r="9" spans="1:39" ht="15" customHeight="1" thickBot="1">
      <c r="A9" s="11">
        <v>8</v>
      </c>
      <c r="B9" s="12">
        <v>2</v>
      </c>
      <c r="C9" s="11">
        <v>2</v>
      </c>
      <c r="D9" s="11">
        <v>3</v>
      </c>
      <c r="E9" s="11">
        <v>3</v>
      </c>
      <c r="F9" s="11">
        <v>2</v>
      </c>
      <c r="G9" s="11">
        <v>4</v>
      </c>
      <c r="H9" s="11">
        <v>3</v>
      </c>
      <c r="I9" s="11">
        <v>2</v>
      </c>
      <c r="J9" s="11">
        <v>2</v>
      </c>
      <c r="K9" s="11">
        <v>4</v>
      </c>
      <c r="L9" s="11">
        <v>2</v>
      </c>
      <c r="M9" s="11">
        <v>2</v>
      </c>
      <c r="N9" s="11">
        <v>2</v>
      </c>
      <c r="O9" s="11">
        <v>4</v>
      </c>
      <c r="P9" s="11">
        <v>4</v>
      </c>
      <c r="Q9" s="11">
        <v>4</v>
      </c>
      <c r="R9" s="11">
        <v>2</v>
      </c>
      <c r="S9" s="11">
        <v>2</v>
      </c>
      <c r="T9" s="11">
        <v>4</v>
      </c>
      <c r="U9" s="10">
        <v>4</v>
      </c>
      <c r="V9" s="6">
        <f t="shared" si="1"/>
        <v>26.937895010279625</v>
      </c>
      <c r="W9" s="6">
        <f t="shared" si="2"/>
        <v>15.888078879395216</v>
      </c>
      <c r="X9" s="6">
        <f t="shared" si="3"/>
        <v>14.620647151976117</v>
      </c>
      <c r="Y9" s="6">
        <f t="shared" si="4"/>
        <v>17.86712010173343</v>
      </c>
      <c r="Z9" s="6">
        <f t="shared" si="5"/>
        <v>12.437568748089761</v>
      </c>
      <c r="AA9" s="6">
        <f t="shared" si="6"/>
        <v>16.274640280256875</v>
      </c>
      <c r="AB9" s="6">
        <f t="shared" si="7"/>
        <v>12.437568748089761</v>
      </c>
      <c r="AC9" s="6">
        <f t="shared" si="8"/>
        <v>5</v>
      </c>
      <c r="AF9" s="17" t="s">
        <v>56</v>
      </c>
      <c r="AG9" s="20">
        <v>3.1363857346330724</v>
      </c>
      <c r="AH9" s="20">
        <v>2.0615394404558192</v>
      </c>
      <c r="AI9" s="20">
        <v>3.2499929709019075</v>
      </c>
      <c r="AJ9" s="20">
        <v>1.9555531829384598</v>
      </c>
      <c r="AK9" s="20">
        <v>1.9999993700781311</v>
      </c>
      <c r="AL9" s="20">
        <v>1.9444407606273095</v>
      </c>
      <c r="AM9" s="3" t="s">
        <v>17</v>
      </c>
    </row>
    <row r="10" spans="1:39" ht="15" customHeight="1" thickBot="1">
      <c r="A10" s="11">
        <v>9</v>
      </c>
      <c r="B10" s="12">
        <v>3</v>
      </c>
      <c r="C10" s="11">
        <v>3</v>
      </c>
      <c r="D10" s="11">
        <v>1</v>
      </c>
      <c r="E10" s="11">
        <v>2</v>
      </c>
      <c r="F10" s="11">
        <v>2</v>
      </c>
      <c r="G10" s="11">
        <v>4</v>
      </c>
      <c r="H10" s="11">
        <v>3</v>
      </c>
      <c r="I10" s="11">
        <v>2</v>
      </c>
      <c r="J10" s="11">
        <v>2</v>
      </c>
      <c r="K10" s="11">
        <v>3</v>
      </c>
      <c r="L10" s="11">
        <v>2</v>
      </c>
      <c r="M10" s="11">
        <v>3</v>
      </c>
      <c r="N10" s="11">
        <v>3</v>
      </c>
      <c r="O10" s="11">
        <v>3</v>
      </c>
      <c r="P10" s="11">
        <v>4</v>
      </c>
      <c r="Q10" s="11">
        <v>4</v>
      </c>
      <c r="R10" s="11">
        <v>3</v>
      </c>
      <c r="S10" s="11">
        <v>2</v>
      </c>
      <c r="T10" s="11">
        <v>3</v>
      </c>
      <c r="U10" s="10">
        <v>3</v>
      </c>
      <c r="V10" s="6">
        <f t="shared" si="1"/>
        <v>28.483381329940734</v>
      </c>
      <c r="W10" s="6">
        <f t="shared" si="2"/>
        <v>12.349576072186636</v>
      </c>
      <c r="X10" s="6">
        <f t="shared" si="3"/>
        <v>13.745651739546144</v>
      </c>
      <c r="Y10" s="6">
        <f t="shared" si="4"/>
        <v>13.245253183795102</v>
      </c>
      <c r="Z10" s="6">
        <f t="shared" si="5"/>
        <v>16.866098076629616</v>
      </c>
      <c r="AA10" s="6">
        <f t="shared" si="6"/>
        <v>8.7857215193533005</v>
      </c>
      <c r="AB10" s="6">
        <f t="shared" si="7"/>
        <v>8.7857215193533005</v>
      </c>
      <c r="AC10" s="6">
        <f t="shared" si="8"/>
        <v>6</v>
      </c>
      <c r="AF10" s="17" t="s">
        <v>57</v>
      </c>
      <c r="AG10" s="20">
        <v>3.6818125075265318</v>
      </c>
      <c r="AH10" s="20">
        <v>1.8769129602361982</v>
      </c>
      <c r="AI10" s="20">
        <v>2.9583323366933132</v>
      </c>
      <c r="AJ10" s="20">
        <v>1.8888880708252005</v>
      </c>
      <c r="AK10" s="20">
        <v>1.5428688157009565</v>
      </c>
      <c r="AL10" s="20">
        <v>1.7666660841752371</v>
      </c>
      <c r="AM10" s="3" t="s">
        <v>16</v>
      </c>
    </row>
    <row r="11" spans="1:39" ht="15" customHeight="1" thickBot="1">
      <c r="A11" s="11">
        <v>10</v>
      </c>
      <c r="B11" s="12">
        <v>1</v>
      </c>
      <c r="C11" s="11">
        <v>2</v>
      </c>
      <c r="D11" s="11">
        <v>5</v>
      </c>
      <c r="E11" s="11">
        <v>2</v>
      </c>
      <c r="F11" s="11">
        <v>5</v>
      </c>
      <c r="G11" s="11">
        <v>5</v>
      </c>
      <c r="H11" s="11">
        <v>3</v>
      </c>
      <c r="I11" s="11">
        <v>2</v>
      </c>
      <c r="J11" s="11">
        <v>3</v>
      </c>
      <c r="K11" s="11">
        <v>4</v>
      </c>
      <c r="L11" s="11">
        <v>5</v>
      </c>
      <c r="M11" s="11">
        <v>4</v>
      </c>
      <c r="N11" s="11">
        <v>2</v>
      </c>
      <c r="O11" s="11">
        <v>4</v>
      </c>
      <c r="P11" s="11">
        <v>1</v>
      </c>
      <c r="Q11" s="11">
        <v>2</v>
      </c>
      <c r="R11" s="11">
        <v>3</v>
      </c>
      <c r="S11" s="11">
        <v>3</v>
      </c>
      <c r="T11" s="11">
        <v>3</v>
      </c>
      <c r="U11" s="10">
        <v>3</v>
      </c>
      <c r="V11" s="6">
        <f t="shared" si="1"/>
        <v>31.574385014870597</v>
      </c>
      <c r="W11" s="6">
        <f t="shared" si="2"/>
        <v>42.241956095959651</v>
      </c>
      <c r="X11" s="6">
        <f t="shared" si="3"/>
        <v>40.245641630324982</v>
      </c>
      <c r="Y11" s="6">
        <f t="shared" si="4"/>
        <v>52.155996561037462</v>
      </c>
      <c r="Z11" s="6">
        <f t="shared" si="5"/>
        <v>47.580274189159987</v>
      </c>
      <c r="AA11" s="6">
        <f t="shared" si="6"/>
        <v>55.763630884210869</v>
      </c>
      <c r="AB11" s="6">
        <f t="shared" si="7"/>
        <v>31.574385014870597</v>
      </c>
      <c r="AC11" s="6">
        <f t="shared" si="8"/>
        <v>1</v>
      </c>
      <c r="AF11" s="17" t="s">
        <v>58</v>
      </c>
      <c r="AG11" s="20">
        <v>3.3181750051743215</v>
      </c>
      <c r="AH11" s="20">
        <v>2.1846112363282058</v>
      </c>
      <c r="AI11" s="20">
        <v>3.3333300366390541</v>
      </c>
      <c r="AJ11" s="20">
        <v>2.1555449283346362</v>
      </c>
      <c r="AK11" s="20">
        <v>3.1285684905742754</v>
      </c>
      <c r="AL11" s="20">
        <v>2.9999974465902337</v>
      </c>
      <c r="AM11" s="3" t="s">
        <v>15</v>
      </c>
    </row>
    <row r="12" spans="1:39" ht="15" customHeight="1" thickBot="1">
      <c r="A12" s="11">
        <v>11</v>
      </c>
      <c r="B12" s="12">
        <v>3</v>
      </c>
      <c r="C12" s="11">
        <v>2</v>
      </c>
      <c r="D12" s="11">
        <v>1</v>
      </c>
      <c r="E12" s="11">
        <v>4</v>
      </c>
      <c r="F12" s="11">
        <v>2</v>
      </c>
      <c r="G12" s="11">
        <v>2</v>
      </c>
      <c r="H12" s="11">
        <v>4</v>
      </c>
      <c r="I12" s="11">
        <v>2</v>
      </c>
      <c r="J12" s="11">
        <v>2</v>
      </c>
      <c r="K12" s="11">
        <v>5</v>
      </c>
      <c r="L12" s="11">
        <v>4</v>
      </c>
      <c r="M12" s="11">
        <v>2</v>
      </c>
      <c r="N12" s="11">
        <v>2</v>
      </c>
      <c r="O12" s="11">
        <v>5</v>
      </c>
      <c r="P12" s="11">
        <v>3</v>
      </c>
      <c r="Q12" s="11">
        <v>3</v>
      </c>
      <c r="R12" s="11">
        <v>2</v>
      </c>
      <c r="S12" s="11">
        <v>3</v>
      </c>
      <c r="T12" s="11">
        <v>3</v>
      </c>
      <c r="U12" s="10">
        <v>3</v>
      </c>
      <c r="V12" s="6">
        <f t="shared" si="1"/>
        <v>37.210714473192638</v>
      </c>
      <c r="W12" s="6">
        <f t="shared" si="2"/>
        <v>27.057291228353073</v>
      </c>
      <c r="X12" s="6">
        <f t="shared" si="3"/>
        <v>20.662266347745316</v>
      </c>
      <c r="Y12" s="6">
        <f t="shared" si="4"/>
        <v>29.556209958750479</v>
      </c>
      <c r="Z12" s="6">
        <f t="shared" si="5"/>
        <v>18.466179212337693</v>
      </c>
      <c r="AA12" s="6">
        <f t="shared" si="6"/>
        <v>20.630085953706132</v>
      </c>
      <c r="AB12" s="6">
        <f t="shared" si="7"/>
        <v>18.466179212337693</v>
      </c>
      <c r="AC12" s="6">
        <f t="shared" si="8"/>
        <v>5</v>
      </c>
      <c r="AF12" s="17" t="s">
        <v>59</v>
      </c>
      <c r="AG12" s="20">
        <v>3.0908957185159789</v>
      </c>
      <c r="AH12" s="20">
        <v>1.9692288089671617</v>
      </c>
      <c r="AI12" s="20">
        <v>2.6249989686571844</v>
      </c>
      <c r="AJ12" s="20">
        <v>1.6888684553274695</v>
      </c>
      <c r="AK12" s="20">
        <v>1.7571418395929383</v>
      </c>
      <c r="AL12" s="20">
        <v>1.8444448826746711</v>
      </c>
      <c r="AM12" s="3" t="s">
        <v>14</v>
      </c>
    </row>
    <row r="13" spans="1:39" ht="15" customHeight="1" thickBot="1">
      <c r="A13" s="11">
        <v>12</v>
      </c>
      <c r="B13" s="12">
        <v>4</v>
      </c>
      <c r="C13" s="11">
        <v>2</v>
      </c>
      <c r="D13" s="11">
        <v>2</v>
      </c>
      <c r="E13" s="11">
        <v>2</v>
      </c>
      <c r="F13" s="11">
        <v>3</v>
      </c>
      <c r="G13" s="11">
        <v>3</v>
      </c>
      <c r="H13" s="11">
        <v>3</v>
      </c>
      <c r="I13" s="11">
        <v>2</v>
      </c>
      <c r="J13" s="11">
        <v>2</v>
      </c>
      <c r="K13" s="11">
        <v>2</v>
      </c>
      <c r="L13" s="11">
        <v>1</v>
      </c>
      <c r="M13" s="11">
        <v>3</v>
      </c>
      <c r="N13" s="11">
        <v>2</v>
      </c>
      <c r="O13" s="11">
        <v>3</v>
      </c>
      <c r="P13" s="11">
        <v>4</v>
      </c>
      <c r="Q13" s="11">
        <v>3</v>
      </c>
      <c r="R13" s="11">
        <v>3</v>
      </c>
      <c r="S13" s="11">
        <v>2</v>
      </c>
      <c r="T13" s="11">
        <v>2</v>
      </c>
      <c r="U13" s="10">
        <v>3</v>
      </c>
      <c r="V13" s="6">
        <f t="shared" si="1"/>
        <v>30.119655986680531</v>
      </c>
      <c r="W13" s="6">
        <f t="shared" si="2"/>
        <v>6.6264771173970578</v>
      </c>
      <c r="X13" s="6">
        <f t="shared" si="3"/>
        <v>15.912270594625449</v>
      </c>
      <c r="Y13" s="6">
        <f t="shared" si="4"/>
        <v>12.089460721426278</v>
      </c>
      <c r="Z13" s="6">
        <f t="shared" si="5"/>
        <v>14.523131933932794</v>
      </c>
      <c r="AA13" s="6">
        <f t="shared" si="6"/>
        <v>8.0079456086720953</v>
      </c>
      <c r="AB13" s="6">
        <f t="shared" si="7"/>
        <v>6.6264771173970578</v>
      </c>
      <c r="AC13" s="6">
        <f t="shared" si="8"/>
        <v>2</v>
      </c>
      <c r="AF13" s="17" t="s">
        <v>60</v>
      </c>
      <c r="AG13" s="20">
        <v>2.9999947572829333</v>
      </c>
      <c r="AH13" s="20">
        <v>2.6615368427795891</v>
      </c>
      <c r="AI13" s="20">
        <v>2.3333337114492734</v>
      </c>
      <c r="AJ13" s="20">
        <v>2.8222239070144819</v>
      </c>
      <c r="AK13" s="20">
        <v>1.6428606412036482</v>
      </c>
      <c r="AL13" s="20">
        <v>2.0888915033819662</v>
      </c>
      <c r="AM13" s="3" t="s">
        <v>13</v>
      </c>
    </row>
    <row r="14" spans="1:39" ht="15" customHeight="1" thickBot="1">
      <c r="A14" s="11">
        <v>13</v>
      </c>
      <c r="B14" s="12">
        <v>1</v>
      </c>
      <c r="C14" s="11">
        <v>3</v>
      </c>
      <c r="D14" s="11">
        <v>2</v>
      </c>
      <c r="E14" s="11">
        <v>4</v>
      </c>
      <c r="F14" s="11">
        <v>5</v>
      </c>
      <c r="G14" s="11">
        <v>5</v>
      </c>
      <c r="H14" s="11">
        <v>4</v>
      </c>
      <c r="I14" s="11">
        <v>3</v>
      </c>
      <c r="J14" s="11">
        <v>3</v>
      </c>
      <c r="K14" s="11">
        <v>4</v>
      </c>
      <c r="L14" s="11">
        <v>4</v>
      </c>
      <c r="M14" s="11">
        <v>4</v>
      </c>
      <c r="N14" s="11">
        <v>2</v>
      </c>
      <c r="O14" s="11">
        <v>4</v>
      </c>
      <c r="P14" s="11">
        <v>3</v>
      </c>
      <c r="Q14" s="11">
        <v>3</v>
      </c>
      <c r="R14" s="11">
        <v>4</v>
      </c>
      <c r="S14" s="11">
        <v>4</v>
      </c>
      <c r="T14" s="11">
        <v>3</v>
      </c>
      <c r="U14" s="10">
        <v>2</v>
      </c>
      <c r="V14" s="6">
        <f t="shared" si="1"/>
        <v>21.119905933901716</v>
      </c>
      <c r="W14" s="6">
        <f t="shared" si="2"/>
        <v>38.565053875528534</v>
      </c>
      <c r="X14" s="6">
        <f t="shared" si="3"/>
        <v>25.162363742224223</v>
      </c>
      <c r="Y14" s="6">
        <f t="shared" si="4"/>
        <v>46.578351190012711</v>
      </c>
      <c r="Z14" s="6">
        <f t="shared" si="5"/>
        <v>33.037520121333806</v>
      </c>
      <c r="AA14" s="6">
        <f t="shared" si="6"/>
        <v>38.519117920954955</v>
      </c>
      <c r="AB14" s="6">
        <f t="shared" si="7"/>
        <v>21.119905933901716</v>
      </c>
      <c r="AC14" s="6">
        <f t="shared" si="8"/>
        <v>1</v>
      </c>
      <c r="AF14" s="17" t="s">
        <v>61</v>
      </c>
      <c r="AG14" s="20">
        <v>3.3636321357726531</v>
      </c>
      <c r="AH14" s="20">
        <v>2.4923096397916842</v>
      </c>
      <c r="AI14" s="20">
        <v>2.666664352158532</v>
      </c>
      <c r="AJ14" s="20">
        <v>2.9555495025524356</v>
      </c>
      <c r="AK14" s="20">
        <v>2.1571449429814527</v>
      </c>
      <c r="AL14" s="20">
        <v>2.7444407291378639</v>
      </c>
      <c r="AM14" s="3" t="s">
        <v>12</v>
      </c>
    </row>
    <row r="15" spans="1:39" ht="15" customHeight="1" thickBot="1">
      <c r="A15" s="11">
        <v>14</v>
      </c>
      <c r="B15" s="12">
        <v>3</v>
      </c>
      <c r="C15" s="11">
        <v>5</v>
      </c>
      <c r="D15" s="11">
        <v>2</v>
      </c>
      <c r="E15" s="11">
        <v>3</v>
      </c>
      <c r="F15" s="11">
        <v>4</v>
      </c>
      <c r="G15" s="11">
        <v>4</v>
      </c>
      <c r="H15" s="11">
        <v>3</v>
      </c>
      <c r="I15" s="11">
        <v>2</v>
      </c>
      <c r="J15" s="11">
        <v>1</v>
      </c>
      <c r="K15" s="11">
        <v>3</v>
      </c>
      <c r="L15" s="11">
        <v>2</v>
      </c>
      <c r="M15" s="11">
        <v>2</v>
      </c>
      <c r="N15" s="11">
        <v>3</v>
      </c>
      <c r="O15" s="11">
        <v>5</v>
      </c>
      <c r="P15" s="11">
        <v>3</v>
      </c>
      <c r="Q15" s="11">
        <v>2</v>
      </c>
      <c r="R15" s="11">
        <v>3</v>
      </c>
      <c r="S15" s="11">
        <v>4</v>
      </c>
      <c r="T15" s="11">
        <v>2</v>
      </c>
      <c r="U15" s="10">
        <v>3</v>
      </c>
      <c r="V15" s="6">
        <f t="shared" si="1"/>
        <v>27.756196405111126</v>
      </c>
      <c r="W15" s="6">
        <f t="shared" si="2"/>
        <v>20.657296932618781</v>
      </c>
      <c r="X15" s="6">
        <f t="shared" si="3"/>
        <v>23.203973588663519</v>
      </c>
      <c r="Y15" s="6">
        <f t="shared" si="4"/>
        <v>30.48984038656798</v>
      </c>
      <c r="Z15" s="6">
        <f t="shared" si="5"/>
        <v>11.694714064501099</v>
      </c>
      <c r="AA15" s="6">
        <f t="shared" si="6"/>
        <v>21.585714254858573</v>
      </c>
      <c r="AB15" s="6">
        <f t="shared" si="7"/>
        <v>11.694714064501099</v>
      </c>
      <c r="AC15" s="6">
        <f>IF(AB15=V15,1,IF(AB15=W15,2,IF(AB15=X15,3,IF(AB15=Y15,4,IF(AB15=Z15,5,6)))))</f>
        <v>5</v>
      </c>
      <c r="AF15" s="17" t="s">
        <v>62</v>
      </c>
      <c r="AG15" s="20">
        <v>2.8181784290826943</v>
      </c>
      <c r="AH15" s="20">
        <v>2.7846161861086647</v>
      </c>
      <c r="AI15" s="20">
        <v>3.0416636271154234</v>
      </c>
      <c r="AJ15" s="20">
        <v>3.222219898012991</v>
      </c>
      <c r="AK15" s="20">
        <v>4.3856890318884849</v>
      </c>
      <c r="AL15" s="20">
        <v>3.7333493589716116</v>
      </c>
      <c r="AM15" s="3" t="s">
        <v>11</v>
      </c>
    </row>
    <row r="16" spans="1:39" ht="15" customHeight="1" thickBot="1">
      <c r="A16" s="11">
        <v>15</v>
      </c>
      <c r="B16" s="12">
        <v>4</v>
      </c>
      <c r="C16" s="11">
        <v>4</v>
      </c>
      <c r="D16" s="11">
        <v>2</v>
      </c>
      <c r="E16" s="11">
        <v>2</v>
      </c>
      <c r="F16" s="11">
        <v>4</v>
      </c>
      <c r="G16" s="11">
        <v>3</v>
      </c>
      <c r="H16" s="11">
        <v>3</v>
      </c>
      <c r="I16" s="11">
        <v>2</v>
      </c>
      <c r="J16" s="11">
        <v>2</v>
      </c>
      <c r="K16" s="11">
        <v>3</v>
      </c>
      <c r="L16" s="11">
        <v>2</v>
      </c>
      <c r="M16" s="11">
        <v>2</v>
      </c>
      <c r="N16" s="11">
        <v>2</v>
      </c>
      <c r="O16" s="11">
        <v>2</v>
      </c>
      <c r="P16" s="11">
        <v>3</v>
      </c>
      <c r="Q16" s="11">
        <v>2</v>
      </c>
      <c r="R16" s="11">
        <v>2</v>
      </c>
      <c r="S16" s="11">
        <v>4</v>
      </c>
      <c r="T16" s="11">
        <v>3</v>
      </c>
      <c r="U16" s="10">
        <v>4</v>
      </c>
      <c r="V16" s="6">
        <f t="shared" si="1"/>
        <v>21.392525032170898</v>
      </c>
      <c r="W16" s="6">
        <f t="shared" si="2"/>
        <v>11.395798665511835</v>
      </c>
      <c r="X16" s="6">
        <f t="shared" si="3"/>
        <v>14.162243365686523</v>
      </c>
      <c r="Y16" s="6">
        <f t="shared" si="4"/>
        <v>21.112036754984096</v>
      </c>
      <c r="Z16" s="6">
        <f t="shared" si="5"/>
        <v>13.294549202929645</v>
      </c>
      <c r="AA16" s="6">
        <f t="shared" si="6"/>
        <v>21.096878844820896</v>
      </c>
      <c r="AB16" s="6">
        <f t="shared" si="7"/>
        <v>11.395798665511835</v>
      </c>
      <c r="AC16" s="6">
        <f t="shared" si="8"/>
        <v>2</v>
      </c>
      <c r="AF16" s="17" t="s">
        <v>63</v>
      </c>
      <c r="AG16" s="20">
        <v>3.3181751880382384</v>
      </c>
      <c r="AH16" s="20">
        <v>2.8923076920431248</v>
      </c>
      <c r="AI16" s="20">
        <v>3.8124932567561993</v>
      </c>
      <c r="AJ16" s="20">
        <v>3.4222293968511019</v>
      </c>
      <c r="AK16" s="20">
        <v>3.7142774367309443</v>
      </c>
      <c r="AL16" s="20">
        <v>4.0444501070682168</v>
      </c>
      <c r="AM16" s="3" t="s">
        <v>10</v>
      </c>
    </row>
    <row r="17" spans="1:39" ht="15" customHeight="1" thickBot="1">
      <c r="A17" s="11">
        <v>16</v>
      </c>
      <c r="B17" s="12">
        <v>2</v>
      </c>
      <c r="C17" s="11">
        <v>2</v>
      </c>
      <c r="D17" s="11">
        <v>1</v>
      </c>
      <c r="E17" s="11">
        <v>4</v>
      </c>
      <c r="F17" s="11">
        <v>3</v>
      </c>
      <c r="G17" s="11">
        <v>5</v>
      </c>
      <c r="H17" s="11">
        <v>4</v>
      </c>
      <c r="I17" s="11">
        <v>1</v>
      </c>
      <c r="J17" s="11">
        <v>1</v>
      </c>
      <c r="K17" s="11">
        <v>4</v>
      </c>
      <c r="L17" s="11">
        <v>1</v>
      </c>
      <c r="M17" s="11">
        <v>1</v>
      </c>
      <c r="N17" s="11">
        <v>2</v>
      </c>
      <c r="O17" s="11">
        <v>2</v>
      </c>
      <c r="P17" s="11">
        <v>5</v>
      </c>
      <c r="Q17" s="11">
        <v>1</v>
      </c>
      <c r="R17" s="11">
        <v>1</v>
      </c>
      <c r="S17" s="11">
        <v>2</v>
      </c>
      <c r="T17" s="11">
        <v>4</v>
      </c>
      <c r="U17" s="10">
        <v>5</v>
      </c>
      <c r="V17" s="6">
        <f t="shared" si="1"/>
        <v>54.1196930427609</v>
      </c>
      <c r="W17" s="6">
        <f t="shared" si="2"/>
        <v>35.980313209184843</v>
      </c>
      <c r="X17" s="6">
        <f t="shared" si="3"/>
        <v>39.412212404055857</v>
      </c>
      <c r="Y17" s="6">
        <f t="shared" si="4"/>
        <v>33.289335177679334</v>
      </c>
      <c r="Z17" s="6">
        <f t="shared" si="5"/>
        <v>24.523257132045838</v>
      </c>
      <c r="AA17" s="6">
        <f t="shared" si="6"/>
        <v>33.14135002366217</v>
      </c>
      <c r="AB17" s="6">
        <f t="shared" si="7"/>
        <v>24.523257132045838</v>
      </c>
      <c r="AC17" s="6">
        <f t="shared" si="8"/>
        <v>5</v>
      </c>
      <c r="AF17" s="17" t="s">
        <v>64</v>
      </c>
      <c r="AG17" s="20">
        <v>2.8636282157361816</v>
      </c>
      <c r="AH17" s="20">
        <v>2.7076804980800495</v>
      </c>
      <c r="AI17" s="20">
        <v>2.6666614981142165</v>
      </c>
      <c r="AJ17" s="20">
        <v>1.6888822131335808</v>
      </c>
      <c r="AK17" s="20">
        <v>2.4571388944392143</v>
      </c>
      <c r="AL17" s="20">
        <v>2.3444421423364621</v>
      </c>
      <c r="AM17" s="3" t="s">
        <v>9</v>
      </c>
    </row>
    <row r="18" spans="1:39" ht="15" customHeight="1" thickBot="1">
      <c r="A18" s="11">
        <v>17</v>
      </c>
      <c r="B18" s="12">
        <v>4</v>
      </c>
      <c r="C18" s="11">
        <v>3</v>
      </c>
      <c r="D18" s="11">
        <v>2</v>
      </c>
      <c r="E18" s="11">
        <v>3</v>
      </c>
      <c r="F18" s="11">
        <v>4</v>
      </c>
      <c r="G18" s="11">
        <v>3</v>
      </c>
      <c r="H18" s="11">
        <v>3</v>
      </c>
      <c r="I18" s="11">
        <v>3</v>
      </c>
      <c r="J18" s="11">
        <v>2</v>
      </c>
      <c r="K18" s="11">
        <v>2</v>
      </c>
      <c r="L18" s="11">
        <v>2</v>
      </c>
      <c r="M18" s="11">
        <v>2</v>
      </c>
      <c r="N18" s="11">
        <v>2</v>
      </c>
      <c r="O18" s="11">
        <v>3</v>
      </c>
      <c r="P18" s="11">
        <v>4</v>
      </c>
      <c r="Q18" s="11">
        <v>4</v>
      </c>
      <c r="R18" s="11">
        <v>3</v>
      </c>
      <c r="S18" s="11">
        <v>2</v>
      </c>
      <c r="T18" s="11">
        <v>2</v>
      </c>
      <c r="U18" s="10">
        <v>4</v>
      </c>
      <c r="V18" s="6">
        <f t="shared" si="1"/>
        <v>21.846948855497825</v>
      </c>
      <c r="W18" s="6">
        <f t="shared" si="2"/>
        <v>8.5957841206805643</v>
      </c>
      <c r="X18" s="6">
        <f t="shared" si="3"/>
        <v>13.870618793292712</v>
      </c>
      <c r="Y18" s="6">
        <f t="shared" si="4"/>
        <v>23.33406466143612</v>
      </c>
      <c r="Z18" s="6">
        <f t="shared" si="5"/>
        <v>13.323121775169238</v>
      </c>
      <c r="AA18" s="6">
        <f t="shared" si="6"/>
        <v>15.385760333715645</v>
      </c>
      <c r="AB18" s="6">
        <f t="shared" si="7"/>
        <v>8.5957841206805643</v>
      </c>
      <c r="AC18" s="6">
        <f t="shared" si="8"/>
        <v>2</v>
      </c>
      <c r="AF18" s="17" t="s">
        <v>65</v>
      </c>
      <c r="AG18" s="20">
        <v>3.2727290425925117</v>
      </c>
      <c r="AH18" s="20">
        <v>2.4153817574963785</v>
      </c>
      <c r="AI18" s="20">
        <v>2.9999867370545119</v>
      </c>
      <c r="AJ18" s="20">
        <v>2.6888866724790592</v>
      </c>
      <c r="AK18" s="20">
        <v>1.7714334121202191</v>
      </c>
      <c r="AL18" s="20">
        <v>2.5666646092462191</v>
      </c>
      <c r="AM18" s="3" t="s">
        <v>8</v>
      </c>
    </row>
    <row r="19" spans="1:39" ht="15" customHeight="1" thickBot="1">
      <c r="A19" s="11">
        <v>18</v>
      </c>
      <c r="B19" s="12">
        <v>5</v>
      </c>
      <c r="C19" s="11">
        <v>5</v>
      </c>
      <c r="D19" s="11">
        <v>3</v>
      </c>
      <c r="E19" s="11">
        <v>2</v>
      </c>
      <c r="F19" s="11">
        <v>5</v>
      </c>
      <c r="G19" s="11">
        <v>5</v>
      </c>
      <c r="H19" s="11">
        <v>3</v>
      </c>
      <c r="I19" s="11">
        <v>1</v>
      </c>
      <c r="J19" s="11">
        <v>1</v>
      </c>
      <c r="K19" s="11">
        <v>3</v>
      </c>
      <c r="L19" s="11">
        <v>4</v>
      </c>
      <c r="M19" s="11">
        <v>1</v>
      </c>
      <c r="N19" s="11">
        <v>2</v>
      </c>
      <c r="O19" s="11">
        <v>5</v>
      </c>
      <c r="P19" s="11">
        <v>5</v>
      </c>
      <c r="Q19" s="11">
        <v>4</v>
      </c>
      <c r="R19" s="11">
        <v>2</v>
      </c>
      <c r="S19" s="11">
        <v>5</v>
      </c>
      <c r="T19" s="11">
        <v>5</v>
      </c>
      <c r="U19" s="10">
        <v>5</v>
      </c>
      <c r="V19" s="6">
        <f t="shared" si="1"/>
        <v>47.120070083575328</v>
      </c>
      <c r="W19" s="6">
        <f t="shared" si="2"/>
        <v>57.149772941270911</v>
      </c>
      <c r="X19" s="6">
        <f t="shared" si="3"/>
        <v>52.078987625928121</v>
      </c>
      <c r="Y19" s="6">
        <f t="shared" si="4"/>
        <v>70.312262671683996</v>
      </c>
      <c r="Z19" s="6">
        <f t="shared" si="5"/>
        <v>38.809066698557693</v>
      </c>
      <c r="AA19" s="6">
        <f t="shared" si="6"/>
        <v>60.896837492218552</v>
      </c>
      <c r="AB19" s="6">
        <f t="shared" si="7"/>
        <v>38.809066698557693</v>
      </c>
      <c r="AC19" s="6">
        <f t="shared" si="8"/>
        <v>5</v>
      </c>
      <c r="AF19" s="17" t="s">
        <v>66</v>
      </c>
      <c r="AG19" s="20">
        <v>3.590892304924326</v>
      </c>
      <c r="AH19" s="20">
        <v>2.5846049062031859</v>
      </c>
      <c r="AI19" s="20">
        <v>3.2916611209827913</v>
      </c>
      <c r="AJ19" s="20">
        <v>2.7333293192923191</v>
      </c>
      <c r="AK19" s="20">
        <v>3.4285648687680901</v>
      </c>
      <c r="AL19" s="20">
        <v>1.9444428846533801</v>
      </c>
      <c r="AM19" s="3" t="s">
        <v>7</v>
      </c>
    </row>
    <row r="20" spans="1:39" ht="15" customHeight="1" thickBot="1">
      <c r="A20" s="11">
        <v>19</v>
      </c>
      <c r="B20" s="12">
        <v>1</v>
      </c>
      <c r="C20" s="11">
        <v>2</v>
      </c>
      <c r="D20" s="11">
        <v>2</v>
      </c>
      <c r="E20" s="11">
        <v>1</v>
      </c>
      <c r="F20" s="11">
        <v>2</v>
      </c>
      <c r="G20" s="11">
        <v>2</v>
      </c>
      <c r="H20" s="11">
        <v>2</v>
      </c>
      <c r="I20" s="11">
        <v>2</v>
      </c>
      <c r="J20" s="11">
        <v>2</v>
      </c>
      <c r="K20" s="11">
        <v>2</v>
      </c>
      <c r="L20" s="11">
        <v>1</v>
      </c>
      <c r="M20" s="11">
        <v>2</v>
      </c>
      <c r="N20" s="11">
        <v>1</v>
      </c>
      <c r="O20" s="11">
        <v>5</v>
      </c>
      <c r="P20" s="11">
        <v>2</v>
      </c>
      <c r="Q20" s="11">
        <v>2</v>
      </c>
      <c r="R20" s="11">
        <v>5</v>
      </c>
      <c r="S20" s="11">
        <v>5</v>
      </c>
      <c r="T20" s="11">
        <v>3</v>
      </c>
      <c r="U20" s="10">
        <v>5</v>
      </c>
      <c r="V20" s="6">
        <f t="shared" si="1"/>
        <v>61.755990287360085</v>
      </c>
      <c r="W20" s="6">
        <f t="shared" si="2"/>
        <v>33.826531740261366</v>
      </c>
      <c r="X20" s="6">
        <f t="shared" si="3"/>
        <v>35.579029951441584</v>
      </c>
      <c r="Y20" s="6">
        <f t="shared" si="4"/>
        <v>26.000602642365006</v>
      </c>
      <c r="Z20" s="6">
        <f t="shared" si="5"/>
        <v>36.75190346323749</v>
      </c>
      <c r="AA20" s="6">
        <f t="shared" si="6"/>
        <v>46.874543359104642</v>
      </c>
      <c r="AB20" s="6">
        <f t="shared" si="7"/>
        <v>26.000602642365006</v>
      </c>
      <c r="AC20" s="6">
        <f t="shared" si="8"/>
        <v>4</v>
      </c>
      <c r="AF20" s="17" t="s">
        <v>67</v>
      </c>
      <c r="AG20" s="20">
        <v>3.590899633312628</v>
      </c>
      <c r="AH20" s="20">
        <v>2.153842939037856</v>
      </c>
      <c r="AI20" s="20">
        <v>3.562498955478858</v>
      </c>
      <c r="AJ20" s="20">
        <v>3.4000057519265572</v>
      </c>
      <c r="AK20" s="20">
        <v>2.6142784608402181</v>
      </c>
      <c r="AL20" s="20">
        <v>2.8555613150858847</v>
      </c>
      <c r="AM20" s="3" t="s">
        <v>6</v>
      </c>
    </row>
    <row r="21" spans="1:39" ht="15" customHeight="1" thickBot="1">
      <c r="A21" s="11">
        <v>20</v>
      </c>
      <c r="B21" s="12">
        <v>5</v>
      </c>
      <c r="C21" s="11">
        <v>4</v>
      </c>
      <c r="D21" s="11">
        <v>5</v>
      </c>
      <c r="E21" s="11">
        <v>5</v>
      </c>
      <c r="F21" s="11">
        <v>3</v>
      </c>
      <c r="G21" s="11">
        <v>2</v>
      </c>
      <c r="H21" s="11">
        <v>1</v>
      </c>
      <c r="I21" s="11">
        <v>1</v>
      </c>
      <c r="J21" s="11">
        <v>1</v>
      </c>
      <c r="K21" s="11">
        <v>2</v>
      </c>
      <c r="L21" s="11">
        <v>3</v>
      </c>
      <c r="M21" s="11">
        <v>4</v>
      </c>
      <c r="N21" s="11">
        <v>4</v>
      </c>
      <c r="O21" s="11">
        <v>3</v>
      </c>
      <c r="P21" s="11">
        <v>4</v>
      </c>
      <c r="Q21" s="11">
        <v>3</v>
      </c>
      <c r="R21" s="11">
        <v>2</v>
      </c>
      <c r="S21" s="11">
        <v>3</v>
      </c>
      <c r="T21" s="11">
        <v>4</v>
      </c>
      <c r="U21" s="10">
        <v>4</v>
      </c>
      <c r="V21" s="6">
        <f t="shared" si="1"/>
        <v>35.665299852963436</v>
      </c>
      <c r="W21" s="6">
        <f t="shared" si="2"/>
        <v>33.457352826503765</v>
      </c>
      <c r="X21" s="6">
        <f t="shared" si="3"/>
        <v>42.078930260003283</v>
      </c>
      <c r="Y21" s="6">
        <f t="shared" si="4"/>
        <v>50.13393636766498</v>
      </c>
      <c r="Z21" s="6">
        <f t="shared" si="5"/>
        <v>43.065850367528753</v>
      </c>
      <c r="AA21" s="6">
        <f t="shared" si="6"/>
        <v>46.941319694584067</v>
      </c>
      <c r="AB21" s="6">
        <f t="shared" si="7"/>
        <v>33.457352826503765</v>
      </c>
      <c r="AC21" s="6">
        <f t="shared" si="8"/>
        <v>2</v>
      </c>
      <c r="AF21" s="17" t="s">
        <v>68</v>
      </c>
      <c r="AG21" s="20">
        <v>3.6363717724292002</v>
      </c>
      <c r="AH21" s="20">
        <v>3.8615268341496245</v>
      </c>
      <c r="AI21" s="20">
        <v>3.2708346227658165</v>
      </c>
      <c r="AJ21" s="20">
        <v>3.6666493040487476</v>
      </c>
      <c r="AK21" s="20">
        <v>3.6857132371453525</v>
      </c>
      <c r="AL21" s="20">
        <v>1.7999942500432633</v>
      </c>
      <c r="AM21" s="3" t="s">
        <v>5</v>
      </c>
    </row>
    <row r="22" spans="1:39">
      <c r="A22" s="11">
        <v>21</v>
      </c>
      <c r="B22" s="12">
        <v>5</v>
      </c>
      <c r="C22" s="11">
        <v>3</v>
      </c>
      <c r="D22" s="11">
        <v>4</v>
      </c>
      <c r="E22" s="11">
        <v>3</v>
      </c>
      <c r="F22" s="11">
        <v>4</v>
      </c>
      <c r="G22" s="11">
        <v>2</v>
      </c>
      <c r="H22" s="11">
        <v>3</v>
      </c>
      <c r="I22" s="11">
        <v>2</v>
      </c>
      <c r="J22" s="11">
        <v>4</v>
      </c>
      <c r="K22" s="11">
        <v>1</v>
      </c>
      <c r="L22" s="11">
        <v>3</v>
      </c>
      <c r="M22" s="11">
        <v>5</v>
      </c>
      <c r="N22" s="11">
        <v>3</v>
      </c>
      <c r="O22" s="11">
        <v>2</v>
      </c>
      <c r="P22" s="11">
        <v>3</v>
      </c>
      <c r="Q22" s="11">
        <v>1</v>
      </c>
      <c r="R22" s="11">
        <v>3</v>
      </c>
      <c r="S22" s="11">
        <v>4</v>
      </c>
      <c r="T22" s="11">
        <v>4</v>
      </c>
      <c r="U22" s="10">
        <v>3</v>
      </c>
      <c r="V22" s="6">
        <f t="shared" si="1"/>
        <v>23.483481266603956</v>
      </c>
      <c r="W22" s="6">
        <f t="shared" si="2"/>
        <v>31.011206028083407</v>
      </c>
      <c r="X22" s="6">
        <f t="shared" si="3"/>
        <v>31.537247019230435</v>
      </c>
      <c r="Y22" s="6">
        <f t="shared" si="4"/>
        <v>39.267245338802439</v>
      </c>
      <c r="Z22" s="6">
        <f t="shared" si="5"/>
        <v>48.265776516291432</v>
      </c>
      <c r="AA22" s="6">
        <f t="shared" si="6"/>
        <v>45.563540751161035</v>
      </c>
      <c r="AB22" s="6">
        <f t="shared" si="7"/>
        <v>23.483481266603956</v>
      </c>
      <c r="AC22" s="6">
        <f t="shared" si="8"/>
        <v>1</v>
      </c>
      <c r="AF22" s="17" t="s">
        <v>71</v>
      </c>
      <c r="AG22" s="18">
        <f>COUNTIF($AC$2:$AC$341,"1")/340</f>
        <v>6.4705882352941183E-2</v>
      </c>
      <c r="AH22" s="18">
        <f>COUNTIF($AC$2:$AC$341,"2")/340</f>
        <v>0.19117647058823528</v>
      </c>
      <c r="AI22" s="18">
        <f>COUNTIF($AC$2:$AC$341,"3")/340</f>
        <v>0.14117647058823529</v>
      </c>
      <c r="AJ22" s="18">
        <f>COUNTIF($AC$2:$AC$341,"4")/340</f>
        <v>0.13235294117647059</v>
      </c>
      <c r="AK22" s="18">
        <f>COUNTIF($AC$2:$AC$341,"5")/340</f>
        <v>0.20588235294117646</v>
      </c>
      <c r="AL22" s="18">
        <f>COUNTIF($AC$2:$AC$341,"6")/340</f>
        <v>0.26470588235294118</v>
      </c>
    </row>
    <row r="23" spans="1:39">
      <c r="A23" s="11">
        <v>22</v>
      </c>
      <c r="B23" s="12">
        <v>2</v>
      </c>
      <c r="C23" s="11">
        <v>2</v>
      </c>
      <c r="D23" s="11">
        <v>2</v>
      </c>
      <c r="E23" s="11">
        <v>2</v>
      </c>
      <c r="F23" s="11">
        <v>3</v>
      </c>
      <c r="G23" s="11">
        <v>2</v>
      </c>
      <c r="H23" s="11">
        <v>3</v>
      </c>
      <c r="I23" s="11">
        <v>2</v>
      </c>
      <c r="J23" s="11">
        <v>2</v>
      </c>
      <c r="K23" s="11">
        <v>3</v>
      </c>
      <c r="L23" s="11">
        <v>4</v>
      </c>
      <c r="M23" s="11">
        <v>3</v>
      </c>
      <c r="N23" s="11">
        <v>3</v>
      </c>
      <c r="O23" s="11">
        <v>4</v>
      </c>
      <c r="P23" s="11">
        <v>4</v>
      </c>
      <c r="Q23" s="11">
        <v>4</v>
      </c>
      <c r="R23" s="11">
        <v>3</v>
      </c>
      <c r="S23" s="11">
        <v>3</v>
      </c>
      <c r="T23" s="11">
        <v>3</v>
      </c>
      <c r="U23" s="10">
        <v>3</v>
      </c>
      <c r="V23" s="6">
        <f t="shared" si="1"/>
        <v>25.665269945979979</v>
      </c>
      <c r="W23" s="6">
        <f t="shared" si="2"/>
        <v>14.164991118443179</v>
      </c>
      <c r="X23" s="6">
        <f t="shared" si="3"/>
        <v>9.7873262289563101</v>
      </c>
      <c r="Y23" s="6">
        <f t="shared" si="4"/>
        <v>15.20063570279876</v>
      </c>
      <c r="Z23" s="6">
        <f t="shared" si="5"/>
        <v>18.237557516817112</v>
      </c>
      <c r="AA23" s="6">
        <f t="shared" si="6"/>
        <v>14.985667526569184</v>
      </c>
      <c r="AB23" s="6">
        <f t="shared" si="7"/>
        <v>9.7873262289563101</v>
      </c>
      <c r="AC23" s="6">
        <f t="shared" si="8"/>
        <v>3</v>
      </c>
    </row>
    <row r="24" spans="1:39">
      <c r="A24" s="11">
        <v>23</v>
      </c>
      <c r="B24" s="12">
        <v>5</v>
      </c>
      <c r="C24" s="11">
        <v>3</v>
      </c>
      <c r="D24" s="11">
        <v>4</v>
      </c>
      <c r="E24" s="11">
        <v>3</v>
      </c>
      <c r="F24" s="11">
        <v>4</v>
      </c>
      <c r="G24" s="11">
        <v>3</v>
      </c>
      <c r="H24" s="11">
        <v>3</v>
      </c>
      <c r="I24" s="11">
        <v>2</v>
      </c>
      <c r="J24" s="11">
        <v>2</v>
      </c>
      <c r="K24" s="11">
        <v>3</v>
      </c>
      <c r="L24" s="11">
        <v>2</v>
      </c>
      <c r="M24" s="11">
        <v>4</v>
      </c>
      <c r="N24" s="11">
        <v>2</v>
      </c>
      <c r="O24" s="11">
        <v>4</v>
      </c>
      <c r="P24" s="11">
        <v>4</v>
      </c>
      <c r="Q24" s="11">
        <v>3</v>
      </c>
      <c r="R24" s="11">
        <v>3</v>
      </c>
      <c r="S24" s="11">
        <v>3</v>
      </c>
      <c r="T24" s="11">
        <v>3</v>
      </c>
      <c r="U24" s="10">
        <v>4</v>
      </c>
      <c r="V24" s="6">
        <f t="shared" si="1"/>
        <v>15.847071824941036</v>
      </c>
      <c r="W24" s="6">
        <f t="shared" si="2"/>
        <v>14.488141463816829</v>
      </c>
      <c r="X24" s="6">
        <f t="shared" si="3"/>
        <v>18.912289557166773</v>
      </c>
      <c r="Y24" s="6">
        <f t="shared" si="4"/>
        <v>28.200633560893248</v>
      </c>
      <c r="Z24" s="6">
        <f t="shared" si="5"/>
        <v>17.780246076172382</v>
      </c>
      <c r="AA24" s="6">
        <f t="shared" si="6"/>
        <v>23.27464075529118</v>
      </c>
      <c r="AB24" s="6">
        <f t="shared" si="7"/>
        <v>14.488141463816829</v>
      </c>
      <c r="AC24" s="6">
        <f t="shared" si="8"/>
        <v>2</v>
      </c>
    </row>
    <row r="25" spans="1:39">
      <c r="A25" s="11">
        <v>24</v>
      </c>
      <c r="B25" s="12">
        <v>2</v>
      </c>
      <c r="C25" s="11">
        <v>2</v>
      </c>
      <c r="D25" s="11">
        <v>2</v>
      </c>
      <c r="E25" s="11">
        <v>2</v>
      </c>
      <c r="F25" s="11">
        <v>2</v>
      </c>
      <c r="G25" s="11">
        <v>2</v>
      </c>
      <c r="H25" s="11">
        <v>3</v>
      </c>
      <c r="I25" s="11">
        <v>2</v>
      </c>
      <c r="J25" s="11">
        <v>2</v>
      </c>
      <c r="K25" s="11">
        <v>2</v>
      </c>
      <c r="L25" s="11">
        <v>1</v>
      </c>
      <c r="M25" s="11">
        <v>3</v>
      </c>
      <c r="N25" s="11">
        <v>2</v>
      </c>
      <c r="O25" s="11">
        <v>3</v>
      </c>
      <c r="P25" s="11">
        <v>4</v>
      </c>
      <c r="Q25" s="11">
        <v>3</v>
      </c>
      <c r="R25" s="11">
        <v>2</v>
      </c>
      <c r="S25" s="11">
        <v>4</v>
      </c>
      <c r="T25" s="11">
        <v>3</v>
      </c>
      <c r="U25" s="10">
        <v>3</v>
      </c>
      <c r="V25" s="6">
        <f t="shared" si="1"/>
        <v>34.846977761210802</v>
      </c>
      <c r="W25" s="6">
        <f t="shared" si="2"/>
        <v>9.8572651094093402</v>
      </c>
      <c r="X25" s="6">
        <f t="shared" si="3"/>
        <v>12.745618354701215</v>
      </c>
      <c r="Y25" s="6">
        <f t="shared" si="4"/>
        <v>7.0671349950975699</v>
      </c>
      <c r="Z25" s="6">
        <f t="shared" si="5"/>
        <v>14.75181514702801</v>
      </c>
      <c r="AA25" s="6">
        <f t="shared" si="6"/>
        <v>14.363456979444189</v>
      </c>
      <c r="AB25" s="6">
        <f t="shared" si="7"/>
        <v>7.0671349950975699</v>
      </c>
      <c r="AC25" s="6">
        <f t="shared" si="8"/>
        <v>4</v>
      </c>
    </row>
    <row r="26" spans="1:39">
      <c r="A26" s="11">
        <v>25</v>
      </c>
      <c r="B26" s="12">
        <v>2</v>
      </c>
      <c r="C26" s="11">
        <v>2</v>
      </c>
      <c r="D26" s="11">
        <v>2</v>
      </c>
      <c r="E26" s="11">
        <v>5</v>
      </c>
      <c r="F26" s="11">
        <v>4</v>
      </c>
      <c r="G26" s="11">
        <v>3</v>
      </c>
      <c r="H26" s="11">
        <v>3</v>
      </c>
      <c r="I26" s="11">
        <v>3</v>
      </c>
      <c r="J26" s="11">
        <v>2</v>
      </c>
      <c r="K26" s="11">
        <v>3</v>
      </c>
      <c r="L26" s="11">
        <v>3</v>
      </c>
      <c r="M26" s="11">
        <v>3</v>
      </c>
      <c r="N26" s="11">
        <v>3</v>
      </c>
      <c r="O26" s="11">
        <v>3</v>
      </c>
      <c r="P26" s="11">
        <v>3</v>
      </c>
      <c r="Q26" s="11">
        <v>3</v>
      </c>
      <c r="R26" s="11">
        <v>3</v>
      </c>
      <c r="S26" s="11">
        <v>3</v>
      </c>
      <c r="T26" s="11">
        <v>3</v>
      </c>
      <c r="U26" s="10">
        <v>3</v>
      </c>
      <c r="V26" s="6">
        <f t="shared" si="1"/>
        <v>14.119733580375728</v>
      </c>
      <c r="W26" s="6">
        <f t="shared" si="2"/>
        <v>12.903453978364706</v>
      </c>
      <c r="X26" s="6">
        <f t="shared" si="3"/>
        <v>9.4956279437677757</v>
      </c>
      <c r="Y26" s="6">
        <f t="shared" si="4"/>
        <v>21.511515562909697</v>
      </c>
      <c r="Z26" s="6">
        <f t="shared" si="5"/>
        <v>14.780269153326627</v>
      </c>
      <c r="AA26" s="6">
        <f t="shared" si="6"/>
        <v>17.163554894195684</v>
      </c>
      <c r="AB26" s="6">
        <f t="shared" si="7"/>
        <v>9.4956279437677757</v>
      </c>
      <c r="AC26" s="6">
        <f t="shared" si="8"/>
        <v>3</v>
      </c>
    </row>
    <row r="27" spans="1:39">
      <c r="A27" s="11">
        <v>26</v>
      </c>
      <c r="B27" s="12">
        <v>1</v>
      </c>
      <c r="C27" s="11">
        <v>2</v>
      </c>
      <c r="D27" s="11">
        <v>1</v>
      </c>
      <c r="E27" s="11">
        <v>2</v>
      </c>
      <c r="F27" s="11">
        <v>4</v>
      </c>
      <c r="G27" s="11">
        <v>5</v>
      </c>
      <c r="H27" s="11">
        <v>3</v>
      </c>
      <c r="I27" s="11">
        <v>2</v>
      </c>
      <c r="J27" s="11">
        <v>2</v>
      </c>
      <c r="K27" s="11">
        <v>2</v>
      </c>
      <c r="L27" s="11">
        <v>1</v>
      </c>
      <c r="M27" s="11">
        <v>3</v>
      </c>
      <c r="N27" s="11">
        <v>5</v>
      </c>
      <c r="O27" s="11">
        <v>4</v>
      </c>
      <c r="P27" s="11">
        <v>5</v>
      </c>
      <c r="Q27" s="11">
        <v>1</v>
      </c>
      <c r="R27" s="11">
        <v>4</v>
      </c>
      <c r="S27" s="11">
        <v>2</v>
      </c>
      <c r="T27" s="11">
        <v>3</v>
      </c>
      <c r="U27" s="10">
        <v>4</v>
      </c>
      <c r="V27" s="6">
        <f t="shared" si="1"/>
        <v>45.119681509346023</v>
      </c>
      <c r="W27" s="6">
        <f t="shared" si="2"/>
        <v>33.164891216471645</v>
      </c>
      <c r="X27" s="6">
        <f t="shared" si="3"/>
        <v>32.745671715957663</v>
      </c>
      <c r="Y27" s="6">
        <f t="shared" si="4"/>
        <v>22.556083937102802</v>
      </c>
      <c r="Z27" s="6">
        <f t="shared" si="5"/>
        <v>31.866143757398479</v>
      </c>
      <c r="AA27" s="6">
        <f t="shared" si="6"/>
        <v>28.230177574250352</v>
      </c>
      <c r="AB27" s="6">
        <f t="shared" si="7"/>
        <v>22.556083937102802</v>
      </c>
      <c r="AC27" s="6">
        <f t="shared" si="8"/>
        <v>4</v>
      </c>
      <c r="AE27" s="21"/>
    </row>
    <row r="28" spans="1:39">
      <c r="A28" s="11">
        <v>27</v>
      </c>
      <c r="B28" s="12">
        <v>4</v>
      </c>
      <c r="C28" s="11">
        <v>1</v>
      </c>
      <c r="D28" s="11">
        <v>2</v>
      </c>
      <c r="E28" s="11">
        <v>4</v>
      </c>
      <c r="F28" s="11">
        <v>4</v>
      </c>
      <c r="G28" s="11">
        <v>4</v>
      </c>
      <c r="H28" s="11">
        <v>4</v>
      </c>
      <c r="I28" s="11">
        <v>1</v>
      </c>
      <c r="J28" s="11">
        <v>1</v>
      </c>
      <c r="K28" s="11">
        <v>2</v>
      </c>
      <c r="L28" s="11">
        <v>1</v>
      </c>
      <c r="M28" s="11">
        <v>2</v>
      </c>
      <c r="N28" s="11">
        <v>2</v>
      </c>
      <c r="O28" s="11">
        <v>5</v>
      </c>
      <c r="P28" s="11">
        <v>5</v>
      </c>
      <c r="Q28" s="11">
        <v>5</v>
      </c>
      <c r="R28" s="11">
        <v>2</v>
      </c>
      <c r="S28" s="11">
        <v>1</v>
      </c>
      <c r="T28" s="11">
        <v>2</v>
      </c>
      <c r="U28" s="10">
        <v>4</v>
      </c>
      <c r="V28" s="6">
        <f t="shared" si="1"/>
        <v>53.301523257034241</v>
      </c>
      <c r="W28" s="6">
        <f t="shared" si="2"/>
        <v>30.149592029495278</v>
      </c>
      <c r="X28" s="6">
        <f t="shared" si="3"/>
        <v>44.495574444654338</v>
      </c>
      <c r="Y28" s="6">
        <f t="shared" si="4"/>
        <v>42.422564445289211</v>
      </c>
      <c r="Z28" s="6">
        <f t="shared" si="5"/>
        <v>23.63754339394016</v>
      </c>
      <c r="AA28" s="6">
        <f t="shared" si="6"/>
        <v>27.741276624213839</v>
      </c>
      <c r="AB28" s="6">
        <f t="shared" si="7"/>
        <v>23.63754339394016</v>
      </c>
      <c r="AC28" s="6">
        <f t="shared" si="8"/>
        <v>5</v>
      </c>
      <c r="AE28" s="21"/>
    </row>
    <row r="29" spans="1:39">
      <c r="A29" s="11">
        <v>28</v>
      </c>
      <c r="B29" s="12">
        <v>2</v>
      </c>
      <c r="C29" s="11">
        <v>2</v>
      </c>
      <c r="D29" s="11">
        <v>2</v>
      </c>
      <c r="E29" s="11">
        <v>2</v>
      </c>
      <c r="F29" s="11">
        <v>1</v>
      </c>
      <c r="G29" s="11">
        <v>3</v>
      </c>
      <c r="H29" s="11">
        <v>3</v>
      </c>
      <c r="I29" s="11">
        <v>1</v>
      </c>
      <c r="J29" s="11">
        <v>2</v>
      </c>
      <c r="K29" s="11">
        <v>4</v>
      </c>
      <c r="L29" s="11">
        <v>1</v>
      </c>
      <c r="M29" s="11">
        <v>3</v>
      </c>
      <c r="N29" s="11">
        <v>2</v>
      </c>
      <c r="O29" s="11">
        <v>4</v>
      </c>
      <c r="P29" s="11">
        <v>3</v>
      </c>
      <c r="Q29" s="11">
        <v>2</v>
      </c>
      <c r="R29" s="11">
        <v>3</v>
      </c>
      <c r="S29" s="11">
        <v>4</v>
      </c>
      <c r="T29" s="11">
        <v>4</v>
      </c>
      <c r="U29" s="10">
        <v>3</v>
      </c>
      <c r="V29" s="6">
        <f t="shared" si="1"/>
        <v>39.665206214141278</v>
      </c>
      <c r="W29" s="6">
        <f t="shared" si="2"/>
        <v>20.072644029611144</v>
      </c>
      <c r="X29" s="6">
        <f t="shared" si="3"/>
        <v>18.953978454224583</v>
      </c>
      <c r="Y29" s="6">
        <f t="shared" si="4"/>
        <v>10.356068618949328</v>
      </c>
      <c r="Z29" s="6">
        <f t="shared" si="5"/>
        <v>18.894737369376713</v>
      </c>
      <c r="AA29" s="6">
        <f t="shared" si="6"/>
        <v>17.830117543486601</v>
      </c>
      <c r="AB29" s="6">
        <f t="shared" si="7"/>
        <v>10.356068618949328</v>
      </c>
      <c r="AC29" s="6">
        <f t="shared" si="8"/>
        <v>4</v>
      </c>
      <c r="AE29" s="21"/>
    </row>
    <row r="30" spans="1:39">
      <c r="A30" s="11">
        <v>29</v>
      </c>
      <c r="B30" s="12">
        <v>2</v>
      </c>
      <c r="C30" s="11">
        <v>3</v>
      </c>
      <c r="D30" s="11">
        <v>4</v>
      </c>
      <c r="E30" s="11">
        <v>3</v>
      </c>
      <c r="F30" s="11">
        <v>2</v>
      </c>
      <c r="G30" s="11">
        <v>3</v>
      </c>
      <c r="H30" s="11">
        <v>2</v>
      </c>
      <c r="I30" s="11">
        <v>1</v>
      </c>
      <c r="J30" s="11">
        <v>2</v>
      </c>
      <c r="K30" s="11">
        <v>1</v>
      </c>
      <c r="L30" s="11">
        <v>2</v>
      </c>
      <c r="M30" s="11">
        <v>3</v>
      </c>
      <c r="N30" s="11">
        <v>5</v>
      </c>
      <c r="O30" s="11">
        <v>4</v>
      </c>
      <c r="P30" s="11">
        <v>5</v>
      </c>
      <c r="Q30" s="11">
        <v>4</v>
      </c>
      <c r="R30" s="11">
        <v>3</v>
      </c>
      <c r="S30" s="11">
        <v>2</v>
      </c>
      <c r="T30" s="11">
        <v>3</v>
      </c>
      <c r="U30" s="10">
        <v>4</v>
      </c>
      <c r="V30" s="6">
        <f t="shared" si="1"/>
        <v>36.665202463674923</v>
      </c>
      <c r="W30" s="6">
        <f t="shared" si="2"/>
        <v>22.518832467926124</v>
      </c>
      <c r="X30" s="6">
        <f t="shared" si="3"/>
        <v>29.995673455377709</v>
      </c>
      <c r="Y30" s="6">
        <f t="shared" si="4"/>
        <v>25.533818073837384</v>
      </c>
      <c r="Z30" s="6">
        <f t="shared" si="5"/>
        <v>32.408903404851365</v>
      </c>
      <c r="AA30" s="6">
        <f t="shared" si="6"/>
        <v>29.83018015152798</v>
      </c>
      <c r="AB30" s="6">
        <f t="shared" si="7"/>
        <v>22.518832467926124</v>
      </c>
      <c r="AC30" s="6">
        <f t="shared" si="8"/>
        <v>2</v>
      </c>
      <c r="AE30" s="21"/>
    </row>
    <row r="31" spans="1:39">
      <c r="A31" s="11">
        <v>30</v>
      </c>
      <c r="B31" s="12">
        <v>4</v>
      </c>
      <c r="C31" s="11">
        <v>3</v>
      </c>
      <c r="D31" s="11">
        <v>1</v>
      </c>
      <c r="E31" s="11">
        <v>5</v>
      </c>
      <c r="F31" s="11">
        <v>1</v>
      </c>
      <c r="G31" s="11">
        <v>1</v>
      </c>
      <c r="H31" s="11">
        <v>3</v>
      </c>
      <c r="I31" s="11">
        <v>3</v>
      </c>
      <c r="J31" s="11">
        <v>3</v>
      </c>
      <c r="K31" s="11">
        <v>4</v>
      </c>
      <c r="L31" s="11">
        <v>1</v>
      </c>
      <c r="M31" s="11">
        <v>1</v>
      </c>
      <c r="N31" s="11">
        <v>4</v>
      </c>
      <c r="O31" s="11">
        <v>2</v>
      </c>
      <c r="P31" s="11">
        <v>5</v>
      </c>
      <c r="Q31" s="11">
        <v>1</v>
      </c>
      <c r="R31" s="11">
        <v>1</v>
      </c>
      <c r="S31" s="11">
        <v>1</v>
      </c>
      <c r="T31" s="11">
        <v>3</v>
      </c>
      <c r="U31" s="10">
        <v>1</v>
      </c>
      <c r="V31" s="6">
        <f t="shared" si="1"/>
        <v>65.483255959734663</v>
      </c>
      <c r="W31" s="6">
        <f t="shared" si="2"/>
        <v>49.257148578024605</v>
      </c>
      <c r="X31" s="6">
        <f t="shared" si="3"/>
        <v>43.203888078405043</v>
      </c>
      <c r="Y31" s="6">
        <f t="shared" si="4"/>
        <v>48.778290229934456</v>
      </c>
      <c r="Z31" s="6">
        <f t="shared" si="5"/>
        <v>50.008791392031419</v>
      </c>
      <c r="AA31" s="6">
        <f t="shared" si="6"/>
        <v>31.452332006428293</v>
      </c>
      <c r="AB31" s="6">
        <f t="shared" si="7"/>
        <v>31.452332006428293</v>
      </c>
      <c r="AC31" s="6">
        <f t="shared" si="8"/>
        <v>6</v>
      </c>
      <c r="AE31" s="21"/>
    </row>
    <row r="32" spans="1:39">
      <c r="A32" s="11">
        <v>31</v>
      </c>
      <c r="B32" s="12">
        <v>3</v>
      </c>
      <c r="C32" s="11">
        <v>2</v>
      </c>
      <c r="D32" s="11">
        <v>2</v>
      </c>
      <c r="E32" s="11">
        <v>4</v>
      </c>
      <c r="F32" s="11">
        <v>4</v>
      </c>
      <c r="G32" s="11">
        <v>4</v>
      </c>
      <c r="H32" s="11">
        <v>3</v>
      </c>
      <c r="I32" s="11">
        <v>2</v>
      </c>
      <c r="J32" s="11">
        <v>2</v>
      </c>
      <c r="K32" s="11">
        <v>2</v>
      </c>
      <c r="L32" s="11">
        <v>2</v>
      </c>
      <c r="M32" s="11">
        <v>2</v>
      </c>
      <c r="N32" s="11">
        <v>2</v>
      </c>
      <c r="O32" s="11">
        <v>2</v>
      </c>
      <c r="P32" s="11">
        <v>2</v>
      </c>
      <c r="Q32" s="11">
        <v>2</v>
      </c>
      <c r="R32" s="11">
        <v>3</v>
      </c>
      <c r="S32" s="11">
        <v>4</v>
      </c>
      <c r="T32" s="11">
        <v>2</v>
      </c>
      <c r="U32" s="10">
        <v>5</v>
      </c>
      <c r="V32" s="6">
        <f t="shared" si="1"/>
        <v>23.665130795247663</v>
      </c>
      <c r="W32" s="6">
        <f t="shared" si="2"/>
        <v>11.226560381840738</v>
      </c>
      <c r="X32" s="6">
        <f t="shared" si="3"/>
        <v>21.037246798867166</v>
      </c>
      <c r="Y32" s="6">
        <f t="shared" si="4"/>
        <v>23.089423709222068</v>
      </c>
      <c r="Z32" s="6">
        <f t="shared" si="5"/>
        <v>15.637343936360777</v>
      </c>
      <c r="AA32" s="6">
        <f t="shared" si="6"/>
        <v>28.852525998748469</v>
      </c>
      <c r="AB32" s="6">
        <f t="shared" si="7"/>
        <v>11.226560381840738</v>
      </c>
      <c r="AC32" s="6">
        <f t="shared" si="8"/>
        <v>2</v>
      </c>
      <c r="AE32" s="21"/>
    </row>
    <row r="33" spans="1:29">
      <c r="A33" s="11">
        <v>32</v>
      </c>
      <c r="B33" s="12">
        <v>4</v>
      </c>
      <c r="C33" s="11">
        <v>2</v>
      </c>
      <c r="D33" s="11">
        <v>2</v>
      </c>
      <c r="E33" s="11">
        <v>2</v>
      </c>
      <c r="F33" s="11">
        <v>3</v>
      </c>
      <c r="G33" s="11">
        <v>3</v>
      </c>
      <c r="H33" s="11">
        <v>4</v>
      </c>
      <c r="I33" s="11">
        <v>1</v>
      </c>
      <c r="J33" s="11">
        <v>1</v>
      </c>
      <c r="K33" s="11">
        <v>3</v>
      </c>
      <c r="L33" s="11">
        <v>2</v>
      </c>
      <c r="M33" s="11">
        <v>2</v>
      </c>
      <c r="N33" s="11">
        <v>3</v>
      </c>
      <c r="O33" s="11">
        <v>4</v>
      </c>
      <c r="P33" s="11">
        <v>5</v>
      </c>
      <c r="Q33" s="11">
        <v>3</v>
      </c>
      <c r="R33" s="11">
        <v>2</v>
      </c>
      <c r="S33" s="11">
        <v>1</v>
      </c>
      <c r="T33" s="11">
        <v>3</v>
      </c>
      <c r="U33" s="10">
        <v>1</v>
      </c>
      <c r="V33" s="6">
        <f t="shared" si="1"/>
        <v>45.665237320399875</v>
      </c>
      <c r="W33" s="6">
        <f t="shared" si="2"/>
        <v>24.687943575234804</v>
      </c>
      <c r="X33" s="6">
        <f t="shared" si="3"/>
        <v>28.870582796991322</v>
      </c>
      <c r="Y33" s="6">
        <f t="shared" si="4"/>
        <v>25.422748549292848</v>
      </c>
      <c r="Z33" s="6">
        <f t="shared" si="5"/>
        <v>22.466115046528291</v>
      </c>
      <c r="AA33" s="6">
        <f t="shared" si="6"/>
        <v>7.852317901217976</v>
      </c>
      <c r="AB33" s="6">
        <f t="shared" si="7"/>
        <v>7.852317901217976</v>
      </c>
      <c r="AC33" s="6">
        <f t="shared" si="8"/>
        <v>6</v>
      </c>
    </row>
    <row r="34" spans="1:29">
      <c r="A34" s="11">
        <v>33</v>
      </c>
      <c r="B34" s="12">
        <v>2</v>
      </c>
      <c r="C34" s="11">
        <v>2</v>
      </c>
      <c r="D34" s="11">
        <v>3</v>
      </c>
      <c r="E34" s="11">
        <v>5</v>
      </c>
      <c r="F34" s="11">
        <v>3</v>
      </c>
      <c r="G34" s="11">
        <v>3</v>
      </c>
      <c r="H34" s="11">
        <v>4</v>
      </c>
      <c r="I34" s="11">
        <v>3</v>
      </c>
      <c r="J34" s="11">
        <v>4</v>
      </c>
      <c r="K34" s="11">
        <v>2</v>
      </c>
      <c r="L34" s="11">
        <v>2</v>
      </c>
      <c r="M34" s="11">
        <v>1</v>
      </c>
      <c r="N34" s="11">
        <v>2</v>
      </c>
      <c r="O34" s="11">
        <v>2</v>
      </c>
      <c r="P34" s="11">
        <v>1</v>
      </c>
      <c r="Q34" s="11">
        <v>5</v>
      </c>
      <c r="R34" s="11">
        <v>1</v>
      </c>
      <c r="S34" s="11">
        <v>1</v>
      </c>
      <c r="T34" s="11">
        <v>1</v>
      </c>
      <c r="U34" s="10">
        <v>5</v>
      </c>
      <c r="V34" s="6">
        <f t="shared" si="1"/>
        <v>48.028635444838436</v>
      </c>
      <c r="W34" s="6">
        <f t="shared" si="2"/>
        <v>32.672750343220251</v>
      </c>
      <c r="X34" s="6">
        <f t="shared" si="3"/>
        <v>46.328862691760392</v>
      </c>
      <c r="Y34" s="6">
        <f t="shared" si="4"/>
        <v>56.289263818849463</v>
      </c>
      <c r="Z34" s="6">
        <f t="shared" si="5"/>
        <v>45.522998864317266</v>
      </c>
      <c r="AA34" s="6">
        <f t="shared" si="6"/>
        <v>56.163675588905285</v>
      </c>
      <c r="AB34" s="6">
        <f t="shared" si="7"/>
        <v>32.672750343220251</v>
      </c>
      <c r="AC34" s="6">
        <f t="shared" si="8"/>
        <v>2</v>
      </c>
    </row>
    <row r="35" spans="1:29">
      <c r="A35" s="11">
        <v>34</v>
      </c>
      <c r="B35" s="12">
        <v>2</v>
      </c>
      <c r="C35" s="11">
        <v>2</v>
      </c>
      <c r="D35" s="11">
        <v>2</v>
      </c>
      <c r="E35" s="11">
        <v>2</v>
      </c>
      <c r="F35" s="11">
        <v>4</v>
      </c>
      <c r="G35" s="11">
        <v>4</v>
      </c>
      <c r="H35" s="11">
        <v>4</v>
      </c>
      <c r="I35" s="11">
        <v>1</v>
      </c>
      <c r="J35" s="11">
        <v>1</v>
      </c>
      <c r="K35" s="11">
        <v>2</v>
      </c>
      <c r="L35" s="11">
        <v>2</v>
      </c>
      <c r="M35" s="11">
        <v>2</v>
      </c>
      <c r="N35" s="11">
        <v>4</v>
      </c>
      <c r="O35" s="11">
        <v>5</v>
      </c>
      <c r="P35" s="11">
        <v>5</v>
      </c>
      <c r="Q35" s="11">
        <v>5</v>
      </c>
      <c r="R35" s="11">
        <v>2</v>
      </c>
      <c r="S35" s="11">
        <v>1</v>
      </c>
      <c r="T35" s="11">
        <v>4</v>
      </c>
      <c r="U35" s="10">
        <v>5</v>
      </c>
      <c r="V35" s="6">
        <f t="shared" si="1"/>
        <v>49.392511052211454</v>
      </c>
      <c r="W35" s="6">
        <f t="shared" si="2"/>
        <v>32.688073315852101</v>
      </c>
      <c r="X35" s="6">
        <f t="shared" si="3"/>
        <v>38.370617360285451</v>
      </c>
      <c r="Y35" s="6">
        <f t="shared" si="4"/>
        <v>33.511688238578976</v>
      </c>
      <c r="Z35" s="6">
        <f t="shared" si="5"/>
        <v>28.323384505909932</v>
      </c>
      <c r="AA35" s="6">
        <f t="shared" si="6"/>
        <v>32.652364118998484</v>
      </c>
      <c r="AB35" s="6">
        <f t="shared" si="7"/>
        <v>28.323384505909932</v>
      </c>
      <c r="AC35" s="6">
        <f t="shared" si="8"/>
        <v>5</v>
      </c>
    </row>
    <row r="36" spans="1:29">
      <c r="A36" s="11">
        <v>35</v>
      </c>
      <c r="B36" s="12">
        <v>5</v>
      </c>
      <c r="C36" s="11">
        <v>4</v>
      </c>
      <c r="D36" s="11">
        <v>4</v>
      </c>
      <c r="E36" s="11">
        <v>5</v>
      </c>
      <c r="F36" s="11">
        <v>5</v>
      </c>
      <c r="G36" s="11">
        <v>4</v>
      </c>
      <c r="H36" s="11">
        <v>4</v>
      </c>
      <c r="I36" s="11">
        <v>3</v>
      </c>
      <c r="J36" s="11">
        <v>4</v>
      </c>
      <c r="K36" s="11">
        <v>2</v>
      </c>
      <c r="L36" s="11">
        <v>1</v>
      </c>
      <c r="M36" s="11">
        <v>2</v>
      </c>
      <c r="N36" s="11">
        <v>3</v>
      </c>
      <c r="O36" s="11">
        <v>2</v>
      </c>
      <c r="P36" s="11">
        <v>4</v>
      </c>
      <c r="Q36" s="11">
        <v>4</v>
      </c>
      <c r="R36" s="11">
        <v>3</v>
      </c>
      <c r="S36" s="11">
        <v>4</v>
      </c>
      <c r="T36" s="11">
        <v>4</v>
      </c>
      <c r="U36" s="10">
        <v>4</v>
      </c>
      <c r="V36" s="6">
        <f t="shared" si="1"/>
        <v>15.483482731419338</v>
      </c>
      <c r="W36" s="6">
        <f t="shared" si="2"/>
        <v>37.272873039612023</v>
      </c>
      <c r="X36" s="6">
        <f t="shared" si="3"/>
        <v>33.203968950498769</v>
      </c>
      <c r="Y36" s="6">
        <f t="shared" si="4"/>
        <v>58.889477375402429</v>
      </c>
      <c r="Z36" s="6">
        <f t="shared" si="5"/>
        <v>38.637256142977868</v>
      </c>
      <c r="AA36" s="6">
        <f t="shared" si="6"/>
        <v>50.363665388791759</v>
      </c>
      <c r="AB36" s="6">
        <f t="shared" si="7"/>
        <v>15.483482731419338</v>
      </c>
      <c r="AC36" s="6">
        <f t="shared" si="8"/>
        <v>1</v>
      </c>
    </row>
    <row r="37" spans="1:29">
      <c r="A37" s="11">
        <v>36</v>
      </c>
      <c r="B37" s="12">
        <v>3</v>
      </c>
      <c r="C37" s="11">
        <v>2</v>
      </c>
      <c r="D37" s="11">
        <v>2</v>
      </c>
      <c r="E37" s="11">
        <v>2</v>
      </c>
      <c r="F37" s="11">
        <v>2</v>
      </c>
      <c r="G37" s="11">
        <v>3</v>
      </c>
      <c r="H37" s="11">
        <v>3</v>
      </c>
      <c r="I37" s="11">
        <v>4</v>
      </c>
      <c r="J37" s="11">
        <v>2</v>
      </c>
      <c r="K37" s="11">
        <v>3</v>
      </c>
      <c r="L37" s="11">
        <v>3</v>
      </c>
      <c r="M37" s="11">
        <v>4</v>
      </c>
      <c r="N37" s="11">
        <v>5</v>
      </c>
      <c r="O37" s="11">
        <v>4</v>
      </c>
      <c r="P37" s="11">
        <v>4</v>
      </c>
      <c r="Q37" s="11">
        <v>2</v>
      </c>
      <c r="R37" s="11">
        <v>2</v>
      </c>
      <c r="S37" s="11">
        <v>2</v>
      </c>
      <c r="T37" s="11">
        <v>2</v>
      </c>
      <c r="U37" s="10">
        <v>1</v>
      </c>
      <c r="V37" s="6">
        <f t="shared" si="1"/>
        <v>38.846940873970823</v>
      </c>
      <c r="W37" s="6">
        <f t="shared" si="2"/>
        <v>27.672539773048676</v>
      </c>
      <c r="X37" s="6">
        <f t="shared" si="3"/>
        <v>24.620646991775182</v>
      </c>
      <c r="Y37" s="6">
        <f t="shared" si="4"/>
        <v>24.667253726702395</v>
      </c>
      <c r="Z37" s="6">
        <f t="shared" si="5"/>
        <v>34.180358360454584</v>
      </c>
      <c r="AA37" s="6">
        <f t="shared" si="6"/>
        <v>17.674578155093656</v>
      </c>
      <c r="AB37" s="6">
        <f t="shared" si="7"/>
        <v>17.674578155093656</v>
      </c>
      <c r="AC37" s="6">
        <f t="shared" si="8"/>
        <v>6</v>
      </c>
    </row>
    <row r="38" spans="1:29">
      <c r="A38" s="11">
        <v>37</v>
      </c>
      <c r="B38" s="12">
        <v>1</v>
      </c>
      <c r="C38" s="11">
        <v>1</v>
      </c>
      <c r="D38" s="11">
        <v>1</v>
      </c>
      <c r="E38" s="11">
        <v>2</v>
      </c>
      <c r="F38" s="11">
        <v>4</v>
      </c>
      <c r="G38" s="11">
        <v>3</v>
      </c>
      <c r="H38" s="11">
        <v>4</v>
      </c>
      <c r="I38" s="11">
        <v>2</v>
      </c>
      <c r="J38" s="11">
        <v>4</v>
      </c>
      <c r="K38" s="11">
        <v>4</v>
      </c>
      <c r="L38" s="11">
        <v>1</v>
      </c>
      <c r="M38" s="11">
        <v>3</v>
      </c>
      <c r="N38" s="11">
        <v>3</v>
      </c>
      <c r="O38" s="11">
        <v>2</v>
      </c>
      <c r="P38" s="11">
        <v>1</v>
      </c>
      <c r="Q38" s="11">
        <v>1</v>
      </c>
      <c r="R38" s="11">
        <v>1</v>
      </c>
      <c r="S38" s="11">
        <v>1</v>
      </c>
      <c r="T38" s="11">
        <v>1</v>
      </c>
      <c r="U38" s="10">
        <v>1</v>
      </c>
      <c r="V38" s="6">
        <f t="shared" si="1"/>
        <v>65.028705268406171</v>
      </c>
      <c r="W38" s="6">
        <f t="shared" si="2"/>
        <v>41.857143003260241</v>
      </c>
      <c r="X38" s="6">
        <f t="shared" si="3"/>
        <v>47.995497599519524</v>
      </c>
      <c r="Y38" s="6">
        <f t="shared" si="4"/>
        <v>42.66700775054224</v>
      </c>
      <c r="Z38" s="6">
        <f t="shared" si="5"/>
        <v>51.437355767378186</v>
      </c>
      <c r="AA38" s="6">
        <f t="shared" si="6"/>
        <v>39.163543808509957</v>
      </c>
      <c r="AB38" s="6">
        <f t="shared" si="7"/>
        <v>39.163543808509957</v>
      </c>
      <c r="AC38" s="6">
        <f t="shared" si="8"/>
        <v>6</v>
      </c>
    </row>
    <row r="39" spans="1:29">
      <c r="A39" s="11">
        <v>38</v>
      </c>
      <c r="B39" s="12">
        <v>3</v>
      </c>
      <c r="C39" s="11">
        <v>2</v>
      </c>
      <c r="D39" s="11">
        <v>1</v>
      </c>
      <c r="E39" s="11">
        <v>2</v>
      </c>
      <c r="F39" s="11">
        <v>3</v>
      </c>
      <c r="G39" s="11">
        <v>4</v>
      </c>
      <c r="H39" s="11">
        <v>3</v>
      </c>
      <c r="I39" s="11">
        <v>3</v>
      </c>
      <c r="J39" s="11">
        <v>1</v>
      </c>
      <c r="K39" s="11">
        <v>4</v>
      </c>
      <c r="L39" s="11">
        <v>1</v>
      </c>
      <c r="M39" s="11">
        <v>1</v>
      </c>
      <c r="N39" s="11">
        <v>2</v>
      </c>
      <c r="O39" s="11">
        <v>5</v>
      </c>
      <c r="P39" s="11">
        <v>3</v>
      </c>
      <c r="Q39" s="11">
        <v>2</v>
      </c>
      <c r="R39" s="11">
        <v>3</v>
      </c>
      <c r="S39" s="11">
        <v>1</v>
      </c>
      <c r="T39" s="11">
        <v>3</v>
      </c>
      <c r="U39" s="10">
        <v>4</v>
      </c>
      <c r="V39" s="6">
        <f t="shared" si="1"/>
        <v>46.574105875574979</v>
      </c>
      <c r="W39" s="6">
        <f t="shared" si="2"/>
        <v>23.026427784427749</v>
      </c>
      <c r="X39" s="6">
        <f t="shared" si="3"/>
        <v>25.370618418267629</v>
      </c>
      <c r="Y39" s="6">
        <f t="shared" si="4"/>
        <v>21.511788569039176</v>
      </c>
      <c r="Z39" s="6">
        <f t="shared" si="5"/>
        <v>15.294752540522254</v>
      </c>
      <c r="AA39" s="6">
        <f t="shared" si="6"/>
        <v>15.496804536113519</v>
      </c>
      <c r="AB39" s="6">
        <f t="shared" si="7"/>
        <v>15.294752540522254</v>
      </c>
      <c r="AC39" s="6">
        <f t="shared" si="8"/>
        <v>5</v>
      </c>
    </row>
    <row r="40" spans="1:29">
      <c r="A40" s="11">
        <v>39</v>
      </c>
      <c r="B40" s="12">
        <v>3</v>
      </c>
      <c r="C40" s="11">
        <v>3</v>
      </c>
      <c r="D40" s="11">
        <v>4</v>
      </c>
      <c r="E40" s="11">
        <v>3</v>
      </c>
      <c r="F40" s="11">
        <v>4</v>
      </c>
      <c r="G40" s="11">
        <v>2</v>
      </c>
      <c r="H40" s="11">
        <v>3</v>
      </c>
      <c r="I40" s="11">
        <v>2</v>
      </c>
      <c r="J40" s="11">
        <v>2</v>
      </c>
      <c r="K40" s="11">
        <v>2</v>
      </c>
      <c r="L40" s="11">
        <v>2</v>
      </c>
      <c r="M40" s="11">
        <v>2</v>
      </c>
      <c r="N40" s="11">
        <v>2</v>
      </c>
      <c r="O40" s="11">
        <v>4</v>
      </c>
      <c r="P40" s="11">
        <v>3</v>
      </c>
      <c r="Q40" s="11">
        <v>3</v>
      </c>
      <c r="R40" s="11">
        <v>2</v>
      </c>
      <c r="S40" s="11">
        <v>3</v>
      </c>
      <c r="T40" s="11">
        <v>3</v>
      </c>
      <c r="U40" s="10">
        <v>4</v>
      </c>
      <c r="V40" s="6">
        <f t="shared" si="1"/>
        <v>18.847009044083848</v>
      </c>
      <c r="W40" s="6">
        <f t="shared" si="2"/>
        <v>7.2881078726189896</v>
      </c>
      <c r="X40" s="6">
        <f t="shared" si="3"/>
        <v>13.287253091115112</v>
      </c>
      <c r="Y40" s="6">
        <f t="shared" si="4"/>
        <v>19.578300124123107</v>
      </c>
      <c r="Z40" s="6">
        <f t="shared" si="5"/>
        <v>10.180293319263262</v>
      </c>
      <c r="AA40" s="6">
        <f t="shared" si="6"/>
        <v>20.141290062124369</v>
      </c>
      <c r="AB40" s="6">
        <f t="shared" si="7"/>
        <v>7.2881078726189896</v>
      </c>
      <c r="AC40" s="6">
        <f t="shared" si="8"/>
        <v>2</v>
      </c>
    </row>
    <row r="41" spans="1:29">
      <c r="A41" s="11">
        <v>40</v>
      </c>
      <c r="B41" s="12">
        <v>3</v>
      </c>
      <c r="C41" s="11">
        <v>3</v>
      </c>
      <c r="D41" s="11">
        <v>4</v>
      </c>
      <c r="E41" s="11">
        <v>2</v>
      </c>
      <c r="F41" s="11">
        <v>4</v>
      </c>
      <c r="G41" s="11">
        <v>3</v>
      </c>
      <c r="H41" s="11">
        <v>2</v>
      </c>
      <c r="I41" s="11">
        <v>3</v>
      </c>
      <c r="J41" s="11">
        <v>4</v>
      </c>
      <c r="K41" s="11">
        <v>3</v>
      </c>
      <c r="L41" s="11">
        <v>4</v>
      </c>
      <c r="M41" s="11">
        <v>2</v>
      </c>
      <c r="N41" s="11">
        <v>1</v>
      </c>
      <c r="O41" s="11">
        <v>1</v>
      </c>
      <c r="P41" s="11">
        <v>5</v>
      </c>
      <c r="Q41" s="11">
        <v>4</v>
      </c>
      <c r="R41" s="11">
        <v>3</v>
      </c>
      <c r="S41" s="11">
        <v>4</v>
      </c>
      <c r="T41" s="11">
        <v>5</v>
      </c>
      <c r="U41" s="10">
        <v>2</v>
      </c>
      <c r="V41" s="6">
        <f t="shared" si="1"/>
        <v>27.301705527572206</v>
      </c>
      <c r="W41" s="6">
        <f t="shared" si="2"/>
        <v>40.518940861850112</v>
      </c>
      <c r="X41" s="6">
        <f t="shared" si="3"/>
        <v>23.204031738038399</v>
      </c>
      <c r="Y41" s="6">
        <f t="shared" si="4"/>
        <v>49.445040040814305</v>
      </c>
      <c r="Z41" s="6">
        <f t="shared" si="5"/>
        <v>46.980189863268066</v>
      </c>
      <c r="AA41" s="6">
        <f t="shared" si="6"/>
        <v>44.185793781939083</v>
      </c>
      <c r="AB41" s="6">
        <f t="shared" si="7"/>
        <v>23.204031738038399</v>
      </c>
      <c r="AC41" s="6">
        <f t="shared" si="8"/>
        <v>3</v>
      </c>
    </row>
    <row r="42" spans="1:29">
      <c r="A42" s="11">
        <v>41</v>
      </c>
      <c r="B42" s="12">
        <v>2</v>
      </c>
      <c r="C42" s="11">
        <v>2</v>
      </c>
      <c r="D42" s="11">
        <v>2</v>
      </c>
      <c r="E42" s="11">
        <v>2</v>
      </c>
      <c r="F42" s="11">
        <v>2</v>
      </c>
      <c r="G42" s="11">
        <v>4</v>
      </c>
      <c r="H42" s="11">
        <v>3</v>
      </c>
      <c r="I42" s="11">
        <v>1</v>
      </c>
      <c r="J42" s="11">
        <v>1</v>
      </c>
      <c r="K42" s="11">
        <v>3</v>
      </c>
      <c r="L42" s="11">
        <v>2</v>
      </c>
      <c r="M42" s="11">
        <v>4</v>
      </c>
      <c r="N42" s="11">
        <v>4</v>
      </c>
      <c r="O42" s="11">
        <v>4</v>
      </c>
      <c r="P42" s="11">
        <v>4</v>
      </c>
      <c r="Q42" s="11">
        <v>2</v>
      </c>
      <c r="R42" s="11">
        <v>3</v>
      </c>
      <c r="S42" s="11">
        <v>2</v>
      </c>
      <c r="T42" s="11">
        <v>2</v>
      </c>
      <c r="U42" s="10">
        <v>4</v>
      </c>
      <c r="V42" s="6">
        <f t="shared" si="1"/>
        <v>38.574245069122192</v>
      </c>
      <c r="W42" s="6">
        <f t="shared" si="2"/>
        <v>14.995670630381639</v>
      </c>
      <c r="X42" s="6">
        <f t="shared" si="3"/>
        <v>24.745632305469552</v>
      </c>
      <c r="Y42" s="6">
        <f t="shared" si="4"/>
        <v>10.800581621845941</v>
      </c>
      <c r="Z42" s="6">
        <f t="shared" si="5"/>
        <v>19.980412238571585</v>
      </c>
      <c r="AA42" s="6">
        <f t="shared" si="6"/>
        <v>16.296837190895801</v>
      </c>
      <c r="AB42" s="6">
        <f t="shared" si="7"/>
        <v>10.800581621845941</v>
      </c>
      <c r="AC42" s="6">
        <f t="shared" si="8"/>
        <v>4</v>
      </c>
    </row>
    <row r="43" spans="1:29">
      <c r="A43" s="11">
        <v>42</v>
      </c>
      <c r="B43" s="12">
        <v>2</v>
      </c>
      <c r="C43" s="11">
        <v>3</v>
      </c>
      <c r="D43" s="11">
        <v>2</v>
      </c>
      <c r="E43" s="11">
        <v>1</v>
      </c>
      <c r="F43" s="11">
        <v>2</v>
      </c>
      <c r="G43" s="11">
        <v>2</v>
      </c>
      <c r="H43" s="11">
        <v>3</v>
      </c>
      <c r="I43" s="11">
        <v>1</v>
      </c>
      <c r="J43" s="11">
        <v>1</v>
      </c>
      <c r="K43" s="11">
        <v>2</v>
      </c>
      <c r="L43" s="11">
        <v>2</v>
      </c>
      <c r="M43" s="11">
        <v>1</v>
      </c>
      <c r="N43" s="11">
        <v>1</v>
      </c>
      <c r="O43" s="11">
        <v>4</v>
      </c>
      <c r="P43" s="11">
        <v>4</v>
      </c>
      <c r="Q43" s="11">
        <v>2</v>
      </c>
      <c r="R43" s="11">
        <v>3</v>
      </c>
      <c r="S43" s="11">
        <v>2</v>
      </c>
      <c r="T43" s="11">
        <v>3</v>
      </c>
      <c r="U43" s="10">
        <v>2</v>
      </c>
      <c r="V43" s="6">
        <f t="shared" si="1"/>
        <v>55.392425383559257</v>
      </c>
      <c r="W43" s="6">
        <f t="shared" si="2"/>
        <v>21.180247721470749</v>
      </c>
      <c r="X43" s="6">
        <f t="shared" si="3"/>
        <v>25.91227844449066</v>
      </c>
      <c r="Y43" s="6">
        <f t="shared" si="4"/>
        <v>16.889525973824671</v>
      </c>
      <c r="Z43" s="6">
        <f t="shared" si="5"/>
        <v>22.494745866671227</v>
      </c>
      <c r="AA43" s="6">
        <f t="shared" si="6"/>
        <v>14.652274094339287</v>
      </c>
      <c r="AB43" s="6">
        <f t="shared" si="7"/>
        <v>14.652274094339287</v>
      </c>
      <c r="AC43" s="6">
        <f t="shared" si="8"/>
        <v>6</v>
      </c>
    </row>
    <row r="44" spans="1:29">
      <c r="A44" s="11">
        <v>43</v>
      </c>
      <c r="B44" s="12">
        <v>2</v>
      </c>
      <c r="C44" s="11">
        <v>3</v>
      </c>
      <c r="D44" s="11">
        <v>1</v>
      </c>
      <c r="E44" s="11">
        <v>2</v>
      </c>
      <c r="F44" s="11">
        <v>3</v>
      </c>
      <c r="G44" s="11">
        <v>2</v>
      </c>
      <c r="H44" s="11">
        <v>3</v>
      </c>
      <c r="I44" s="11">
        <v>4</v>
      </c>
      <c r="J44" s="11">
        <v>3</v>
      </c>
      <c r="K44" s="11">
        <v>4</v>
      </c>
      <c r="L44" s="11">
        <v>1</v>
      </c>
      <c r="M44" s="11">
        <v>1</v>
      </c>
      <c r="N44" s="11">
        <v>1</v>
      </c>
      <c r="O44" s="11">
        <v>2</v>
      </c>
      <c r="P44" s="11">
        <v>4</v>
      </c>
      <c r="Q44" s="11">
        <v>3</v>
      </c>
      <c r="R44" s="11">
        <v>3</v>
      </c>
      <c r="S44" s="11">
        <v>4</v>
      </c>
      <c r="T44" s="11">
        <v>2</v>
      </c>
      <c r="U44" s="10">
        <v>4</v>
      </c>
      <c r="V44" s="6">
        <f t="shared" si="1"/>
        <v>39.119631644619574</v>
      </c>
      <c r="W44" s="6">
        <f t="shared" si="2"/>
        <v>23.780408854285447</v>
      </c>
      <c r="X44" s="6">
        <f t="shared" si="3"/>
        <v>15.870662922652597</v>
      </c>
      <c r="Y44" s="6">
        <f t="shared" si="4"/>
        <v>28.245207104119622</v>
      </c>
      <c r="Z44" s="6">
        <f t="shared" si="5"/>
        <v>24.094625329698857</v>
      </c>
      <c r="AA44" s="6">
        <f t="shared" si="6"/>
        <v>29.674631519941919</v>
      </c>
      <c r="AB44" s="6">
        <f t="shared" si="7"/>
        <v>15.870662922652597</v>
      </c>
      <c r="AC44" s="6">
        <f t="shared" si="8"/>
        <v>3</v>
      </c>
    </row>
    <row r="45" spans="1:29">
      <c r="A45" s="11">
        <v>44</v>
      </c>
      <c r="B45" s="12">
        <v>4</v>
      </c>
      <c r="C45" s="11">
        <v>2</v>
      </c>
      <c r="D45" s="11">
        <v>4</v>
      </c>
      <c r="E45" s="11">
        <v>4</v>
      </c>
      <c r="F45" s="11">
        <v>3</v>
      </c>
      <c r="G45" s="11">
        <v>3</v>
      </c>
      <c r="H45" s="11">
        <v>2</v>
      </c>
      <c r="I45" s="11">
        <v>2</v>
      </c>
      <c r="J45" s="11">
        <v>1</v>
      </c>
      <c r="K45" s="11">
        <v>1</v>
      </c>
      <c r="L45" s="11">
        <v>5</v>
      </c>
      <c r="M45" s="11">
        <v>5</v>
      </c>
      <c r="N45" s="11">
        <v>5</v>
      </c>
      <c r="O45" s="11">
        <v>4</v>
      </c>
      <c r="P45" s="11">
        <v>4</v>
      </c>
      <c r="Q45" s="11">
        <v>3</v>
      </c>
      <c r="R45" s="11">
        <v>3</v>
      </c>
      <c r="S45" s="11">
        <v>3</v>
      </c>
      <c r="T45" s="11">
        <v>3</v>
      </c>
      <c r="U45" s="10">
        <v>3</v>
      </c>
      <c r="V45" s="6">
        <f t="shared" si="1"/>
        <v>34.483459264896929</v>
      </c>
      <c r="W45" s="6">
        <f t="shared" si="2"/>
        <v>33.257281107265996</v>
      </c>
      <c r="X45" s="6">
        <f t="shared" si="3"/>
        <v>38.828980116995119</v>
      </c>
      <c r="Y45" s="6">
        <f t="shared" si="4"/>
        <v>41.622703764904678</v>
      </c>
      <c r="Z45" s="6">
        <f t="shared" si="5"/>
        <v>45.180238775277807</v>
      </c>
      <c r="AA45" s="6">
        <f t="shared" si="6"/>
        <v>40.896859522295841</v>
      </c>
      <c r="AB45" s="6">
        <f t="shared" si="7"/>
        <v>33.257281107265996</v>
      </c>
      <c r="AC45" s="6">
        <f t="shared" si="8"/>
        <v>2</v>
      </c>
    </row>
    <row r="46" spans="1:29">
      <c r="A46" s="11">
        <v>45</v>
      </c>
      <c r="B46" s="12">
        <v>2</v>
      </c>
      <c r="C46" s="11">
        <v>2</v>
      </c>
      <c r="D46" s="11">
        <v>1</v>
      </c>
      <c r="E46" s="11">
        <v>3</v>
      </c>
      <c r="F46" s="11">
        <v>2</v>
      </c>
      <c r="G46" s="11">
        <v>2</v>
      </c>
      <c r="H46" s="11">
        <v>2</v>
      </c>
      <c r="I46" s="11">
        <v>1</v>
      </c>
      <c r="J46" s="11">
        <v>1</v>
      </c>
      <c r="K46" s="11">
        <v>4</v>
      </c>
      <c r="L46" s="11">
        <v>1</v>
      </c>
      <c r="M46" s="11">
        <v>1</v>
      </c>
      <c r="N46" s="11">
        <v>2</v>
      </c>
      <c r="O46" s="11">
        <v>5</v>
      </c>
      <c r="P46" s="11">
        <v>4</v>
      </c>
      <c r="Q46" s="11">
        <v>4</v>
      </c>
      <c r="R46" s="11">
        <v>5</v>
      </c>
      <c r="S46" s="11">
        <v>1</v>
      </c>
      <c r="T46" s="11">
        <v>2</v>
      </c>
      <c r="U46" s="10">
        <v>1</v>
      </c>
      <c r="V46" s="6">
        <f t="shared" si="1"/>
        <v>72.301482764444955</v>
      </c>
      <c r="W46" s="6">
        <f t="shared" si="2"/>
        <v>40.395624984362378</v>
      </c>
      <c r="X46" s="6">
        <f t="shared" si="3"/>
        <v>41.370685984279397</v>
      </c>
      <c r="Y46" s="6">
        <f t="shared" si="4"/>
        <v>39.667153734899578</v>
      </c>
      <c r="Z46" s="6">
        <f t="shared" si="5"/>
        <v>37.809013640223206</v>
      </c>
      <c r="AA46" s="6">
        <f t="shared" si="6"/>
        <v>21.741159629232332</v>
      </c>
      <c r="AB46" s="6">
        <f t="shared" si="7"/>
        <v>21.741159629232332</v>
      </c>
      <c r="AC46" s="6">
        <f t="shared" si="8"/>
        <v>6</v>
      </c>
    </row>
    <row r="47" spans="1:29">
      <c r="A47" s="11">
        <v>46</v>
      </c>
      <c r="B47" s="12">
        <v>3</v>
      </c>
      <c r="C47" s="11">
        <v>4</v>
      </c>
      <c r="D47" s="11">
        <v>2</v>
      </c>
      <c r="E47" s="11">
        <v>2</v>
      </c>
      <c r="F47" s="11">
        <v>4</v>
      </c>
      <c r="G47" s="11">
        <v>2</v>
      </c>
      <c r="H47" s="11">
        <v>3</v>
      </c>
      <c r="I47" s="11">
        <v>2</v>
      </c>
      <c r="J47" s="11">
        <v>2</v>
      </c>
      <c r="K47" s="11">
        <v>2</v>
      </c>
      <c r="L47" s="11">
        <v>2</v>
      </c>
      <c r="M47" s="11">
        <v>2</v>
      </c>
      <c r="N47" s="11">
        <v>3</v>
      </c>
      <c r="O47" s="11">
        <v>5</v>
      </c>
      <c r="P47" s="11">
        <v>5</v>
      </c>
      <c r="Q47" s="11">
        <v>3</v>
      </c>
      <c r="R47" s="11">
        <v>2</v>
      </c>
      <c r="S47" s="11">
        <v>3</v>
      </c>
      <c r="T47" s="11">
        <v>2</v>
      </c>
      <c r="U47" s="10">
        <v>2</v>
      </c>
      <c r="V47" s="6">
        <f t="shared" si="1"/>
        <v>34.756187863483134</v>
      </c>
      <c r="W47" s="6">
        <f t="shared" si="2"/>
        <v>19.364955809813644</v>
      </c>
      <c r="X47" s="6">
        <f t="shared" si="3"/>
        <v>19.370622216199912</v>
      </c>
      <c r="Y47" s="6">
        <f t="shared" si="4"/>
        <v>25.511904220208887</v>
      </c>
      <c r="Z47" s="6">
        <f t="shared" si="5"/>
        <v>14.866147275660452</v>
      </c>
      <c r="AA47" s="6">
        <f t="shared" si="6"/>
        <v>13.941167524660827</v>
      </c>
      <c r="AB47" s="6">
        <f t="shared" si="7"/>
        <v>13.941167524660827</v>
      </c>
      <c r="AC47" s="6">
        <f t="shared" si="8"/>
        <v>6</v>
      </c>
    </row>
    <row r="48" spans="1:29">
      <c r="A48" s="11">
        <v>47</v>
      </c>
      <c r="B48" s="12">
        <v>2</v>
      </c>
      <c r="C48" s="11">
        <v>2</v>
      </c>
      <c r="D48" s="11">
        <v>1</v>
      </c>
      <c r="E48" s="11">
        <v>1</v>
      </c>
      <c r="F48" s="11">
        <v>2</v>
      </c>
      <c r="G48" s="11">
        <v>3</v>
      </c>
      <c r="H48" s="11">
        <v>3</v>
      </c>
      <c r="I48" s="11">
        <v>2</v>
      </c>
      <c r="J48" s="11">
        <v>2</v>
      </c>
      <c r="K48" s="11">
        <v>3</v>
      </c>
      <c r="L48" s="11">
        <v>3</v>
      </c>
      <c r="M48" s="11">
        <v>3</v>
      </c>
      <c r="N48" s="11">
        <v>3</v>
      </c>
      <c r="O48" s="11">
        <v>3</v>
      </c>
      <c r="P48" s="11">
        <v>3</v>
      </c>
      <c r="Q48" s="11">
        <v>1</v>
      </c>
      <c r="R48" s="11">
        <v>1</v>
      </c>
      <c r="S48" s="11">
        <v>1</v>
      </c>
      <c r="T48" s="11">
        <v>2</v>
      </c>
      <c r="U48" s="10">
        <v>4</v>
      </c>
      <c r="V48" s="6">
        <f t="shared" si="1"/>
        <v>49.028701255680403</v>
      </c>
      <c r="W48" s="6">
        <f t="shared" si="2"/>
        <v>17.48792888913075</v>
      </c>
      <c r="X48" s="6">
        <f t="shared" si="3"/>
        <v>25.912208833299871</v>
      </c>
      <c r="Y48" s="6">
        <f t="shared" si="4"/>
        <v>12.622954019906892</v>
      </c>
      <c r="Z48" s="6">
        <f t="shared" si="5"/>
        <v>25.866087540305379</v>
      </c>
      <c r="AA48" s="6">
        <f t="shared" si="6"/>
        <v>19.830140727383132</v>
      </c>
      <c r="AB48" s="6">
        <f t="shared" si="7"/>
        <v>12.622954019906892</v>
      </c>
      <c r="AC48" s="6">
        <f t="shared" si="8"/>
        <v>4</v>
      </c>
    </row>
    <row r="49" spans="1:29">
      <c r="A49" s="11">
        <v>48</v>
      </c>
      <c r="B49" s="12">
        <v>4</v>
      </c>
      <c r="C49" s="11">
        <v>2</v>
      </c>
      <c r="D49" s="11">
        <v>2</v>
      </c>
      <c r="E49" s="11">
        <v>2</v>
      </c>
      <c r="F49" s="11">
        <v>3</v>
      </c>
      <c r="G49" s="11">
        <v>4</v>
      </c>
      <c r="H49" s="11">
        <v>2</v>
      </c>
      <c r="I49" s="11">
        <v>2</v>
      </c>
      <c r="J49" s="11">
        <v>2</v>
      </c>
      <c r="K49" s="11">
        <v>2</v>
      </c>
      <c r="L49" s="11">
        <v>2</v>
      </c>
      <c r="M49" s="11">
        <v>2</v>
      </c>
      <c r="N49" s="11">
        <v>2</v>
      </c>
      <c r="O49" s="11">
        <v>4</v>
      </c>
      <c r="P49" s="11">
        <v>5</v>
      </c>
      <c r="Q49" s="11">
        <v>2</v>
      </c>
      <c r="R49" s="11">
        <v>3</v>
      </c>
      <c r="S49" s="11">
        <v>2</v>
      </c>
      <c r="T49" s="11">
        <v>4</v>
      </c>
      <c r="U49" s="10">
        <v>2</v>
      </c>
      <c r="V49" s="6">
        <f t="shared" si="1"/>
        <v>33.937902452697578</v>
      </c>
      <c r="W49" s="6">
        <f t="shared" si="2"/>
        <v>19.272586081258801</v>
      </c>
      <c r="X49" s="6">
        <f t="shared" si="3"/>
        <v>17.870639761790123</v>
      </c>
      <c r="Y49" s="6">
        <f t="shared" si="4"/>
        <v>16.622776515435628</v>
      </c>
      <c r="Z49" s="6">
        <f t="shared" si="5"/>
        <v>16.808930471899899</v>
      </c>
      <c r="AA49" s="6">
        <f t="shared" si="6"/>
        <v>7.0301136985392185</v>
      </c>
      <c r="AB49" s="6">
        <f t="shared" si="7"/>
        <v>7.0301136985392185</v>
      </c>
      <c r="AC49" s="6">
        <f t="shared" si="8"/>
        <v>6</v>
      </c>
    </row>
    <row r="50" spans="1:29">
      <c r="A50" s="11">
        <v>49</v>
      </c>
      <c r="B50" s="12">
        <v>2</v>
      </c>
      <c r="C50" s="11">
        <v>3</v>
      </c>
      <c r="D50" s="11">
        <v>2</v>
      </c>
      <c r="E50" s="11">
        <v>2</v>
      </c>
      <c r="F50" s="11">
        <v>4</v>
      </c>
      <c r="G50" s="11">
        <v>2</v>
      </c>
      <c r="H50" s="11">
        <v>3</v>
      </c>
      <c r="I50" s="11">
        <v>2</v>
      </c>
      <c r="J50" s="11">
        <v>3</v>
      </c>
      <c r="K50" s="11">
        <v>2</v>
      </c>
      <c r="L50" s="11">
        <v>3</v>
      </c>
      <c r="M50" s="11">
        <v>3</v>
      </c>
      <c r="N50" s="11">
        <v>3</v>
      </c>
      <c r="O50" s="11">
        <v>3</v>
      </c>
      <c r="P50" s="11">
        <v>2</v>
      </c>
      <c r="Q50" s="11">
        <v>3</v>
      </c>
      <c r="R50" s="11">
        <v>2</v>
      </c>
      <c r="S50" s="11">
        <v>3</v>
      </c>
      <c r="T50" s="11">
        <v>2</v>
      </c>
      <c r="U50" s="10">
        <v>3</v>
      </c>
      <c r="V50" s="6">
        <f t="shared" si="1"/>
        <v>23.392497172568468</v>
      </c>
      <c r="W50" s="6">
        <f t="shared" si="2"/>
        <v>8.7342200896389208</v>
      </c>
      <c r="X50" s="6">
        <f t="shared" si="3"/>
        <v>13.037242582458434</v>
      </c>
      <c r="Y50" s="6">
        <f t="shared" si="4"/>
        <v>16.95627560954448</v>
      </c>
      <c r="Z50" s="6">
        <f t="shared" si="5"/>
        <v>19.180277481963472</v>
      </c>
      <c r="AA50" s="6">
        <f t="shared" si="6"/>
        <v>19.763499180288001</v>
      </c>
      <c r="AB50" s="6">
        <f t="shared" si="7"/>
        <v>8.7342200896389208</v>
      </c>
      <c r="AC50" s="6">
        <f t="shared" si="8"/>
        <v>2</v>
      </c>
    </row>
    <row r="51" spans="1:29">
      <c r="A51" s="11">
        <v>50</v>
      </c>
      <c r="B51" s="12">
        <v>3</v>
      </c>
      <c r="C51" s="11">
        <v>4</v>
      </c>
      <c r="D51" s="11">
        <v>2</v>
      </c>
      <c r="E51" s="11">
        <v>3</v>
      </c>
      <c r="F51" s="11">
        <v>4</v>
      </c>
      <c r="G51" s="11">
        <v>3</v>
      </c>
      <c r="H51" s="11">
        <v>3</v>
      </c>
      <c r="I51" s="11">
        <v>3</v>
      </c>
      <c r="J51" s="11">
        <v>3</v>
      </c>
      <c r="K51" s="11">
        <v>3</v>
      </c>
      <c r="L51" s="11">
        <v>3</v>
      </c>
      <c r="M51" s="11">
        <v>3</v>
      </c>
      <c r="N51" s="11">
        <v>3</v>
      </c>
      <c r="O51" s="11">
        <v>3</v>
      </c>
      <c r="P51" s="11">
        <v>3</v>
      </c>
      <c r="Q51" s="11">
        <v>2</v>
      </c>
      <c r="R51" s="11">
        <v>3</v>
      </c>
      <c r="S51" s="11">
        <v>3</v>
      </c>
      <c r="T51" s="11">
        <v>3</v>
      </c>
      <c r="U51" s="10">
        <v>3</v>
      </c>
      <c r="V51" s="6">
        <f t="shared" si="1"/>
        <v>9.119789206246784</v>
      </c>
      <c r="W51" s="6">
        <f t="shared" si="2"/>
        <v>11.103471944932716</v>
      </c>
      <c r="X51" s="6">
        <f t="shared" si="3"/>
        <v>5.8289599917651209</v>
      </c>
      <c r="Y51" s="6">
        <f t="shared" si="4"/>
        <v>19.000832720745468</v>
      </c>
      <c r="Z51" s="6">
        <f t="shared" si="5"/>
        <v>15.094549860796651</v>
      </c>
      <c r="AA51" s="6">
        <f t="shared" si="6"/>
        <v>15.319077418878109</v>
      </c>
      <c r="AB51" s="6">
        <f t="shared" si="7"/>
        <v>5.8289599917651209</v>
      </c>
      <c r="AC51" s="6">
        <f t="shared" si="8"/>
        <v>3</v>
      </c>
    </row>
    <row r="52" spans="1:29">
      <c r="A52" s="11">
        <v>51</v>
      </c>
      <c r="B52" s="12">
        <v>3</v>
      </c>
      <c r="C52" s="11">
        <v>2</v>
      </c>
      <c r="D52" s="11">
        <v>2</v>
      </c>
      <c r="E52" s="11">
        <v>1</v>
      </c>
      <c r="F52" s="11">
        <v>2</v>
      </c>
      <c r="G52" s="11">
        <v>4</v>
      </c>
      <c r="H52" s="11">
        <v>2</v>
      </c>
      <c r="I52" s="11">
        <v>3</v>
      </c>
      <c r="J52" s="11">
        <v>1</v>
      </c>
      <c r="K52" s="11">
        <v>3</v>
      </c>
      <c r="L52" s="11">
        <v>1</v>
      </c>
      <c r="M52" s="11">
        <v>1</v>
      </c>
      <c r="N52" s="11">
        <v>4</v>
      </c>
      <c r="O52" s="11">
        <v>1</v>
      </c>
      <c r="P52" s="11">
        <v>2</v>
      </c>
      <c r="Q52" s="11">
        <v>2</v>
      </c>
      <c r="R52" s="11">
        <v>5</v>
      </c>
      <c r="S52" s="11">
        <v>3</v>
      </c>
      <c r="T52" s="11">
        <v>5</v>
      </c>
      <c r="U52" s="10">
        <v>4</v>
      </c>
      <c r="V52" s="6">
        <f t="shared" si="1"/>
        <v>48.937764417815707</v>
      </c>
      <c r="W52" s="6">
        <f t="shared" si="2"/>
        <v>34.472623569539131</v>
      </c>
      <c r="X52" s="6">
        <f t="shared" si="3"/>
        <v>32.954023597141301</v>
      </c>
      <c r="Y52" s="6">
        <f t="shared" si="4"/>
        <v>26.978464108293714</v>
      </c>
      <c r="Z52" s="6">
        <f t="shared" si="5"/>
        <v>45.865975165202727</v>
      </c>
      <c r="AA52" s="6">
        <f t="shared" si="6"/>
        <v>38.452505970968041</v>
      </c>
      <c r="AB52" s="6">
        <f t="shared" si="7"/>
        <v>26.978464108293714</v>
      </c>
      <c r="AC52" s="6">
        <f t="shared" si="8"/>
        <v>4</v>
      </c>
    </row>
    <row r="53" spans="1:29">
      <c r="A53" s="11">
        <v>52</v>
      </c>
      <c r="B53" s="12">
        <v>1</v>
      </c>
      <c r="C53" s="11">
        <v>1</v>
      </c>
      <c r="D53" s="11">
        <v>1</v>
      </c>
      <c r="E53" s="11">
        <v>2</v>
      </c>
      <c r="F53" s="11">
        <v>2</v>
      </c>
      <c r="G53" s="11">
        <v>2</v>
      </c>
      <c r="H53" s="11">
        <v>2</v>
      </c>
      <c r="I53" s="11">
        <v>2</v>
      </c>
      <c r="J53" s="11">
        <v>3</v>
      </c>
      <c r="K53" s="11">
        <v>2</v>
      </c>
      <c r="L53" s="11">
        <v>2</v>
      </c>
      <c r="M53" s="11">
        <v>2</v>
      </c>
      <c r="N53" s="11">
        <v>4</v>
      </c>
      <c r="O53" s="11">
        <v>2</v>
      </c>
      <c r="P53" s="11">
        <v>2</v>
      </c>
      <c r="Q53" s="11">
        <v>2</v>
      </c>
      <c r="R53" s="11">
        <v>2</v>
      </c>
      <c r="S53" s="11">
        <v>3</v>
      </c>
      <c r="T53" s="11">
        <v>3</v>
      </c>
      <c r="U53" s="10">
        <v>4</v>
      </c>
      <c r="V53" s="6">
        <f t="shared" si="1"/>
        <v>45.846878255146777</v>
      </c>
      <c r="W53" s="6">
        <f t="shared" si="2"/>
        <v>18.149524325321671</v>
      </c>
      <c r="X53" s="6">
        <f t="shared" si="3"/>
        <v>21.578916199918293</v>
      </c>
      <c r="Y53" s="6">
        <f t="shared" si="4"/>
        <v>10.867148398037463</v>
      </c>
      <c r="Z53" s="6">
        <f t="shared" si="5"/>
        <v>30.666003910171767</v>
      </c>
      <c r="AA53" s="6">
        <f t="shared" si="6"/>
        <v>27.007956119078738</v>
      </c>
      <c r="AB53" s="6">
        <f t="shared" si="7"/>
        <v>10.867148398037463</v>
      </c>
      <c r="AC53" s="6">
        <f t="shared" si="8"/>
        <v>4</v>
      </c>
    </row>
    <row r="54" spans="1:29">
      <c r="A54" s="11">
        <v>53</v>
      </c>
      <c r="B54" s="12">
        <v>3</v>
      </c>
      <c r="C54" s="11">
        <v>3</v>
      </c>
      <c r="D54" s="11">
        <v>2</v>
      </c>
      <c r="E54" s="11">
        <v>4</v>
      </c>
      <c r="F54" s="11">
        <v>4</v>
      </c>
      <c r="G54" s="11">
        <v>2</v>
      </c>
      <c r="H54" s="11">
        <v>2</v>
      </c>
      <c r="I54" s="11">
        <v>2</v>
      </c>
      <c r="J54" s="11">
        <v>2</v>
      </c>
      <c r="K54" s="11">
        <v>3</v>
      </c>
      <c r="L54" s="11">
        <v>2</v>
      </c>
      <c r="M54" s="11">
        <v>2</v>
      </c>
      <c r="N54" s="11">
        <v>2</v>
      </c>
      <c r="O54" s="11">
        <v>4</v>
      </c>
      <c r="P54" s="11">
        <v>5</v>
      </c>
      <c r="Q54" s="11">
        <v>3</v>
      </c>
      <c r="R54" s="11">
        <v>2</v>
      </c>
      <c r="S54" s="11">
        <v>2</v>
      </c>
      <c r="T54" s="11">
        <v>3</v>
      </c>
      <c r="U54" s="10">
        <v>4</v>
      </c>
      <c r="V54" s="6">
        <f t="shared" si="1"/>
        <v>27.392461280988787</v>
      </c>
      <c r="W54" s="6">
        <f t="shared" si="2"/>
        <v>13.441914108962459</v>
      </c>
      <c r="X54" s="6">
        <f t="shared" si="3"/>
        <v>13.28726626911846</v>
      </c>
      <c r="Y54" s="6">
        <f t="shared" si="4"/>
        <v>22.333935146796254</v>
      </c>
      <c r="Z54" s="6">
        <f t="shared" si="5"/>
        <v>9.4089026823947712</v>
      </c>
      <c r="AA54" s="6">
        <f t="shared" si="6"/>
        <v>13.785670233158008</v>
      </c>
      <c r="AB54" s="6">
        <f t="shared" si="7"/>
        <v>9.4089026823947712</v>
      </c>
      <c r="AC54" s="6">
        <f t="shared" si="8"/>
        <v>5</v>
      </c>
    </row>
    <row r="55" spans="1:29">
      <c r="A55" s="11">
        <v>54</v>
      </c>
      <c r="B55" s="12">
        <v>2</v>
      </c>
      <c r="C55" s="11">
        <v>1</v>
      </c>
      <c r="D55" s="11">
        <v>1</v>
      </c>
      <c r="E55" s="11">
        <v>2</v>
      </c>
      <c r="F55" s="11">
        <v>1</v>
      </c>
      <c r="G55" s="11">
        <v>4</v>
      </c>
      <c r="H55" s="11">
        <v>3</v>
      </c>
      <c r="I55" s="11">
        <v>3</v>
      </c>
      <c r="J55" s="11">
        <v>2</v>
      </c>
      <c r="K55" s="11">
        <v>4</v>
      </c>
      <c r="L55" s="11">
        <v>2</v>
      </c>
      <c r="M55" s="11">
        <v>3</v>
      </c>
      <c r="N55" s="11">
        <v>3</v>
      </c>
      <c r="O55" s="11">
        <v>4</v>
      </c>
      <c r="P55" s="11">
        <v>5</v>
      </c>
      <c r="Q55" s="11">
        <v>1</v>
      </c>
      <c r="R55" s="11">
        <v>2</v>
      </c>
      <c r="S55" s="11">
        <v>2</v>
      </c>
      <c r="T55" s="11">
        <v>3</v>
      </c>
      <c r="U55" s="10">
        <v>1</v>
      </c>
      <c r="V55" s="6">
        <f t="shared" si="1"/>
        <v>53.937821660777445</v>
      </c>
      <c r="W55" s="6">
        <f t="shared" si="2"/>
        <v>34.318643806324587</v>
      </c>
      <c r="X55" s="6">
        <f t="shared" si="3"/>
        <v>27.495650153223913</v>
      </c>
      <c r="Y55" s="6">
        <f t="shared" si="4"/>
        <v>19.91151447952101</v>
      </c>
      <c r="Z55" s="6">
        <f t="shared" si="5"/>
        <v>30.237613492478488</v>
      </c>
      <c r="AA55" s="6">
        <f t="shared" si="6"/>
        <v>13.918988379418263</v>
      </c>
      <c r="AB55" s="6">
        <f t="shared" si="7"/>
        <v>13.918988379418263</v>
      </c>
      <c r="AC55" s="6">
        <f t="shared" si="8"/>
        <v>6</v>
      </c>
    </row>
    <row r="56" spans="1:29">
      <c r="A56" s="11">
        <v>55</v>
      </c>
      <c r="B56" s="12">
        <v>5</v>
      </c>
      <c r="C56" s="11">
        <v>1</v>
      </c>
      <c r="D56" s="11">
        <v>1</v>
      </c>
      <c r="E56" s="11">
        <v>1</v>
      </c>
      <c r="F56" s="11">
        <v>4</v>
      </c>
      <c r="G56" s="11">
        <v>2</v>
      </c>
      <c r="H56" s="11">
        <v>3</v>
      </c>
      <c r="I56" s="11">
        <v>1</v>
      </c>
      <c r="J56" s="11">
        <v>1</v>
      </c>
      <c r="K56" s="11">
        <v>1</v>
      </c>
      <c r="L56" s="11">
        <v>1</v>
      </c>
      <c r="M56" s="11">
        <v>1</v>
      </c>
      <c r="N56" s="11">
        <v>1</v>
      </c>
      <c r="O56" s="11">
        <v>4</v>
      </c>
      <c r="P56" s="11">
        <v>1</v>
      </c>
      <c r="Q56" s="11">
        <v>2</v>
      </c>
      <c r="R56" s="11">
        <v>4</v>
      </c>
      <c r="S56" s="11">
        <v>5</v>
      </c>
      <c r="T56" s="11">
        <v>1</v>
      </c>
      <c r="U56" s="10">
        <v>5</v>
      </c>
      <c r="V56" s="6">
        <f t="shared" si="1"/>
        <v>78.210552472449606</v>
      </c>
      <c r="W56" s="6">
        <f t="shared" si="2"/>
        <v>39.734209765481623</v>
      </c>
      <c r="X56" s="6">
        <f t="shared" si="3"/>
        <v>59.245555869902411</v>
      </c>
      <c r="Y56" s="6">
        <f t="shared" si="4"/>
        <v>46.756287964277959</v>
      </c>
      <c r="Z56" s="6">
        <f t="shared" si="5"/>
        <v>43.666026025504209</v>
      </c>
      <c r="AA56" s="6">
        <f t="shared" si="6"/>
        <v>55.274595232783049</v>
      </c>
      <c r="AB56" s="6">
        <f t="shared" si="7"/>
        <v>39.734209765481623</v>
      </c>
      <c r="AC56" s="6">
        <f t="shared" si="8"/>
        <v>2</v>
      </c>
    </row>
    <row r="57" spans="1:29">
      <c r="A57" s="11">
        <v>56</v>
      </c>
      <c r="B57" s="12">
        <v>2</v>
      </c>
      <c r="C57" s="11">
        <v>3</v>
      </c>
      <c r="D57" s="11">
        <v>3</v>
      </c>
      <c r="E57" s="11">
        <v>2</v>
      </c>
      <c r="F57" s="11">
        <v>4</v>
      </c>
      <c r="G57" s="11">
        <v>3</v>
      </c>
      <c r="H57" s="11">
        <v>3</v>
      </c>
      <c r="I57" s="11">
        <v>1</v>
      </c>
      <c r="J57" s="11">
        <v>1</v>
      </c>
      <c r="K57" s="11">
        <v>3</v>
      </c>
      <c r="L57" s="11">
        <v>3</v>
      </c>
      <c r="M57" s="11">
        <v>2</v>
      </c>
      <c r="N57" s="11">
        <v>4</v>
      </c>
      <c r="O57" s="11">
        <v>3</v>
      </c>
      <c r="P57" s="11">
        <v>2</v>
      </c>
      <c r="Q57" s="11">
        <v>4</v>
      </c>
      <c r="R57" s="11">
        <v>3</v>
      </c>
      <c r="S57" s="11">
        <v>4</v>
      </c>
      <c r="T57" s="11">
        <v>2</v>
      </c>
      <c r="U57" s="10">
        <v>5</v>
      </c>
      <c r="V57" s="6">
        <f t="shared" si="1"/>
        <v>28.483454976304206</v>
      </c>
      <c r="W57" s="6">
        <f t="shared" si="2"/>
        <v>15.549675757017031</v>
      </c>
      <c r="X57" s="6">
        <f t="shared" si="3"/>
        <v>24.37062777110685</v>
      </c>
      <c r="Y57" s="6">
        <f t="shared" si="4"/>
        <v>27.0674431180447</v>
      </c>
      <c r="Z57" s="6">
        <f t="shared" si="5"/>
        <v>21.808900878383024</v>
      </c>
      <c r="AA57" s="6">
        <f t="shared" si="6"/>
        <v>34.296928411891471</v>
      </c>
      <c r="AB57" s="6">
        <f t="shared" si="7"/>
        <v>15.549675757017031</v>
      </c>
      <c r="AC57" s="6">
        <f t="shared" si="8"/>
        <v>2</v>
      </c>
    </row>
    <row r="58" spans="1:29">
      <c r="A58" s="11">
        <v>57</v>
      </c>
      <c r="B58" s="12">
        <v>3</v>
      </c>
      <c r="C58" s="11">
        <v>2</v>
      </c>
      <c r="D58" s="11">
        <v>3</v>
      </c>
      <c r="E58" s="11">
        <v>3</v>
      </c>
      <c r="F58" s="11">
        <v>3</v>
      </c>
      <c r="G58" s="11">
        <v>4</v>
      </c>
      <c r="H58" s="11">
        <v>4</v>
      </c>
      <c r="I58" s="11">
        <v>3</v>
      </c>
      <c r="J58" s="11">
        <v>2</v>
      </c>
      <c r="K58" s="11">
        <v>2</v>
      </c>
      <c r="L58" s="11">
        <v>1</v>
      </c>
      <c r="M58" s="11">
        <v>2</v>
      </c>
      <c r="N58" s="11">
        <v>3</v>
      </c>
      <c r="O58" s="11">
        <v>1</v>
      </c>
      <c r="P58" s="11">
        <v>4</v>
      </c>
      <c r="Q58" s="11">
        <v>5</v>
      </c>
      <c r="R58" s="11">
        <v>1</v>
      </c>
      <c r="S58" s="11">
        <v>2</v>
      </c>
      <c r="T58" s="11">
        <v>1</v>
      </c>
      <c r="U58" s="10">
        <v>4</v>
      </c>
      <c r="V58" s="6">
        <f t="shared" si="1"/>
        <v>38.028700233930707</v>
      </c>
      <c r="W58" s="6">
        <f t="shared" si="2"/>
        <v>19.180390688534235</v>
      </c>
      <c r="X58" s="6">
        <f t="shared" si="3"/>
        <v>32.745584856577544</v>
      </c>
      <c r="Y58" s="6">
        <f t="shared" si="4"/>
        <v>36.0893392926979</v>
      </c>
      <c r="Z58" s="6">
        <f t="shared" si="5"/>
        <v>29.980208419949108</v>
      </c>
      <c r="AA58" s="6">
        <f t="shared" si="6"/>
        <v>33.119231508856991</v>
      </c>
      <c r="AB58" s="6">
        <f t="shared" si="7"/>
        <v>19.180390688534235</v>
      </c>
      <c r="AC58" s="6">
        <f t="shared" si="8"/>
        <v>2</v>
      </c>
    </row>
    <row r="59" spans="1:29">
      <c r="A59" s="11">
        <v>58</v>
      </c>
      <c r="B59" s="12">
        <v>3</v>
      </c>
      <c r="C59" s="11">
        <v>5</v>
      </c>
      <c r="D59" s="11">
        <v>5</v>
      </c>
      <c r="E59" s="11">
        <v>4</v>
      </c>
      <c r="F59" s="11">
        <v>5</v>
      </c>
      <c r="G59" s="11">
        <v>2</v>
      </c>
      <c r="H59" s="11">
        <v>3</v>
      </c>
      <c r="I59" s="11">
        <v>3</v>
      </c>
      <c r="J59" s="11">
        <v>4</v>
      </c>
      <c r="K59" s="11">
        <v>3</v>
      </c>
      <c r="L59" s="11">
        <v>3</v>
      </c>
      <c r="M59" s="11">
        <v>4</v>
      </c>
      <c r="N59" s="11">
        <v>4</v>
      </c>
      <c r="O59" s="11">
        <v>2</v>
      </c>
      <c r="P59" s="11">
        <v>2</v>
      </c>
      <c r="Q59" s="11">
        <v>3</v>
      </c>
      <c r="R59" s="11">
        <v>3</v>
      </c>
      <c r="S59" s="11">
        <v>5</v>
      </c>
      <c r="T59" s="11">
        <v>3</v>
      </c>
      <c r="U59" s="10">
        <v>2</v>
      </c>
      <c r="V59" s="6">
        <f t="shared" si="1"/>
        <v>17.93811583555031</v>
      </c>
      <c r="W59" s="6">
        <f t="shared" si="2"/>
        <v>41.59591013832604</v>
      </c>
      <c r="X59" s="6">
        <f t="shared" si="3"/>
        <v>33.912315474413504</v>
      </c>
      <c r="Y59" s="6">
        <f t="shared" si="4"/>
        <v>62.422907785293589</v>
      </c>
      <c r="Z59" s="6">
        <f t="shared" si="5"/>
        <v>53.751506059484342</v>
      </c>
      <c r="AA59" s="6">
        <f t="shared" si="6"/>
        <v>59.519176983455395</v>
      </c>
      <c r="AB59" s="6">
        <f t="shared" si="7"/>
        <v>17.93811583555031</v>
      </c>
      <c r="AC59" s="6">
        <f t="shared" si="8"/>
        <v>1</v>
      </c>
    </row>
    <row r="60" spans="1:29">
      <c r="A60" s="11">
        <v>59</v>
      </c>
      <c r="B60" s="12">
        <v>3</v>
      </c>
      <c r="C60" s="11">
        <v>2</v>
      </c>
      <c r="D60" s="11">
        <v>2</v>
      </c>
      <c r="E60" s="11">
        <v>2</v>
      </c>
      <c r="F60" s="11">
        <v>3</v>
      </c>
      <c r="G60" s="11">
        <v>2</v>
      </c>
      <c r="H60" s="11">
        <v>3</v>
      </c>
      <c r="I60" s="11">
        <v>2</v>
      </c>
      <c r="J60" s="11">
        <v>3</v>
      </c>
      <c r="K60" s="11">
        <v>3</v>
      </c>
      <c r="L60" s="11">
        <v>2</v>
      </c>
      <c r="M60" s="11">
        <v>4</v>
      </c>
      <c r="N60" s="11">
        <v>2</v>
      </c>
      <c r="O60" s="11">
        <v>3</v>
      </c>
      <c r="P60" s="11">
        <v>2</v>
      </c>
      <c r="Q60" s="11">
        <v>3</v>
      </c>
      <c r="R60" s="11">
        <v>2</v>
      </c>
      <c r="S60" s="11">
        <v>2</v>
      </c>
      <c r="T60" s="11">
        <v>2</v>
      </c>
      <c r="U60" s="10">
        <v>4</v>
      </c>
      <c r="V60" s="6">
        <f t="shared" si="1"/>
        <v>28.937849186600253</v>
      </c>
      <c r="W60" s="6">
        <f t="shared" si="2"/>
        <v>7.2726778407735262</v>
      </c>
      <c r="X60" s="6">
        <f t="shared" si="3"/>
        <v>16.037224366861544</v>
      </c>
      <c r="Y60" s="6">
        <f t="shared" si="4"/>
        <v>14.178412979464897</v>
      </c>
      <c r="Z60" s="6">
        <f t="shared" si="5"/>
        <v>20.294535553542921</v>
      </c>
      <c r="AA60" s="6">
        <f t="shared" si="6"/>
        <v>19.119057633765731</v>
      </c>
      <c r="AB60" s="6">
        <f t="shared" si="7"/>
        <v>7.2726778407735262</v>
      </c>
      <c r="AC60" s="6">
        <f t="shared" si="8"/>
        <v>2</v>
      </c>
    </row>
    <row r="61" spans="1:29">
      <c r="A61" s="11">
        <v>60</v>
      </c>
      <c r="B61" s="12">
        <v>3</v>
      </c>
      <c r="C61" s="11">
        <v>3</v>
      </c>
      <c r="D61" s="11">
        <v>2</v>
      </c>
      <c r="E61" s="11">
        <v>4</v>
      </c>
      <c r="F61" s="11">
        <v>1</v>
      </c>
      <c r="G61" s="11">
        <v>3</v>
      </c>
      <c r="H61" s="11">
        <v>3</v>
      </c>
      <c r="I61" s="11">
        <v>3</v>
      </c>
      <c r="J61" s="11">
        <v>1</v>
      </c>
      <c r="K61" s="11">
        <v>3</v>
      </c>
      <c r="L61" s="11">
        <v>2</v>
      </c>
      <c r="M61" s="11">
        <v>2</v>
      </c>
      <c r="N61" s="11">
        <v>3</v>
      </c>
      <c r="O61" s="11">
        <v>5</v>
      </c>
      <c r="P61" s="11">
        <v>3</v>
      </c>
      <c r="Q61" s="11">
        <v>2</v>
      </c>
      <c r="R61" s="11">
        <v>2</v>
      </c>
      <c r="S61" s="11">
        <v>4</v>
      </c>
      <c r="T61" s="11">
        <v>5</v>
      </c>
      <c r="U61" s="10">
        <v>3</v>
      </c>
      <c r="V61" s="6">
        <f t="shared" si="1"/>
        <v>35.210633763799933</v>
      </c>
      <c r="W61" s="6">
        <f t="shared" si="2"/>
        <v>25.734178857402139</v>
      </c>
      <c r="X61" s="6">
        <f t="shared" si="3"/>
        <v>20.32897189688147</v>
      </c>
      <c r="Y61" s="6">
        <f t="shared" si="4"/>
        <v>20.845040566883046</v>
      </c>
      <c r="Z61" s="6">
        <f t="shared" si="5"/>
        <v>17.237630833260241</v>
      </c>
      <c r="AA61" s="6">
        <f t="shared" si="6"/>
        <v>21.163438009456453</v>
      </c>
      <c r="AB61" s="6">
        <f t="shared" si="7"/>
        <v>17.237630833260241</v>
      </c>
      <c r="AC61" s="6">
        <f t="shared" si="8"/>
        <v>5</v>
      </c>
    </row>
    <row r="62" spans="1:29">
      <c r="A62" s="11">
        <v>61</v>
      </c>
      <c r="B62" s="12">
        <v>4</v>
      </c>
      <c r="C62" s="11">
        <v>1</v>
      </c>
      <c r="D62" s="11">
        <v>1</v>
      </c>
      <c r="E62" s="11">
        <v>3</v>
      </c>
      <c r="F62" s="11">
        <v>1</v>
      </c>
      <c r="G62" s="11">
        <v>5</v>
      </c>
      <c r="H62" s="11">
        <v>2</v>
      </c>
      <c r="I62" s="11">
        <v>1</v>
      </c>
      <c r="J62" s="11">
        <v>1</v>
      </c>
      <c r="K62" s="11">
        <v>4</v>
      </c>
      <c r="L62" s="11">
        <v>1</v>
      </c>
      <c r="M62" s="11">
        <v>1</v>
      </c>
      <c r="N62" s="11">
        <v>5</v>
      </c>
      <c r="O62" s="11">
        <v>5</v>
      </c>
      <c r="P62" s="11">
        <v>5</v>
      </c>
      <c r="Q62" s="11">
        <v>1</v>
      </c>
      <c r="R62" s="11">
        <v>1</v>
      </c>
      <c r="S62" s="11">
        <v>2</v>
      </c>
      <c r="T62" s="11">
        <v>1</v>
      </c>
      <c r="U62" s="10">
        <v>1</v>
      </c>
      <c r="V62" s="6">
        <f t="shared" si="1"/>
        <v>85.301480645648624</v>
      </c>
      <c r="W62" s="6">
        <f t="shared" si="2"/>
        <v>54.795522049604983</v>
      </c>
      <c r="X62" s="6">
        <f t="shared" si="3"/>
        <v>62.912265691389408</v>
      </c>
      <c r="Y62" s="6">
        <f t="shared" si="4"/>
        <v>48.600461139955748</v>
      </c>
      <c r="Z62" s="6">
        <f t="shared" si="5"/>
        <v>41.837582977804502</v>
      </c>
      <c r="AA62" s="6">
        <f t="shared" si="6"/>
        <v>29.252353864395701</v>
      </c>
      <c r="AB62" s="6">
        <f t="shared" si="7"/>
        <v>29.252353864395701</v>
      </c>
      <c r="AC62" s="6">
        <f t="shared" si="8"/>
        <v>6</v>
      </c>
    </row>
    <row r="63" spans="1:29">
      <c r="A63" s="11">
        <v>62</v>
      </c>
      <c r="B63" s="12">
        <v>3</v>
      </c>
      <c r="C63" s="11">
        <v>2</v>
      </c>
      <c r="D63" s="11">
        <v>1</v>
      </c>
      <c r="E63" s="11">
        <v>3</v>
      </c>
      <c r="F63" s="11">
        <v>4</v>
      </c>
      <c r="G63" s="11">
        <v>4</v>
      </c>
      <c r="H63" s="11">
        <v>4</v>
      </c>
      <c r="I63" s="11">
        <v>1</v>
      </c>
      <c r="J63" s="11">
        <v>1</v>
      </c>
      <c r="K63" s="11">
        <v>1</v>
      </c>
      <c r="L63" s="11">
        <v>1</v>
      </c>
      <c r="M63" s="11">
        <v>1</v>
      </c>
      <c r="N63" s="11">
        <v>1</v>
      </c>
      <c r="O63" s="11">
        <v>5</v>
      </c>
      <c r="P63" s="11">
        <v>1</v>
      </c>
      <c r="Q63" s="11">
        <v>5</v>
      </c>
      <c r="R63" s="11">
        <v>1</v>
      </c>
      <c r="S63" s="11">
        <v>5</v>
      </c>
      <c r="T63" s="11">
        <v>1</v>
      </c>
      <c r="U63" s="10">
        <v>1</v>
      </c>
      <c r="V63" s="6">
        <f t="shared" si="1"/>
        <v>77.756173622065802</v>
      </c>
      <c r="W63" s="6">
        <f t="shared" si="2"/>
        <v>47.472651771966376</v>
      </c>
      <c r="X63" s="6">
        <f t="shared" si="3"/>
        <v>63.870543643279312</v>
      </c>
      <c r="Y63" s="6">
        <f t="shared" si="4"/>
        <v>62.067188369088989</v>
      </c>
      <c r="Z63" s="6">
        <f t="shared" si="5"/>
        <v>38.009032413034063</v>
      </c>
      <c r="AA63" s="6">
        <f t="shared" si="6"/>
        <v>48.474593250404311</v>
      </c>
      <c r="AB63" s="6">
        <f t="shared" si="7"/>
        <v>38.009032413034063</v>
      </c>
      <c r="AC63" s="6">
        <f t="shared" si="8"/>
        <v>5</v>
      </c>
    </row>
    <row r="64" spans="1:29">
      <c r="A64" s="11">
        <v>63</v>
      </c>
      <c r="B64" s="12">
        <v>3</v>
      </c>
      <c r="C64" s="11">
        <v>3</v>
      </c>
      <c r="D64" s="11">
        <v>2</v>
      </c>
      <c r="E64" s="11">
        <v>4</v>
      </c>
      <c r="F64" s="11">
        <v>3</v>
      </c>
      <c r="G64" s="11">
        <v>4</v>
      </c>
      <c r="H64" s="11">
        <v>3</v>
      </c>
      <c r="I64" s="11">
        <v>2</v>
      </c>
      <c r="J64" s="11">
        <v>2</v>
      </c>
      <c r="K64" s="11">
        <v>4</v>
      </c>
      <c r="L64" s="11">
        <v>2</v>
      </c>
      <c r="M64" s="11">
        <v>2</v>
      </c>
      <c r="N64" s="11">
        <v>3</v>
      </c>
      <c r="O64" s="11">
        <v>4</v>
      </c>
      <c r="P64" s="11">
        <v>3</v>
      </c>
      <c r="Q64" s="11">
        <v>2</v>
      </c>
      <c r="R64" s="11">
        <v>2</v>
      </c>
      <c r="S64" s="11">
        <v>4</v>
      </c>
      <c r="T64" s="11">
        <v>3</v>
      </c>
      <c r="U64" s="10">
        <v>3</v>
      </c>
      <c r="V64" s="6">
        <f t="shared" si="1"/>
        <v>17.665252634068104</v>
      </c>
      <c r="W64" s="6">
        <f t="shared" si="2"/>
        <v>13.626526901317376</v>
      </c>
      <c r="X64" s="6">
        <f t="shared" si="3"/>
        <v>11.745615441187635</v>
      </c>
      <c r="Y64" s="6">
        <f t="shared" si="4"/>
        <v>18.778409824674053</v>
      </c>
      <c r="Z64" s="6">
        <f t="shared" si="5"/>
        <v>4.8946531013044723</v>
      </c>
      <c r="AA64" s="6">
        <f t="shared" si="6"/>
        <v>12.25241928370682</v>
      </c>
      <c r="AB64" s="6">
        <f t="shared" si="7"/>
        <v>4.8946531013044723</v>
      </c>
      <c r="AC64" s="6">
        <f t="shared" si="8"/>
        <v>5</v>
      </c>
    </row>
    <row r="65" spans="1:29">
      <c r="A65" s="11">
        <v>64</v>
      </c>
      <c r="B65" s="12">
        <v>1</v>
      </c>
      <c r="C65" s="11">
        <v>2</v>
      </c>
      <c r="D65" s="11">
        <v>2</v>
      </c>
      <c r="E65" s="11">
        <v>3</v>
      </c>
      <c r="F65" s="11">
        <v>2</v>
      </c>
      <c r="G65" s="11">
        <v>4</v>
      </c>
      <c r="H65" s="11">
        <v>1</v>
      </c>
      <c r="I65" s="11">
        <v>1</v>
      </c>
      <c r="J65" s="11">
        <v>1</v>
      </c>
      <c r="K65" s="11">
        <v>2</v>
      </c>
      <c r="L65" s="11">
        <v>1</v>
      </c>
      <c r="M65" s="11">
        <v>2</v>
      </c>
      <c r="N65" s="11">
        <v>1</v>
      </c>
      <c r="O65" s="11">
        <v>1</v>
      </c>
      <c r="P65" s="11">
        <v>4</v>
      </c>
      <c r="Q65" s="11">
        <v>1</v>
      </c>
      <c r="R65" s="11">
        <v>2</v>
      </c>
      <c r="S65" s="11">
        <v>2</v>
      </c>
      <c r="T65" s="11">
        <v>1</v>
      </c>
      <c r="U65" s="10">
        <v>4</v>
      </c>
      <c r="V65" s="6">
        <f t="shared" si="1"/>
        <v>66.664979848477188</v>
      </c>
      <c r="W65" s="6">
        <f t="shared" si="2"/>
        <v>24.764843884207046</v>
      </c>
      <c r="X65" s="6">
        <f t="shared" si="3"/>
        <v>42.412241263940672</v>
      </c>
      <c r="Y65" s="6">
        <f t="shared" si="4"/>
        <v>27.578159447912629</v>
      </c>
      <c r="Z65" s="6">
        <f t="shared" si="5"/>
        <v>33.46594869393406</v>
      </c>
      <c r="AA65" s="6">
        <f t="shared" si="6"/>
        <v>33.919142111518013</v>
      </c>
      <c r="AB65" s="6">
        <f t="shared" si="7"/>
        <v>24.764843884207046</v>
      </c>
      <c r="AC65" s="6">
        <f t="shared" si="8"/>
        <v>2</v>
      </c>
    </row>
    <row r="66" spans="1:29">
      <c r="A66" s="11">
        <v>65</v>
      </c>
      <c r="B66" s="12">
        <v>5</v>
      </c>
      <c r="C66" s="11">
        <v>2</v>
      </c>
      <c r="D66" s="11">
        <v>2</v>
      </c>
      <c r="E66" s="11">
        <v>2</v>
      </c>
      <c r="F66" s="11">
        <v>3</v>
      </c>
      <c r="G66" s="11">
        <v>2</v>
      </c>
      <c r="H66" s="11">
        <v>2</v>
      </c>
      <c r="I66" s="11">
        <v>1</v>
      </c>
      <c r="J66" s="11">
        <v>1</v>
      </c>
      <c r="K66" s="11">
        <v>3</v>
      </c>
      <c r="L66" s="11">
        <v>1</v>
      </c>
      <c r="M66" s="11">
        <v>2</v>
      </c>
      <c r="N66" s="11">
        <v>1</v>
      </c>
      <c r="O66" s="11">
        <v>4</v>
      </c>
      <c r="P66" s="11">
        <v>3</v>
      </c>
      <c r="Q66" s="11">
        <v>2</v>
      </c>
      <c r="R66" s="11">
        <v>5</v>
      </c>
      <c r="S66" s="11">
        <v>3</v>
      </c>
      <c r="T66" s="11">
        <v>3</v>
      </c>
      <c r="U66" s="10">
        <v>2</v>
      </c>
      <c r="V66" s="6">
        <f t="shared" si="1"/>
        <v>50.7560741408005</v>
      </c>
      <c r="W66" s="6">
        <f t="shared" si="2"/>
        <v>26.011071139179133</v>
      </c>
      <c r="X66" s="6">
        <f t="shared" si="3"/>
        <v>31.328965928935375</v>
      </c>
      <c r="Y66" s="6">
        <f t="shared" si="4"/>
        <v>28.22283530916895</v>
      </c>
      <c r="Z66" s="6">
        <f t="shared" si="5"/>
        <v>28.237434196170479</v>
      </c>
      <c r="AA66" s="6">
        <f t="shared" si="6"/>
        <v>19.496759228549315</v>
      </c>
      <c r="AB66" s="6">
        <f t="shared" si="7"/>
        <v>19.496759228549315</v>
      </c>
      <c r="AC66" s="6">
        <f t="shared" si="8"/>
        <v>6</v>
      </c>
    </row>
    <row r="67" spans="1:29">
      <c r="A67" s="11">
        <v>66</v>
      </c>
      <c r="B67" s="12">
        <v>3</v>
      </c>
      <c r="C67" s="11">
        <v>3</v>
      </c>
      <c r="D67" s="11">
        <v>1</v>
      </c>
      <c r="E67" s="11">
        <v>2</v>
      </c>
      <c r="F67" s="11">
        <v>3</v>
      </c>
      <c r="G67" s="11">
        <v>3</v>
      </c>
      <c r="H67" s="11">
        <v>3</v>
      </c>
      <c r="I67" s="11">
        <v>2</v>
      </c>
      <c r="J67" s="11">
        <v>1</v>
      </c>
      <c r="K67" s="11">
        <v>4</v>
      </c>
      <c r="L67" s="11">
        <v>3</v>
      </c>
      <c r="M67" s="11">
        <v>2</v>
      </c>
      <c r="N67" s="11">
        <v>3</v>
      </c>
      <c r="O67" s="11">
        <v>5</v>
      </c>
      <c r="P67" s="11">
        <v>4</v>
      </c>
      <c r="Q67" s="11">
        <v>3</v>
      </c>
      <c r="R67" s="11">
        <v>3</v>
      </c>
      <c r="S67" s="11">
        <v>3</v>
      </c>
      <c r="T67" s="11">
        <v>3</v>
      </c>
      <c r="U67" s="10">
        <v>1</v>
      </c>
      <c r="V67" s="6">
        <f t="shared" ref="V67:V130" si="9">SUMXMY2($B67:$U67,AG$2:AG$21)</f>
        <v>38.028935200400348</v>
      </c>
      <c r="W67" s="6">
        <f t="shared" ref="W67:W130" si="10">SUMXMY2($B67:$U67,AH$2:AH$21)</f>
        <v>25.334138993902606</v>
      </c>
      <c r="X67" s="6">
        <f t="shared" ref="X67:X130" si="11">SUMXMY2($B67:$U67,AI$2:AI$21)</f>
        <v>18.787327128270739</v>
      </c>
      <c r="Y67" s="6">
        <f t="shared" ref="Y67:Y130" si="12">SUMXMY2($B67:$U67,AJ$2:AJ$21)</f>
        <v>24.267465387794566</v>
      </c>
      <c r="Z67" s="6">
        <f t="shared" ref="Z67:Z130" si="13">SUMXMY2($B67:$U67,AK$2:AK$21)</f>
        <v>16.866214610627047</v>
      </c>
      <c r="AA67" s="6">
        <f t="shared" ref="AA67:AA130" si="14">SUMXMY2($B67:$U67,AL$2:AL$21)</f>
        <v>8.7633952186438666</v>
      </c>
      <c r="AB67" s="6">
        <f t="shared" ref="AB67:AB130" si="15">MIN(V67:AA67)</f>
        <v>8.7633952186438666</v>
      </c>
      <c r="AC67" s="6">
        <f t="shared" ref="AC67:AC130" si="16">IF(AB67=V67,1,IF(AB67=W67,2,IF(AB67=X67,3,IF(AB67=Y67,4,IF(AB67=Z67,5,6)))))</f>
        <v>6</v>
      </c>
    </row>
    <row r="68" spans="1:29">
      <c r="A68" s="11">
        <v>67</v>
      </c>
      <c r="B68" s="12">
        <v>2</v>
      </c>
      <c r="C68" s="11">
        <v>3</v>
      </c>
      <c r="D68" s="11">
        <v>4</v>
      </c>
      <c r="E68" s="11">
        <v>3</v>
      </c>
      <c r="F68" s="11">
        <v>2</v>
      </c>
      <c r="G68" s="11">
        <v>3</v>
      </c>
      <c r="H68" s="11">
        <v>4</v>
      </c>
      <c r="I68" s="11">
        <v>3</v>
      </c>
      <c r="J68" s="11">
        <v>2</v>
      </c>
      <c r="K68" s="11">
        <v>3</v>
      </c>
      <c r="L68" s="11">
        <v>3</v>
      </c>
      <c r="M68" s="11">
        <v>4</v>
      </c>
      <c r="N68" s="11">
        <v>2</v>
      </c>
      <c r="O68" s="11">
        <v>3</v>
      </c>
      <c r="P68" s="11">
        <v>4</v>
      </c>
      <c r="Q68" s="11">
        <v>3</v>
      </c>
      <c r="R68" s="11">
        <v>2</v>
      </c>
      <c r="S68" s="11">
        <v>1</v>
      </c>
      <c r="T68" s="11">
        <v>5</v>
      </c>
      <c r="U68" s="10">
        <v>3</v>
      </c>
      <c r="V68" s="6">
        <f t="shared" si="9"/>
        <v>25.756078279592884</v>
      </c>
      <c r="W68" s="6">
        <f t="shared" si="10"/>
        <v>22.841900910957865</v>
      </c>
      <c r="X68" s="6">
        <f t="shared" si="11"/>
        <v>19.245624783113652</v>
      </c>
      <c r="Y68" s="6">
        <f t="shared" si="12"/>
        <v>24.400436864470926</v>
      </c>
      <c r="Z68" s="6">
        <f t="shared" si="13"/>
        <v>31.351769284338268</v>
      </c>
      <c r="AA68" s="6">
        <f t="shared" si="14"/>
        <v>26.030182944189612</v>
      </c>
      <c r="AB68" s="6">
        <f t="shared" si="15"/>
        <v>19.245624783113652</v>
      </c>
      <c r="AC68" s="6">
        <f t="shared" si="16"/>
        <v>3</v>
      </c>
    </row>
    <row r="69" spans="1:29">
      <c r="A69" s="11">
        <v>68</v>
      </c>
      <c r="B69" s="12">
        <v>3</v>
      </c>
      <c r="C69" s="11">
        <v>3</v>
      </c>
      <c r="D69" s="11">
        <v>4</v>
      </c>
      <c r="E69" s="11">
        <v>4</v>
      </c>
      <c r="F69" s="11">
        <v>3</v>
      </c>
      <c r="G69" s="11">
        <v>4</v>
      </c>
      <c r="H69" s="11">
        <v>3</v>
      </c>
      <c r="I69" s="11">
        <v>2</v>
      </c>
      <c r="J69" s="11">
        <v>4</v>
      </c>
      <c r="K69" s="11">
        <v>3</v>
      </c>
      <c r="L69" s="11">
        <v>3</v>
      </c>
      <c r="M69" s="11">
        <v>4</v>
      </c>
      <c r="N69" s="11">
        <v>4</v>
      </c>
      <c r="O69" s="11">
        <v>4</v>
      </c>
      <c r="P69" s="11">
        <v>4</v>
      </c>
      <c r="Q69" s="11">
        <v>2</v>
      </c>
      <c r="R69" s="11">
        <v>3</v>
      </c>
      <c r="S69" s="11">
        <v>4</v>
      </c>
      <c r="T69" s="11">
        <v>4</v>
      </c>
      <c r="U69" s="10">
        <v>2</v>
      </c>
      <c r="V69" s="6">
        <f t="shared" si="9"/>
        <v>10.938084370358895</v>
      </c>
      <c r="W69" s="6">
        <f t="shared" si="10"/>
        <v>27.949655388891802</v>
      </c>
      <c r="X69" s="6">
        <f t="shared" si="11"/>
        <v>18.287342183027786</v>
      </c>
      <c r="Y69" s="6">
        <f t="shared" si="12"/>
        <v>31.244902633378008</v>
      </c>
      <c r="Z69" s="6">
        <f t="shared" si="13"/>
        <v>28.694551488064103</v>
      </c>
      <c r="AA69" s="6">
        <f t="shared" si="14"/>
        <v>27.541319935534283</v>
      </c>
      <c r="AB69" s="6">
        <f t="shared" si="15"/>
        <v>10.938084370358895</v>
      </c>
      <c r="AC69" s="6">
        <f t="shared" si="16"/>
        <v>1</v>
      </c>
    </row>
    <row r="70" spans="1:29">
      <c r="A70" s="11">
        <v>69</v>
      </c>
      <c r="B70" s="12">
        <v>3</v>
      </c>
      <c r="C70" s="11">
        <v>3</v>
      </c>
      <c r="D70" s="11">
        <v>2</v>
      </c>
      <c r="E70" s="11">
        <v>3</v>
      </c>
      <c r="F70" s="11">
        <v>3</v>
      </c>
      <c r="G70" s="11">
        <v>3</v>
      </c>
      <c r="H70" s="11">
        <v>4</v>
      </c>
      <c r="I70" s="11">
        <v>2</v>
      </c>
      <c r="J70" s="11">
        <v>1</v>
      </c>
      <c r="K70" s="11">
        <v>5</v>
      </c>
      <c r="L70" s="11">
        <v>2</v>
      </c>
      <c r="M70" s="11">
        <v>5</v>
      </c>
      <c r="N70" s="11">
        <v>5</v>
      </c>
      <c r="O70" s="11">
        <v>5</v>
      </c>
      <c r="P70" s="11">
        <v>3</v>
      </c>
      <c r="Q70" s="11">
        <v>3</v>
      </c>
      <c r="R70" s="11">
        <v>2</v>
      </c>
      <c r="S70" s="11">
        <v>2</v>
      </c>
      <c r="T70" s="11">
        <v>2</v>
      </c>
      <c r="U70" s="10">
        <v>4</v>
      </c>
      <c r="V70" s="6">
        <f t="shared" si="9"/>
        <v>37.937961187945632</v>
      </c>
      <c r="W70" s="6">
        <f t="shared" si="10"/>
        <v>28.395748245697689</v>
      </c>
      <c r="X70" s="6">
        <f t="shared" si="11"/>
        <v>33.578937690483741</v>
      </c>
      <c r="Y70" s="6">
        <f t="shared" si="12"/>
        <v>33.178537339970966</v>
      </c>
      <c r="Z70" s="6">
        <f t="shared" si="13"/>
        <v>28.866133099413918</v>
      </c>
      <c r="AA70" s="6">
        <f t="shared" si="14"/>
        <v>30.163489126343148</v>
      </c>
      <c r="AB70" s="6">
        <f t="shared" si="15"/>
        <v>28.395748245697689</v>
      </c>
      <c r="AC70" s="6">
        <f t="shared" si="16"/>
        <v>2</v>
      </c>
    </row>
    <row r="71" spans="1:29">
      <c r="A71" s="11">
        <v>70</v>
      </c>
      <c r="B71" s="12">
        <v>3</v>
      </c>
      <c r="C71" s="11">
        <v>4</v>
      </c>
      <c r="D71" s="11">
        <v>1</v>
      </c>
      <c r="E71" s="11">
        <v>1</v>
      </c>
      <c r="F71" s="11">
        <v>3</v>
      </c>
      <c r="G71" s="11">
        <v>3</v>
      </c>
      <c r="H71" s="11">
        <v>3</v>
      </c>
      <c r="I71" s="11">
        <v>1</v>
      </c>
      <c r="J71" s="11">
        <v>1</v>
      </c>
      <c r="K71" s="11">
        <v>1</v>
      </c>
      <c r="L71" s="11">
        <v>1</v>
      </c>
      <c r="M71" s="11">
        <v>3</v>
      </c>
      <c r="N71" s="11">
        <v>2</v>
      </c>
      <c r="O71" s="11">
        <v>1</v>
      </c>
      <c r="P71" s="11">
        <v>3</v>
      </c>
      <c r="Q71" s="11">
        <v>3</v>
      </c>
      <c r="R71" s="11">
        <v>3</v>
      </c>
      <c r="S71" s="11">
        <v>4</v>
      </c>
      <c r="T71" s="11">
        <v>3</v>
      </c>
      <c r="U71" s="10">
        <v>4</v>
      </c>
      <c r="V71" s="6">
        <f t="shared" si="9"/>
        <v>47.665221917776456</v>
      </c>
      <c r="W71" s="6">
        <f t="shared" si="10"/>
        <v>19.503450554175725</v>
      </c>
      <c r="X71" s="6">
        <f t="shared" si="11"/>
        <v>31.578923862279296</v>
      </c>
      <c r="Y71" s="6">
        <f t="shared" si="12"/>
        <v>22.778713429136193</v>
      </c>
      <c r="Z71" s="6">
        <f t="shared" si="13"/>
        <v>31.837444950587138</v>
      </c>
      <c r="AA71" s="6">
        <f t="shared" si="14"/>
        <v>32.852412549891795</v>
      </c>
      <c r="AB71" s="6">
        <f t="shared" si="15"/>
        <v>19.503450554175725</v>
      </c>
      <c r="AC71" s="6">
        <f t="shared" si="16"/>
        <v>2</v>
      </c>
    </row>
    <row r="72" spans="1:29">
      <c r="A72" s="11">
        <v>71</v>
      </c>
      <c r="B72" s="12">
        <v>2</v>
      </c>
      <c r="C72" s="11">
        <v>4</v>
      </c>
      <c r="D72" s="11">
        <v>4</v>
      </c>
      <c r="E72" s="11">
        <v>4</v>
      </c>
      <c r="F72" s="11">
        <v>5</v>
      </c>
      <c r="G72" s="11">
        <v>4</v>
      </c>
      <c r="H72" s="11">
        <v>4</v>
      </c>
      <c r="I72" s="11">
        <v>4</v>
      </c>
      <c r="J72" s="11">
        <v>2</v>
      </c>
      <c r="K72" s="11">
        <v>2</v>
      </c>
      <c r="L72" s="11">
        <v>2</v>
      </c>
      <c r="M72" s="11">
        <v>2</v>
      </c>
      <c r="N72" s="11">
        <v>3</v>
      </c>
      <c r="O72" s="11">
        <v>1</v>
      </c>
      <c r="P72" s="11">
        <v>4</v>
      </c>
      <c r="Q72" s="11">
        <v>4</v>
      </c>
      <c r="R72" s="11">
        <v>2</v>
      </c>
      <c r="S72" s="11">
        <v>4</v>
      </c>
      <c r="T72" s="11">
        <v>4</v>
      </c>
      <c r="U72" s="10">
        <v>5</v>
      </c>
      <c r="V72" s="6">
        <f t="shared" si="9"/>
        <v>19.574311919382811</v>
      </c>
      <c r="W72" s="6">
        <f t="shared" si="10"/>
        <v>31.318980973497904</v>
      </c>
      <c r="X72" s="6">
        <f t="shared" si="11"/>
        <v>27.870643369281073</v>
      </c>
      <c r="Y72" s="6">
        <f t="shared" si="12"/>
        <v>48.46723594993923</v>
      </c>
      <c r="Z72" s="6">
        <f t="shared" si="13"/>
        <v>35.008798457175146</v>
      </c>
      <c r="AA72" s="6">
        <f t="shared" si="14"/>
        <v>52.697030735891857</v>
      </c>
      <c r="AB72" s="6">
        <f t="shared" si="15"/>
        <v>19.574311919382811</v>
      </c>
      <c r="AC72" s="6">
        <f t="shared" si="16"/>
        <v>1</v>
      </c>
    </row>
    <row r="73" spans="1:29">
      <c r="A73" s="11">
        <v>72</v>
      </c>
      <c r="B73" s="12">
        <v>2</v>
      </c>
      <c r="C73" s="11">
        <v>1</v>
      </c>
      <c r="D73" s="11">
        <v>2</v>
      </c>
      <c r="E73" s="11">
        <v>2</v>
      </c>
      <c r="F73" s="11">
        <v>1</v>
      </c>
      <c r="G73" s="11">
        <v>2</v>
      </c>
      <c r="H73" s="11">
        <v>3</v>
      </c>
      <c r="I73" s="11">
        <v>3</v>
      </c>
      <c r="J73" s="11">
        <v>2</v>
      </c>
      <c r="K73" s="11">
        <v>4</v>
      </c>
      <c r="L73" s="11">
        <v>1</v>
      </c>
      <c r="M73" s="11">
        <v>4</v>
      </c>
      <c r="N73" s="11">
        <v>4</v>
      </c>
      <c r="O73" s="11">
        <v>5</v>
      </c>
      <c r="P73" s="11">
        <v>5</v>
      </c>
      <c r="Q73" s="11">
        <v>3</v>
      </c>
      <c r="R73" s="11">
        <v>1</v>
      </c>
      <c r="S73" s="11">
        <v>2</v>
      </c>
      <c r="T73" s="11">
        <v>1</v>
      </c>
      <c r="U73" s="10">
        <v>5</v>
      </c>
      <c r="V73" s="6">
        <f t="shared" si="9"/>
        <v>61.755923468939699</v>
      </c>
      <c r="W73" s="6">
        <f t="shared" si="10"/>
        <v>31.795695197837482</v>
      </c>
      <c r="X73" s="6">
        <f t="shared" si="11"/>
        <v>37.662293347981318</v>
      </c>
      <c r="Y73" s="6">
        <f t="shared" si="12"/>
        <v>27.422698496964738</v>
      </c>
      <c r="Z73" s="6">
        <f t="shared" si="13"/>
        <v>34.380469992604169</v>
      </c>
      <c r="AA73" s="6">
        <f t="shared" si="14"/>
        <v>34.985667231780553</v>
      </c>
      <c r="AB73" s="6">
        <f t="shared" si="15"/>
        <v>27.422698496964738</v>
      </c>
      <c r="AC73" s="6">
        <f t="shared" si="16"/>
        <v>4</v>
      </c>
    </row>
    <row r="74" spans="1:29">
      <c r="A74" s="11">
        <v>73</v>
      </c>
      <c r="B74" s="12">
        <v>2</v>
      </c>
      <c r="C74" s="11">
        <v>3</v>
      </c>
      <c r="D74" s="11">
        <v>2</v>
      </c>
      <c r="E74" s="11">
        <v>4</v>
      </c>
      <c r="F74" s="11">
        <v>3</v>
      </c>
      <c r="G74" s="11">
        <v>3</v>
      </c>
      <c r="H74" s="11">
        <v>3</v>
      </c>
      <c r="I74" s="11">
        <v>3</v>
      </c>
      <c r="J74" s="11">
        <v>4</v>
      </c>
      <c r="K74" s="11">
        <v>3</v>
      </c>
      <c r="L74" s="11">
        <v>3</v>
      </c>
      <c r="M74" s="11">
        <v>1</v>
      </c>
      <c r="N74" s="11">
        <v>2</v>
      </c>
      <c r="O74" s="11">
        <v>4</v>
      </c>
      <c r="P74" s="11">
        <v>3</v>
      </c>
      <c r="Q74" s="11">
        <v>3</v>
      </c>
      <c r="R74" s="11">
        <v>2</v>
      </c>
      <c r="S74" s="11">
        <v>3</v>
      </c>
      <c r="T74" s="11">
        <v>4</v>
      </c>
      <c r="U74" s="10">
        <v>3</v>
      </c>
      <c r="V74" s="6">
        <f t="shared" si="9"/>
        <v>18.574306290314404</v>
      </c>
      <c r="W74" s="6">
        <f t="shared" si="10"/>
        <v>19.534256742628912</v>
      </c>
      <c r="X74" s="6">
        <f t="shared" si="11"/>
        <v>8.8706263740808993</v>
      </c>
      <c r="Y74" s="6">
        <f t="shared" si="12"/>
        <v>24.556144305886033</v>
      </c>
      <c r="Z74" s="6">
        <f t="shared" si="13"/>
        <v>14.666071692534828</v>
      </c>
      <c r="AA74" s="6">
        <f t="shared" si="14"/>
        <v>19.563492585143173</v>
      </c>
      <c r="AB74" s="6">
        <f t="shared" si="15"/>
        <v>8.8706263740808993</v>
      </c>
      <c r="AC74" s="6">
        <f t="shared" si="16"/>
        <v>3</v>
      </c>
    </row>
    <row r="75" spans="1:29">
      <c r="A75" s="11">
        <v>74</v>
      </c>
      <c r="B75" s="12">
        <v>5</v>
      </c>
      <c r="C75" s="11">
        <v>5</v>
      </c>
      <c r="D75" s="11">
        <v>2</v>
      </c>
      <c r="E75" s="11">
        <v>3</v>
      </c>
      <c r="F75" s="11">
        <v>2</v>
      </c>
      <c r="G75" s="11">
        <v>5</v>
      </c>
      <c r="H75" s="11">
        <v>1</v>
      </c>
      <c r="I75" s="11">
        <v>3</v>
      </c>
      <c r="J75" s="11">
        <v>2</v>
      </c>
      <c r="K75" s="11">
        <v>3</v>
      </c>
      <c r="L75" s="11">
        <v>3</v>
      </c>
      <c r="M75" s="11">
        <v>2</v>
      </c>
      <c r="N75" s="11">
        <v>2</v>
      </c>
      <c r="O75" s="11">
        <v>5</v>
      </c>
      <c r="P75" s="11">
        <v>5</v>
      </c>
      <c r="Q75" s="11">
        <v>5</v>
      </c>
      <c r="R75" s="11">
        <v>1</v>
      </c>
      <c r="S75" s="11">
        <v>2</v>
      </c>
      <c r="T75" s="11">
        <v>3</v>
      </c>
      <c r="U75" s="10">
        <v>4</v>
      </c>
      <c r="V75" s="6">
        <f t="shared" si="9"/>
        <v>49.847054943698083</v>
      </c>
      <c r="W75" s="6">
        <f t="shared" si="10"/>
        <v>41.826573483724488</v>
      </c>
      <c r="X75" s="6">
        <f t="shared" si="11"/>
        <v>42.537326778882608</v>
      </c>
      <c r="Y75" s="6">
        <f t="shared" si="12"/>
        <v>56.712247217197856</v>
      </c>
      <c r="Z75" s="6">
        <f t="shared" si="13"/>
        <v>33.580425379704621</v>
      </c>
      <c r="AA75" s="6">
        <f t="shared" si="14"/>
        <v>39.074590986347125</v>
      </c>
      <c r="AB75" s="6">
        <f t="shared" si="15"/>
        <v>33.580425379704621</v>
      </c>
      <c r="AC75" s="6">
        <f t="shared" si="16"/>
        <v>5</v>
      </c>
    </row>
    <row r="76" spans="1:29">
      <c r="A76" s="11">
        <v>75</v>
      </c>
      <c r="B76" s="12">
        <v>1</v>
      </c>
      <c r="C76" s="11">
        <v>1</v>
      </c>
      <c r="D76" s="11">
        <v>1</v>
      </c>
      <c r="E76" s="11">
        <v>1</v>
      </c>
      <c r="F76" s="11">
        <v>5</v>
      </c>
      <c r="G76" s="11">
        <v>2</v>
      </c>
      <c r="H76" s="11">
        <v>3</v>
      </c>
      <c r="I76" s="11">
        <v>3</v>
      </c>
      <c r="J76" s="11">
        <v>1</v>
      </c>
      <c r="K76" s="11">
        <v>1</v>
      </c>
      <c r="L76" s="11">
        <v>1</v>
      </c>
      <c r="M76" s="11">
        <v>4</v>
      </c>
      <c r="N76" s="11">
        <v>1</v>
      </c>
      <c r="O76" s="11">
        <v>3</v>
      </c>
      <c r="P76" s="11">
        <v>3</v>
      </c>
      <c r="Q76" s="11">
        <v>3</v>
      </c>
      <c r="R76" s="11">
        <v>3</v>
      </c>
      <c r="S76" s="11">
        <v>3</v>
      </c>
      <c r="T76" s="11">
        <v>3</v>
      </c>
      <c r="U76" s="10">
        <v>3</v>
      </c>
      <c r="V76" s="6">
        <f t="shared" si="9"/>
        <v>56.75598740468655</v>
      </c>
      <c r="W76" s="6">
        <f t="shared" si="10"/>
        <v>26.487989404420997</v>
      </c>
      <c r="X76" s="6">
        <f t="shared" si="11"/>
        <v>31.703933537121529</v>
      </c>
      <c r="Y76" s="6">
        <f t="shared" si="12"/>
        <v>24.333726765775253</v>
      </c>
      <c r="Z76" s="6">
        <f t="shared" si="13"/>
        <v>35.180385454476387</v>
      </c>
      <c r="AA76" s="6">
        <f t="shared" si="14"/>
        <v>33.78566534009363</v>
      </c>
      <c r="AB76" s="6">
        <f t="shared" si="15"/>
        <v>24.333726765775253</v>
      </c>
      <c r="AC76" s="6">
        <f t="shared" si="16"/>
        <v>4</v>
      </c>
    </row>
    <row r="77" spans="1:29">
      <c r="A77" s="11">
        <v>76</v>
      </c>
      <c r="B77" s="12">
        <v>4</v>
      </c>
      <c r="C77" s="11">
        <v>2</v>
      </c>
      <c r="D77" s="11">
        <v>1</v>
      </c>
      <c r="E77" s="11">
        <v>3</v>
      </c>
      <c r="F77" s="11">
        <v>3</v>
      </c>
      <c r="G77" s="11">
        <v>3</v>
      </c>
      <c r="H77" s="11">
        <v>2</v>
      </c>
      <c r="I77" s="11">
        <v>2</v>
      </c>
      <c r="J77" s="11">
        <v>1</v>
      </c>
      <c r="K77" s="11">
        <v>3</v>
      </c>
      <c r="L77" s="11">
        <v>2</v>
      </c>
      <c r="M77" s="11">
        <v>2</v>
      </c>
      <c r="N77" s="11">
        <v>2</v>
      </c>
      <c r="O77" s="11">
        <v>5</v>
      </c>
      <c r="P77" s="11">
        <v>3</v>
      </c>
      <c r="Q77" s="11">
        <v>3</v>
      </c>
      <c r="R77" s="11">
        <v>2</v>
      </c>
      <c r="S77" s="11">
        <v>2</v>
      </c>
      <c r="T77" s="11">
        <v>3</v>
      </c>
      <c r="U77" s="10">
        <v>2</v>
      </c>
      <c r="V77" s="6">
        <f t="shared" si="9"/>
        <v>41.119701820033413</v>
      </c>
      <c r="W77" s="6">
        <f t="shared" si="10"/>
        <v>16.826424859148954</v>
      </c>
      <c r="X77" s="6">
        <f t="shared" si="11"/>
        <v>21.203918608298121</v>
      </c>
      <c r="Y77" s="6">
        <f t="shared" si="12"/>
        <v>20.467297295580934</v>
      </c>
      <c r="Z77" s="6">
        <f t="shared" si="13"/>
        <v>11.151834135569057</v>
      </c>
      <c r="AA77" s="6">
        <f t="shared" si="14"/>
        <v>6.2522991627015818</v>
      </c>
      <c r="AB77" s="6">
        <f t="shared" si="15"/>
        <v>6.2522991627015818</v>
      </c>
      <c r="AC77" s="6">
        <f t="shared" si="16"/>
        <v>6</v>
      </c>
    </row>
    <row r="78" spans="1:29">
      <c r="A78" s="11">
        <v>77</v>
      </c>
      <c r="B78" s="12">
        <v>3</v>
      </c>
      <c r="C78" s="11">
        <v>1</v>
      </c>
      <c r="D78" s="11">
        <v>1</v>
      </c>
      <c r="E78" s="11">
        <v>1</v>
      </c>
      <c r="F78" s="11">
        <v>1</v>
      </c>
      <c r="G78" s="11">
        <v>4</v>
      </c>
      <c r="H78" s="11">
        <v>2</v>
      </c>
      <c r="I78" s="11">
        <v>1</v>
      </c>
      <c r="J78" s="11">
        <v>1</v>
      </c>
      <c r="K78" s="11">
        <v>2</v>
      </c>
      <c r="L78" s="11">
        <v>3</v>
      </c>
      <c r="M78" s="11">
        <v>3</v>
      </c>
      <c r="N78" s="11">
        <v>4</v>
      </c>
      <c r="O78" s="11">
        <v>4</v>
      </c>
      <c r="P78" s="11">
        <v>5</v>
      </c>
      <c r="Q78" s="11">
        <v>2</v>
      </c>
      <c r="R78" s="11">
        <v>2</v>
      </c>
      <c r="S78" s="11">
        <v>2</v>
      </c>
      <c r="T78" s="11">
        <v>5</v>
      </c>
      <c r="U78" s="10">
        <v>5</v>
      </c>
      <c r="V78" s="6">
        <f t="shared" si="9"/>
        <v>62.392434342267926</v>
      </c>
      <c r="W78" s="6">
        <f t="shared" si="10"/>
        <v>35.503346729070302</v>
      </c>
      <c r="X78" s="6">
        <f t="shared" si="11"/>
        <v>38.828955517481376</v>
      </c>
      <c r="Y78" s="6">
        <f t="shared" si="12"/>
        <v>18.822883014178252</v>
      </c>
      <c r="Z78" s="6">
        <f t="shared" si="13"/>
        <v>37.123354565278717</v>
      </c>
      <c r="AA78" s="6">
        <f t="shared" si="14"/>
        <v>30.963427159296025</v>
      </c>
      <c r="AB78" s="6">
        <f t="shared" si="15"/>
        <v>18.822883014178252</v>
      </c>
      <c r="AC78" s="6">
        <f t="shared" si="16"/>
        <v>4</v>
      </c>
    </row>
    <row r="79" spans="1:29">
      <c r="A79" s="11">
        <v>78</v>
      </c>
      <c r="B79" s="12">
        <v>3</v>
      </c>
      <c r="C79" s="11">
        <v>2</v>
      </c>
      <c r="D79" s="11">
        <v>1</v>
      </c>
      <c r="E79" s="11">
        <v>3</v>
      </c>
      <c r="F79" s="11">
        <v>1</v>
      </c>
      <c r="G79" s="11">
        <v>3</v>
      </c>
      <c r="H79" s="11">
        <v>3</v>
      </c>
      <c r="I79" s="11">
        <v>1</v>
      </c>
      <c r="J79" s="11">
        <v>1</v>
      </c>
      <c r="K79" s="11">
        <v>2</v>
      </c>
      <c r="L79" s="11">
        <v>1</v>
      </c>
      <c r="M79" s="11">
        <v>3</v>
      </c>
      <c r="N79" s="11">
        <v>2</v>
      </c>
      <c r="O79" s="11">
        <v>4</v>
      </c>
      <c r="P79" s="11">
        <v>3</v>
      </c>
      <c r="Q79" s="11">
        <v>1</v>
      </c>
      <c r="R79" s="11">
        <v>5</v>
      </c>
      <c r="S79" s="11">
        <v>3</v>
      </c>
      <c r="T79" s="11">
        <v>3</v>
      </c>
      <c r="U79" s="10">
        <v>5</v>
      </c>
      <c r="V79" s="6">
        <f t="shared" si="9"/>
        <v>53.119613961617318</v>
      </c>
      <c r="W79" s="6">
        <f t="shared" si="10"/>
        <v>23.441845947532396</v>
      </c>
      <c r="X79" s="6">
        <f t="shared" si="11"/>
        <v>33.370634445293518</v>
      </c>
      <c r="Y79" s="6">
        <f t="shared" si="12"/>
        <v>15.845040760996476</v>
      </c>
      <c r="Z79" s="6">
        <f t="shared" si="13"/>
        <v>28.351819090454775</v>
      </c>
      <c r="AA79" s="6">
        <f t="shared" si="14"/>
        <v>28.207904947803897</v>
      </c>
      <c r="AB79" s="6">
        <f t="shared" si="15"/>
        <v>15.845040760996476</v>
      </c>
      <c r="AC79" s="6">
        <f t="shared" si="16"/>
        <v>4</v>
      </c>
    </row>
    <row r="80" spans="1:29">
      <c r="A80" s="11">
        <v>79</v>
      </c>
      <c r="B80" s="12">
        <v>3</v>
      </c>
      <c r="C80" s="11">
        <v>3</v>
      </c>
      <c r="D80" s="11">
        <v>2</v>
      </c>
      <c r="E80" s="11">
        <v>4</v>
      </c>
      <c r="F80" s="11">
        <v>3</v>
      </c>
      <c r="G80" s="11">
        <v>4</v>
      </c>
      <c r="H80" s="11">
        <v>3</v>
      </c>
      <c r="I80" s="11">
        <v>2</v>
      </c>
      <c r="J80" s="11">
        <v>2</v>
      </c>
      <c r="K80" s="11">
        <v>3</v>
      </c>
      <c r="L80" s="11">
        <v>2</v>
      </c>
      <c r="M80" s="11">
        <v>1</v>
      </c>
      <c r="N80" s="11">
        <v>2</v>
      </c>
      <c r="O80" s="11">
        <v>4</v>
      </c>
      <c r="P80" s="11">
        <v>3</v>
      </c>
      <c r="Q80" s="11">
        <v>3</v>
      </c>
      <c r="R80" s="11">
        <v>3</v>
      </c>
      <c r="S80" s="11">
        <v>3</v>
      </c>
      <c r="T80" s="11">
        <v>3</v>
      </c>
      <c r="U80" s="10">
        <v>3</v>
      </c>
      <c r="V80" s="6">
        <f t="shared" si="9"/>
        <v>19.937926523719188</v>
      </c>
      <c r="W80" s="6">
        <f t="shared" si="10"/>
        <v>11.22652764036985</v>
      </c>
      <c r="X80" s="6">
        <f t="shared" si="11"/>
        <v>11.662297413309478</v>
      </c>
      <c r="Y80" s="6">
        <f t="shared" si="12"/>
        <v>19.35616736783652</v>
      </c>
      <c r="Z80" s="6">
        <f t="shared" si="13"/>
        <v>5.1517863752405368</v>
      </c>
      <c r="AA80" s="6">
        <f t="shared" si="14"/>
        <v>9.9857509080683453</v>
      </c>
      <c r="AB80" s="6">
        <f t="shared" si="15"/>
        <v>5.1517863752405368</v>
      </c>
      <c r="AC80" s="6">
        <f t="shared" si="16"/>
        <v>5</v>
      </c>
    </row>
    <row r="81" spans="1:29">
      <c r="A81" s="11">
        <v>80</v>
      </c>
      <c r="B81" s="12">
        <v>5</v>
      </c>
      <c r="C81" s="11">
        <v>5</v>
      </c>
      <c r="D81" s="11">
        <v>1</v>
      </c>
      <c r="E81" s="11">
        <v>1</v>
      </c>
      <c r="F81" s="11">
        <v>4</v>
      </c>
      <c r="G81" s="11">
        <v>5</v>
      </c>
      <c r="H81" s="11">
        <v>3</v>
      </c>
      <c r="I81" s="11">
        <v>2</v>
      </c>
      <c r="J81" s="11">
        <v>2</v>
      </c>
      <c r="K81" s="11">
        <v>3</v>
      </c>
      <c r="L81" s="11">
        <v>2</v>
      </c>
      <c r="M81" s="11">
        <v>2</v>
      </c>
      <c r="N81" s="11">
        <v>2</v>
      </c>
      <c r="O81" s="11">
        <v>2</v>
      </c>
      <c r="P81" s="11">
        <v>5</v>
      </c>
      <c r="Q81" s="11">
        <v>1</v>
      </c>
      <c r="R81" s="11">
        <v>3</v>
      </c>
      <c r="S81" s="11">
        <v>3</v>
      </c>
      <c r="T81" s="11">
        <v>3</v>
      </c>
      <c r="U81" s="10">
        <v>2</v>
      </c>
      <c r="V81" s="6">
        <f t="shared" si="9"/>
        <v>42.847122074266323</v>
      </c>
      <c r="W81" s="6">
        <f t="shared" si="10"/>
        <v>37.195714537232426</v>
      </c>
      <c r="X81" s="6">
        <f t="shared" si="11"/>
        <v>34.870624137069235</v>
      </c>
      <c r="Y81" s="6">
        <f t="shared" si="12"/>
        <v>41.712250744536711</v>
      </c>
      <c r="Z81" s="6">
        <f t="shared" si="13"/>
        <v>33.980304070080273</v>
      </c>
      <c r="AA81" s="6">
        <f t="shared" si="14"/>
        <v>27.585736967818054</v>
      </c>
      <c r="AB81" s="6">
        <f t="shared" si="15"/>
        <v>27.585736967818054</v>
      </c>
      <c r="AC81" s="6">
        <f t="shared" si="16"/>
        <v>6</v>
      </c>
    </row>
    <row r="82" spans="1:29">
      <c r="A82" s="11">
        <v>81</v>
      </c>
      <c r="B82" s="12">
        <v>3</v>
      </c>
      <c r="C82" s="11">
        <v>2</v>
      </c>
      <c r="D82" s="11">
        <v>1</v>
      </c>
      <c r="E82" s="11">
        <v>4</v>
      </c>
      <c r="F82" s="11">
        <v>3</v>
      </c>
      <c r="G82" s="11">
        <v>5</v>
      </c>
      <c r="H82" s="11">
        <v>4</v>
      </c>
      <c r="I82" s="11">
        <v>3</v>
      </c>
      <c r="J82" s="11">
        <v>2</v>
      </c>
      <c r="K82" s="11">
        <v>5</v>
      </c>
      <c r="L82" s="11">
        <v>1</v>
      </c>
      <c r="M82" s="11">
        <v>2</v>
      </c>
      <c r="N82" s="11">
        <v>3</v>
      </c>
      <c r="O82" s="11">
        <v>2</v>
      </c>
      <c r="P82" s="11">
        <v>3</v>
      </c>
      <c r="Q82" s="11">
        <v>4</v>
      </c>
      <c r="R82" s="11">
        <v>4</v>
      </c>
      <c r="S82" s="11">
        <v>1</v>
      </c>
      <c r="T82" s="11">
        <v>2</v>
      </c>
      <c r="U82" s="10">
        <v>1</v>
      </c>
      <c r="V82" s="6">
        <f t="shared" si="9"/>
        <v>43.210569983468041</v>
      </c>
      <c r="W82" s="6">
        <f t="shared" si="10"/>
        <v>36.995689704743313</v>
      </c>
      <c r="X82" s="6">
        <f t="shared" si="11"/>
        <v>35.245656304847692</v>
      </c>
      <c r="Y82" s="6">
        <f t="shared" si="12"/>
        <v>45.55605169781623</v>
      </c>
      <c r="Z82" s="6">
        <f t="shared" si="13"/>
        <v>38.15168635389454</v>
      </c>
      <c r="AA82" s="6">
        <f t="shared" si="14"/>
        <v>24.096952147918596</v>
      </c>
      <c r="AB82" s="6">
        <f t="shared" si="15"/>
        <v>24.096952147918596</v>
      </c>
      <c r="AC82" s="6">
        <f t="shared" si="16"/>
        <v>6</v>
      </c>
    </row>
    <row r="83" spans="1:29">
      <c r="A83" s="11">
        <v>82</v>
      </c>
      <c r="B83" s="12">
        <v>1</v>
      </c>
      <c r="C83" s="11">
        <v>1</v>
      </c>
      <c r="D83" s="11">
        <v>1</v>
      </c>
      <c r="E83" s="11">
        <v>1</v>
      </c>
      <c r="F83" s="11">
        <v>1</v>
      </c>
      <c r="G83" s="11">
        <v>1</v>
      </c>
      <c r="H83" s="11">
        <v>3</v>
      </c>
      <c r="I83" s="11">
        <v>3</v>
      </c>
      <c r="J83" s="11">
        <v>3</v>
      </c>
      <c r="K83" s="11">
        <v>3</v>
      </c>
      <c r="L83" s="11">
        <v>3</v>
      </c>
      <c r="M83" s="11">
        <v>1</v>
      </c>
      <c r="N83" s="11">
        <v>1</v>
      </c>
      <c r="O83" s="11">
        <v>2</v>
      </c>
      <c r="P83" s="11">
        <v>5</v>
      </c>
      <c r="Q83" s="11">
        <v>1</v>
      </c>
      <c r="R83" s="11">
        <v>3</v>
      </c>
      <c r="S83" s="11">
        <v>4</v>
      </c>
      <c r="T83" s="11">
        <v>3</v>
      </c>
      <c r="U83" s="10">
        <v>5</v>
      </c>
      <c r="V83" s="6">
        <f t="shared" si="9"/>
        <v>66.392318172454466</v>
      </c>
      <c r="W83" s="6">
        <f t="shared" si="10"/>
        <v>39.595716086487961</v>
      </c>
      <c r="X83" s="6">
        <f t="shared" si="11"/>
        <v>30.453986758680031</v>
      </c>
      <c r="Y83" s="6">
        <f t="shared" si="12"/>
        <v>26.200555049574088</v>
      </c>
      <c r="Z83" s="6">
        <f t="shared" si="13"/>
        <v>44.751841265781778</v>
      </c>
      <c r="AA83" s="6">
        <f t="shared" si="14"/>
        <v>45.452336667059228</v>
      </c>
      <c r="AB83" s="6">
        <f t="shared" si="15"/>
        <v>26.200555049574088</v>
      </c>
      <c r="AC83" s="6">
        <f t="shared" si="16"/>
        <v>4</v>
      </c>
    </row>
    <row r="84" spans="1:29">
      <c r="A84" s="11">
        <v>83</v>
      </c>
      <c r="B84" s="12">
        <v>3</v>
      </c>
      <c r="C84" s="11">
        <v>4</v>
      </c>
      <c r="D84" s="11">
        <v>2</v>
      </c>
      <c r="E84" s="11">
        <v>3</v>
      </c>
      <c r="F84" s="11">
        <v>4</v>
      </c>
      <c r="G84" s="11">
        <v>3</v>
      </c>
      <c r="H84" s="11">
        <v>3</v>
      </c>
      <c r="I84" s="11">
        <v>3</v>
      </c>
      <c r="J84" s="11">
        <v>3</v>
      </c>
      <c r="K84" s="11">
        <v>3</v>
      </c>
      <c r="L84" s="11">
        <v>3</v>
      </c>
      <c r="M84" s="11">
        <v>3</v>
      </c>
      <c r="N84" s="11">
        <v>3</v>
      </c>
      <c r="O84" s="11">
        <v>3</v>
      </c>
      <c r="P84" s="11">
        <v>3</v>
      </c>
      <c r="Q84" s="11">
        <v>2</v>
      </c>
      <c r="R84" s="11">
        <v>3</v>
      </c>
      <c r="S84" s="11">
        <v>3</v>
      </c>
      <c r="T84" s="11">
        <v>3</v>
      </c>
      <c r="U84" s="10">
        <v>3</v>
      </c>
      <c r="V84" s="6">
        <f t="shared" si="9"/>
        <v>9.119789206246784</v>
      </c>
      <c r="W84" s="6">
        <f t="shared" si="10"/>
        <v>11.103471944932716</v>
      </c>
      <c r="X84" s="6">
        <f t="shared" si="11"/>
        <v>5.8289599917651209</v>
      </c>
      <c r="Y84" s="6">
        <f t="shared" si="12"/>
        <v>19.000832720745468</v>
      </c>
      <c r="Z84" s="6">
        <f t="shared" si="13"/>
        <v>15.094549860796651</v>
      </c>
      <c r="AA84" s="6">
        <f t="shared" si="14"/>
        <v>15.319077418878109</v>
      </c>
      <c r="AB84" s="6">
        <f t="shared" si="15"/>
        <v>5.8289599917651209</v>
      </c>
      <c r="AC84" s="6">
        <f t="shared" si="16"/>
        <v>3</v>
      </c>
    </row>
    <row r="85" spans="1:29">
      <c r="A85" s="11">
        <v>84</v>
      </c>
      <c r="B85" s="12">
        <v>2</v>
      </c>
      <c r="C85" s="11">
        <v>3</v>
      </c>
      <c r="D85" s="11">
        <v>2</v>
      </c>
      <c r="E85" s="11">
        <v>2</v>
      </c>
      <c r="F85" s="11">
        <v>4</v>
      </c>
      <c r="G85" s="11">
        <v>4</v>
      </c>
      <c r="H85" s="11">
        <v>3</v>
      </c>
      <c r="I85" s="11">
        <v>2</v>
      </c>
      <c r="J85" s="11">
        <v>2</v>
      </c>
      <c r="K85" s="11">
        <v>3</v>
      </c>
      <c r="L85" s="11">
        <v>4</v>
      </c>
      <c r="M85" s="11">
        <v>3</v>
      </c>
      <c r="N85" s="11">
        <v>1</v>
      </c>
      <c r="O85" s="11">
        <v>5</v>
      </c>
      <c r="P85" s="11">
        <v>3</v>
      </c>
      <c r="Q85" s="11">
        <v>1</v>
      </c>
      <c r="R85" s="11">
        <v>1</v>
      </c>
      <c r="S85" s="11">
        <v>5</v>
      </c>
      <c r="T85" s="11">
        <v>3</v>
      </c>
      <c r="U85" s="10">
        <v>5</v>
      </c>
      <c r="V85" s="6">
        <f t="shared" si="9"/>
        <v>37.93802446205784</v>
      </c>
      <c r="W85" s="6">
        <f t="shared" si="10"/>
        <v>29.718873129358101</v>
      </c>
      <c r="X85" s="6">
        <f t="shared" si="11"/>
        <v>29.037254972983593</v>
      </c>
      <c r="Y85" s="6">
        <f t="shared" si="12"/>
        <v>32.111916061177318</v>
      </c>
      <c r="Z85" s="6">
        <f t="shared" si="13"/>
        <v>19.494775891933852</v>
      </c>
      <c r="AA85" s="6">
        <f t="shared" si="14"/>
        <v>40.763473662272865</v>
      </c>
      <c r="AB85" s="6">
        <f t="shared" si="15"/>
        <v>19.494775891933852</v>
      </c>
      <c r="AC85" s="6">
        <f t="shared" si="16"/>
        <v>5</v>
      </c>
    </row>
    <row r="86" spans="1:29">
      <c r="A86" s="11">
        <v>85</v>
      </c>
      <c r="B86" s="12">
        <v>2</v>
      </c>
      <c r="C86" s="11">
        <v>2</v>
      </c>
      <c r="D86" s="11">
        <v>2</v>
      </c>
      <c r="E86" s="11">
        <v>5</v>
      </c>
      <c r="F86" s="11">
        <v>3</v>
      </c>
      <c r="G86" s="11">
        <v>5</v>
      </c>
      <c r="H86" s="11">
        <v>3</v>
      </c>
      <c r="I86" s="11">
        <v>2</v>
      </c>
      <c r="J86" s="11">
        <v>2</v>
      </c>
      <c r="K86" s="11">
        <v>2</v>
      </c>
      <c r="L86" s="11">
        <v>2</v>
      </c>
      <c r="M86" s="11">
        <v>2</v>
      </c>
      <c r="N86" s="11">
        <v>2</v>
      </c>
      <c r="O86" s="11">
        <v>5</v>
      </c>
      <c r="P86" s="11">
        <v>4</v>
      </c>
      <c r="Q86" s="11">
        <v>1</v>
      </c>
      <c r="R86" s="11">
        <v>2</v>
      </c>
      <c r="S86" s="11">
        <v>3</v>
      </c>
      <c r="T86" s="11">
        <v>3</v>
      </c>
      <c r="U86" s="10">
        <v>3</v>
      </c>
      <c r="V86" s="6">
        <f t="shared" si="9"/>
        <v>33.119703495166171</v>
      </c>
      <c r="W86" s="6">
        <f t="shared" si="10"/>
        <v>23.18029971912696</v>
      </c>
      <c r="X86" s="6">
        <f t="shared" si="11"/>
        <v>24.995605282032617</v>
      </c>
      <c r="Y86" s="6">
        <f t="shared" si="12"/>
        <v>24.089195349452176</v>
      </c>
      <c r="Z86" s="6">
        <f t="shared" si="13"/>
        <v>11.237557520680967</v>
      </c>
      <c r="AA86" s="6">
        <f t="shared" si="14"/>
        <v>18.696838117159825</v>
      </c>
      <c r="AB86" s="6">
        <f t="shared" si="15"/>
        <v>11.237557520680967</v>
      </c>
      <c r="AC86" s="6">
        <f t="shared" si="16"/>
        <v>5</v>
      </c>
    </row>
    <row r="87" spans="1:29">
      <c r="A87" s="11">
        <v>86</v>
      </c>
      <c r="B87" s="12">
        <v>1</v>
      </c>
      <c r="C87" s="11">
        <v>1</v>
      </c>
      <c r="D87" s="11">
        <v>3</v>
      </c>
      <c r="E87" s="11">
        <v>2</v>
      </c>
      <c r="F87" s="11">
        <v>2</v>
      </c>
      <c r="G87" s="11">
        <v>4</v>
      </c>
      <c r="H87" s="11">
        <v>5</v>
      </c>
      <c r="I87" s="11">
        <v>2</v>
      </c>
      <c r="J87" s="11">
        <v>1</v>
      </c>
      <c r="K87" s="11">
        <v>3</v>
      </c>
      <c r="L87" s="11">
        <v>1</v>
      </c>
      <c r="M87" s="11">
        <v>3</v>
      </c>
      <c r="N87" s="11">
        <v>3</v>
      </c>
      <c r="O87" s="11">
        <v>5</v>
      </c>
      <c r="P87" s="11">
        <v>4</v>
      </c>
      <c r="Q87" s="11">
        <v>1</v>
      </c>
      <c r="R87" s="11">
        <v>2</v>
      </c>
      <c r="S87" s="11">
        <v>3</v>
      </c>
      <c r="T87" s="11">
        <v>1</v>
      </c>
      <c r="U87" s="10">
        <v>5</v>
      </c>
      <c r="V87" s="6">
        <f t="shared" si="9"/>
        <v>54.301412447590259</v>
      </c>
      <c r="W87" s="6">
        <f t="shared" si="10"/>
        <v>28.180298383827278</v>
      </c>
      <c r="X87" s="6">
        <f t="shared" si="11"/>
        <v>39.745611443558317</v>
      </c>
      <c r="Y87" s="6">
        <f t="shared" si="12"/>
        <v>23.133630360687317</v>
      </c>
      <c r="Z87" s="6">
        <f t="shared" si="13"/>
        <v>25.380509309528474</v>
      </c>
      <c r="AA87" s="6">
        <f t="shared" si="14"/>
        <v>36.007978086043138</v>
      </c>
      <c r="AB87" s="6">
        <f t="shared" si="15"/>
        <v>23.133630360687317</v>
      </c>
      <c r="AC87" s="6">
        <f t="shared" si="16"/>
        <v>4</v>
      </c>
    </row>
    <row r="88" spans="1:29">
      <c r="A88" s="11">
        <v>87</v>
      </c>
      <c r="B88" s="12">
        <v>5</v>
      </c>
      <c r="C88" s="11">
        <v>2</v>
      </c>
      <c r="D88" s="11">
        <v>1</v>
      </c>
      <c r="E88" s="11">
        <v>3</v>
      </c>
      <c r="F88" s="11">
        <v>4</v>
      </c>
      <c r="G88" s="11">
        <v>3</v>
      </c>
      <c r="H88" s="11">
        <v>3</v>
      </c>
      <c r="I88" s="11">
        <v>2</v>
      </c>
      <c r="J88" s="11">
        <v>2</v>
      </c>
      <c r="K88" s="11">
        <v>2</v>
      </c>
      <c r="L88" s="11">
        <v>1</v>
      </c>
      <c r="M88" s="11">
        <v>2</v>
      </c>
      <c r="N88" s="11">
        <v>2</v>
      </c>
      <c r="O88" s="11">
        <v>4</v>
      </c>
      <c r="P88" s="11">
        <v>4</v>
      </c>
      <c r="Q88" s="11">
        <v>2</v>
      </c>
      <c r="R88" s="11">
        <v>4</v>
      </c>
      <c r="S88" s="11">
        <v>2</v>
      </c>
      <c r="T88" s="11">
        <v>4</v>
      </c>
      <c r="U88" s="10">
        <v>2</v>
      </c>
      <c r="V88" s="6">
        <f t="shared" si="9"/>
        <v>36.392445207575626</v>
      </c>
      <c r="W88" s="6">
        <f t="shared" si="10"/>
        <v>23.287994242172338</v>
      </c>
      <c r="X88" s="6">
        <f t="shared" si="11"/>
        <v>22.953939116680541</v>
      </c>
      <c r="Y88" s="6">
        <f t="shared" si="12"/>
        <v>24.111680275700859</v>
      </c>
      <c r="Z88" s="6">
        <f t="shared" si="13"/>
        <v>20.980304238295073</v>
      </c>
      <c r="AA88" s="6">
        <f t="shared" si="14"/>
        <v>11.05231905245968</v>
      </c>
      <c r="AB88" s="6">
        <f t="shared" si="15"/>
        <v>11.05231905245968</v>
      </c>
      <c r="AC88" s="6">
        <f t="shared" si="16"/>
        <v>6</v>
      </c>
    </row>
    <row r="89" spans="1:29">
      <c r="A89" s="11">
        <v>88</v>
      </c>
      <c r="B89" s="12">
        <v>2</v>
      </c>
      <c r="C89" s="11">
        <v>2</v>
      </c>
      <c r="D89" s="11">
        <v>2</v>
      </c>
      <c r="E89" s="11">
        <v>2</v>
      </c>
      <c r="F89" s="11">
        <v>2</v>
      </c>
      <c r="G89" s="11">
        <v>4</v>
      </c>
      <c r="H89" s="11">
        <v>3</v>
      </c>
      <c r="I89" s="11">
        <v>2</v>
      </c>
      <c r="J89" s="11">
        <v>4</v>
      </c>
      <c r="K89" s="11">
        <v>1</v>
      </c>
      <c r="L89" s="11">
        <v>2</v>
      </c>
      <c r="M89" s="11">
        <v>2</v>
      </c>
      <c r="N89" s="11">
        <v>4</v>
      </c>
      <c r="O89" s="11">
        <v>4</v>
      </c>
      <c r="P89" s="11">
        <v>3</v>
      </c>
      <c r="Q89" s="11">
        <v>4</v>
      </c>
      <c r="R89" s="11">
        <v>2</v>
      </c>
      <c r="S89" s="11">
        <v>1</v>
      </c>
      <c r="T89" s="11">
        <v>2</v>
      </c>
      <c r="U89" s="10">
        <v>4</v>
      </c>
      <c r="V89" s="6">
        <f t="shared" si="9"/>
        <v>39.392357812691309</v>
      </c>
      <c r="W89" s="6">
        <f t="shared" si="10"/>
        <v>18.949573023649176</v>
      </c>
      <c r="X89" s="6">
        <f t="shared" si="11"/>
        <v>27.703943572989303</v>
      </c>
      <c r="Y89" s="6">
        <f t="shared" si="12"/>
        <v>21.400584097124931</v>
      </c>
      <c r="Z89" s="6">
        <f t="shared" si="13"/>
        <v>28.80891298880293</v>
      </c>
      <c r="AA89" s="6">
        <f t="shared" si="14"/>
        <v>24.896861597068337</v>
      </c>
      <c r="AB89" s="6">
        <f t="shared" si="15"/>
        <v>18.949573023649176</v>
      </c>
      <c r="AC89" s="6">
        <f t="shared" si="16"/>
        <v>2</v>
      </c>
    </row>
    <row r="90" spans="1:29">
      <c r="A90" s="11">
        <v>89</v>
      </c>
      <c r="B90" s="12">
        <v>4</v>
      </c>
      <c r="C90" s="11">
        <v>2</v>
      </c>
      <c r="D90" s="11">
        <v>2</v>
      </c>
      <c r="E90" s="11">
        <v>5</v>
      </c>
      <c r="F90" s="11">
        <v>1</v>
      </c>
      <c r="G90" s="11">
        <v>3</v>
      </c>
      <c r="H90" s="11">
        <v>4</v>
      </c>
      <c r="I90" s="11">
        <v>2</v>
      </c>
      <c r="J90" s="11">
        <v>1</v>
      </c>
      <c r="K90" s="11">
        <v>2</v>
      </c>
      <c r="L90" s="11">
        <v>1</v>
      </c>
      <c r="M90" s="11">
        <v>3</v>
      </c>
      <c r="N90" s="11">
        <v>2</v>
      </c>
      <c r="O90" s="11">
        <v>5</v>
      </c>
      <c r="P90" s="11">
        <v>4</v>
      </c>
      <c r="Q90" s="11">
        <v>1</v>
      </c>
      <c r="R90" s="11">
        <v>3</v>
      </c>
      <c r="S90" s="11">
        <v>4</v>
      </c>
      <c r="T90" s="11">
        <v>1</v>
      </c>
      <c r="U90" s="10">
        <v>4</v>
      </c>
      <c r="V90" s="6">
        <f t="shared" si="9"/>
        <v>50.755989843488663</v>
      </c>
      <c r="W90" s="6">
        <f t="shared" si="10"/>
        <v>27.011087438800118</v>
      </c>
      <c r="X90" s="6">
        <f t="shared" si="11"/>
        <v>39.162271020164013</v>
      </c>
      <c r="Y90" s="6">
        <f t="shared" si="12"/>
        <v>30.333746897457551</v>
      </c>
      <c r="Z90" s="6">
        <f t="shared" si="13"/>
        <v>23.151812865587807</v>
      </c>
      <c r="AA90" s="6">
        <f t="shared" si="14"/>
        <v>30.496813213323481</v>
      </c>
      <c r="AB90" s="6">
        <f t="shared" si="15"/>
        <v>23.151812865587807</v>
      </c>
      <c r="AC90" s="6">
        <f t="shared" si="16"/>
        <v>5</v>
      </c>
    </row>
    <row r="91" spans="1:29">
      <c r="A91" s="11">
        <v>90</v>
      </c>
      <c r="B91" s="12">
        <v>2</v>
      </c>
      <c r="C91" s="11">
        <v>2</v>
      </c>
      <c r="D91" s="11">
        <v>2</v>
      </c>
      <c r="E91" s="11">
        <v>2</v>
      </c>
      <c r="F91" s="11">
        <v>2</v>
      </c>
      <c r="G91" s="11">
        <v>3</v>
      </c>
      <c r="H91" s="11">
        <v>2</v>
      </c>
      <c r="I91" s="11">
        <v>2</v>
      </c>
      <c r="J91" s="11">
        <v>2</v>
      </c>
      <c r="K91" s="11">
        <v>3</v>
      </c>
      <c r="L91" s="11">
        <v>2</v>
      </c>
      <c r="M91" s="11">
        <v>2</v>
      </c>
      <c r="N91" s="11">
        <v>2</v>
      </c>
      <c r="O91" s="11">
        <v>1</v>
      </c>
      <c r="P91" s="11">
        <v>4</v>
      </c>
      <c r="Q91" s="11">
        <v>2</v>
      </c>
      <c r="R91" s="11">
        <v>1</v>
      </c>
      <c r="S91" s="11">
        <v>2</v>
      </c>
      <c r="T91" s="11">
        <v>4</v>
      </c>
      <c r="U91" s="10">
        <v>3</v>
      </c>
      <c r="V91" s="6">
        <f t="shared" si="9"/>
        <v>40.392378194101028</v>
      </c>
      <c r="W91" s="6">
        <f t="shared" si="10"/>
        <v>16.380279450934875</v>
      </c>
      <c r="X91" s="6">
        <f t="shared" si="11"/>
        <v>17.662242348258992</v>
      </c>
      <c r="Y91" s="6">
        <f t="shared" si="12"/>
        <v>13.244942632100809</v>
      </c>
      <c r="Z91" s="6">
        <f t="shared" si="13"/>
        <v>23.637422515341896</v>
      </c>
      <c r="AA91" s="6">
        <f t="shared" si="14"/>
        <v>16.896861431288148</v>
      </c>
      <c r="AB91" s="6">
        <f t="shared" si="15"/>
        <v>13.244942632100809</v>
      </c>
      <c r="AC91" s="6">
        <f t="shared" si="16"/>
        <v>4</v>
      </c>
    </row>
    <row r="92" spans="1:29">
      <c r="A92" s="11">
        <v>91</v>
      </c>
      <c r="B92" s="12">
        <v>2</v>
      </c>
      <c r="C92" s="11">
        <v>2</v>
      </c>
      <c r="D92" s="11">
        <v>4</v>
      </c>
      <c r="E92" s="11">
        <v>4</v>
      </c>
      <c r="F92" s="11">
        <v>5</v>
      </c>
      <c r="G92" s="11">
        <v>3</v>
      </c>
      <c r="H92" s="11">
        <v>4</v>
      </c>
      <c r="I92" s="11">
        <v>3</v>
      </c>
      <c r="J92" s="11">
        <v>4</v>
      </c>
      <c r="K92" s="11">
        <v>4</v>
      </c>
      <c r="L92" s="11">
        <v>4</v>
      </c>
      <c r="M92" s="11">
        <v>3</v>
      </c>
      <c r="N92" s="11">
        <v>4</v>
      </c>
      <c r="O92" s="11">
        <v>2</v>
      </c>
      <c r="P92" s="11">
        <v>2</v>
      </c>
      <c r="Q92" s="11">
        <v>3</v>
      </c>
      <c r="R92" s="11">
        <v>4</v>
      </c>
      <c r="S92" s="11">
        <v>2</v>
      </c>
      <c r="T92" s="11">
        <v>4</v>
      </c>
      <c r="U92" s="10">
        <v>3</v>
      </c>
      <c r="V92" s="6">
        <f t="shared" si="9"/>
        <v>12.756161476799178</v>
      </c>
      <c r="W92" s="6">
        <f t="shared" si="10"/>
        <v>33.688148964161691</v>
      </c>
      <c r="X92" s="6">
        <f t="shared" si="11"/>
        <v>22.870644416782497</v>
      </c>
      <c r="Y92" s="6">
        <f t="shared" si="12"/>
        <v>44.867045288625981</v>
      </c>
      <c r="Z92" s="6">
        <f t="shared" si="13"/>
        <v>45.294409133229813</v>
      </c>
      <c r="AA92" s="6">
        <f t="shared" si="14"/>
        <v>43.163650216662234</v>
      </c>
      <c r="AB92" s="6">
        <f t="shared" si="15"/>
        <v>12.756161476799178</v>
      </c>
      <c r="AC92" s="6">
        <f t="shared" si="16"/>
        <v>1</v>
      </c>
    </row>
    <row r="93" spans="1:29">
      <c r="A93" s="11">
        <v>92</v>
      </c>
      <c r="B93" s="12">
        <v>5</v>
      </c>
      <c r="C93" s="11">
        <v>1</v>
      </c>
      <c r="D93" s="11">
        <v>1</v>
      </c>
      <c r="E93" s="11">
        <v>1</v>
      </c>
      <c r="F93" s="11">
        <v>2</v>
      </c>
      <c r="G93" s="11">
        <v>3</v>
      </c>
      <c r="H93" s="11">
        <v>3</v>
      </c>
      <c r="I93" s="11">
        <v>1</v>
      </c>
      <c r="J93" s="11">
        <v>2</v>
      </c>
      <c r="K93" s="11">
        <v>2</v>
      </c>
      <c r="L93" s="11">
        <v>2</v>
      </c>
      <c r="M93" s="11">
        <v>1</v>
      </c>
      <c r="N93" s="11">
        <v>5</v>
      </c>
      <c r="O93" s="11">
        <v>5</v>
      </c>
      <c r="P93" s="11">
        <v>5</v>
      </c>
      <c r="Q93" s="11">
        <v>1</v>
      </c>
      <c r="R93" s="11">
        <v>1</v>
      </c>
      <c r="S93" s="11">
        <v>2</v>
      </c>
      <c r="T93" s="11">
        <v>5</v>
      </c>
      <c r="U93" s="10">
        <v>1</v>
      </c>
      <c r="V93" s="6">
        <f t="shared" si="9"/>
        <v>75.574329054924718</v>
      </c>
      <c r="W93" s="6">
        <f t="shared" si="10"/>
        <v>54.318647550376376</v>
      </c>
      <c r="X93" s="6">
        <f t="shared" si="11"/>
        <v>51.912232030558954</v>
      </c>
      <c r="Y93" s="6">
        <f t="shared" si="12"/>
        <v>38.045012023996478</v>
      </c>
      <c r="Z93" s="6">
        <f t="shared" si="13"/>
        <v>46.637609694970308</v>
      </c>
      <c r="AA93" s="6">
        <f t="shared" si="14"/>
        <v>28.118897976556209</v>
      </c>
      <c r="AB93" s="6">
        <f t="shared" si="15"/>
        <v>28.118897976556209</v>
      </c>
      <c r="AC93" s="6">
        <f t="shared" si="16"/>
        <v>6</v>
      </c>
    </row>
    <row r="94" spans="1:29">
      <c r="A94" s="11">
        <v>93</v>
      </c>
      <c r="B94" s="12">
        <v>3</v>
      </c>
      <c r="C94" s="11">
        <v>4</v>
      </c>
      <c r="D94" s="11">
        <v>2</v>
      </c>
      <c r="E94" s="11">
        <v>2</v>
      </c>
      <c r="F94" s="11">
        <v>3</v>
      </c>
      <c r="G94" s="11">
        <v>2</v>
      </c>
      <c r="H94" s="11">
        <v>2</v>
      </c>
      <c r="I94" s="11">
        <v>1</v>
      </c>
      <c r="J94" s="11">
        <v>1</v>
      </c>
      <c r="K94" s="11">
        <v>1</v>
      </c>
      <c r="L94" s="11">
        <v>2</v>
      </c>
      <c r="M94" s="11">
        <v>3</v>
      </c>
      <c r="N94" s="11">
        <v>1</v>
      </c>
      <c r="O94" s="11">
        <v>4</v>
      </c>
      <c r="P94" s="11">
        <v>5</v>
      </c>
      <c r="Q94" s="11">
        <v>2</v>
      </c>
      <c r="R94" s="11">
        <v>3</v>
      </c>
      <c r="S94" s="11">
        <v>1</v>
      </c>
      <c r="T94" s="11">
        <v>1</v>
      </c>
      <c r="U94" s="10">
        <v>5</v>
      </c>
      <c r="V94" s="6">
        <f t="shared" si="9"/>
        <v>59.937821130265867</v>
      </c>
      <c r="W94" s="6">
        <f t="shared" si="10"/>
        <v>22.395694311346322</v>
      </c>
      <c r="X94" s="6">
        <f t="shared" si="11"/>
        <v>39.62058402790268</v>
      </c>
      <c r="Y94" s="6">
        <f t="shared" si="12"/>
        <v>30.467507211961497</v>
      </c>
      <c r="Z94" s="6">
        <f t="shared" si="13"/>
        <v>30.608915552874869</v>
      </c>
      <c r="AA94" s="6">
        <f t="shared" si="14"/>
        <v>31.830084536190725</v>
      </c>
      <c r="AB94" s="6">
        <f t="shared" si="15"/>
        <v>22.395694311346322</v>
      </c>
      <c r="AC94" s="6">
        <f t="shared" si="16"/>
        <v>2</v>
      </c>
    </row>
    <row r="95" spans="1:29">
      <c r="A95" s="11">
        <v>94</v>
      </c>
      <c r="B95" s="12">
        <v>3</v>
      </c>
      <c r="C95" s="11">
        <v>3</v>
      </c>
      <c r="D95" s="11">
        <v>1</v>
      </c>
      <c r="E95" s="11">
        <v>3</v>
      </c>
      <c r="F95" s="11">
        <v>4</v>
      </c>
      <c r="G95" s="11">
        <v>3</v>
      </c>
      <c r="H95" s="11">
        <v>3</v>
      </c>
      <c r="I95" s="11">
        <v>2</v>
      </c>
      <c r="J95" s="11">
        <v>2</v>
      </c>
      <c r="K95" s="11">
        <v>3</v>
      </c>
      <c r="L95" s="11">
        <v>3</v>
      </c>
      <c r="M95" s="11">
        <v>1</v>
      </c>
      <c r="N95" s="11">
        <v>1</v>
      </c>
      <c r="O95" s="11">
        <v>5</v>
      </c>
      <c r="P95" s="11">
        <v>5</v>
      </c>
      <c r="Q95" s="11">
        <v>1</v>
      </c>
      <c r="R95" s="11">
        <v>1</v>
      </c>
      <c r="S95" s="11">
        <v>4</v>
      </c>
      <c r="T95" s="11">
        <v>3</v>
      </c>
      <c r="U95" s="10">
        <v>1</v>
      </c>
      <c r="V95" s="6">
        <f t="shared" si="9"/>
        <v>48.21076667969551</v>
      </c>
      <c r="W95" s="6">
        <f t="shared" si="10"/>
        <v>36.426442512236669</v>
      </c>
      <c r="X95" s="6">
        <f t="shared" si="11"/>
        <v>28.412252034189436</v>
      </c>
      <c r="Y95" s="6">
        <f t="shared" si="12"/>
        <v>37.133982081636908</v>
      </c>
      <c r="Z95" s="6">
        <f t="shared" si="13"/>
        <v>17.923340494390921</v>
      </c>
      <c r="AA95" s="6">
        <f t="shared" si="14"/>
        <v>20.252259441764593</v>
      </c>
      <c r="AB95" s="6">
        <f t="shared" si="15"/>
        <v>17.923340494390921</v>
      </c>
      <c r="AC95" s="6">
        <f t="shared" si="16"/>
        <v>5</v>
      </c>
    </row>
    <row r="96" spans="1:29">
      <c r="A96" s="11">
        <v>95</v>
      </c>
      <c r="B96" s="12">
        <v>2</v>
      </c>
      <c r="C96" s="11">
        <v>3</v>
      </c>
      <c r="D96" s="11">
        <v>2</v>
      </c>
      <c r="E96" s="11">
        <v>4</v>
      </c>
      <c r="F96" s="11">
        <v>3</v>
      </c>
      <c r="G96" s="11">
        <v>4</v>
      </c>
      <c r="H96" s="11">
        <v>3</v>
      </c>
      <c r="I96" s="11">
        <v>2</v>
      </c>
      <c r="J96" s="11">
        <v>2</v>
      </c>
      <c r="K96" s="11">
        <v>2</v>
      </c>
      <c r="L96" s="11">
        <v>2</v>
      </c>
      <c r="M96" s="11">
        <v>3</v>
      </c>
      <c r="N96" s="11">
        <v>4</v>
      </c>
      <c r="O96" s="11">
        <v>4</v>
      </c>
      <c r="P96" s="11">
        <v>4</v>
      </c>
      <c r="Q96" s="11">
        <v>4</v>
      </c>
      <c r="R96" s="11">
        <v>3</v>
      </c>
      <c r="S96" s="11">
        <v>2</v>
      </c>
      <c r="T96" s="11">
        <v>2</v>
      </c>
      <c r="U96" s="10">
        <v>2</v>
      </c>
      <c r="V96" s="6">
        <f t="shared" si="9"/>
        <v>26.119755409590201</v>
      </c>
      <c r="W96" s="6">
        <f t="shared" si="10"/>
        <v>15.795715022091768</v>
      </c>
      <c r="X96" s="6">
        <f t="shared" si="11"/>
        <v>19.453987124610631</v>
      </c>
      <c r="Y96" s="6">
        <f t="shared" si="12"/>
        <v>23.022747399869186</v>
      </c>
      <c r="Z96" s="6">
        <f t="shared" si="13"/>
        <v>18.037494393360852</v>
      </c>
      <c r="AA96" s="6">
        <f t="shared" si="14"/>
        <v>12.563517527362107</v>
      </c>
      <c r="AB96" s="6">
        <f t="shared" si="15"/>
        <v>12.563517527362107</v>
      </c>
      <c r="AC96" s="6">
        <f t="shared" si="16"/>
        <v>6</v>
      </c>
    </row>
    <row r="97" spans="1:29">
      <c r="A97" s="11">
        <v>96</v>
      </c>
      <c r="B97" s="12">
        <v>2</v>
      </c>
      <c r="C97" s="11">
        <v>2</v>
      </c>
      <c r="D97" s="11">
        <v>1</v>
      </c>
      <c r="E97" s="11">
        <v>4</v>
      </c>
      <c r="F97" s="11">
        <v>5</v>
      </c>
      <c r="G97" s="11">
        <v>4</v>
      </c>
      <c r="H97" s="11">
        <v>3</v>
      </c>
      <c r="I97" s="11">
        <v>1</v>
      </c>
      <c r="J97" s="11">
        <v>1</v>
      </c>
      <c r="K97" s="11">
        <v>4</v>
      </c>
      <c r="L97" s="11">
        <v>1</v>
      </c>
      <c r="M97" s="11">
        <v>1</v>
      </c>
      <c r="N97" s="11">
        <v>3</v>
      </c>
      <c r="O97" s="11">
        <v>5</v>
      </c>
      <c r="P97" s="11">
        <v>3</v>
      </c>
      <c r="Q97" s="11">
        <v>2</v>
      </c>
      <c r="R97" s="11">
        <v>1</v>
      </c>
      <c r="S97" s="11">
        <v>4</v>
      </c>
      <c r="T97" s="11">
        <v>2</v>
      </c>
      <c r="U97" s="10">
        <v>1</v>
      </c>
      <c r="V97" s="6">
        <f t="shared" si="9"/>
        <v>54.119831376454677</v>
      </c>
      <c r="W97" s="6">
        <f t="shared" si="10"/>
        <v>38.026430394445214</v>
      </c>
      <c r="X97" s="6">
        <f t="shared" si="11"/>
        <v>40.037230449767478</v>
      </c>
      <c r="Y97" s="6">
        <f t="shared" si="12"/>
        <v>43.000416769903318</v>
      </c>
      <c r="Z97" s="6">
        <f t="shared" si="13"/>
        <v>18.237595546730851</v>
      </c>
      <c r="AA97" s="6">
        <f t="shared" si="14"/>
        <v>24.785692739455516</v>
      </c>
      <c r="AB97" s="6">
        <f t="shared" si="15"/>
        <v>18.237595546730851</v>
      </c>
      <c r="AC97" s="6">
        <f t="shared" si="16"/>
        <v>5</v>
      </c>
    </row>
    <row r="98" spans="1:29">
      <c r="A98" s="11">
        <v>97</v>
      </c>
      <c r="B98" s="12">
        <v>4</v>
      </c>
      <c r="C98" s="11">
        <v>1</v>
      </c>
      <c r="D98" s="11">
        <v>5</v>
      </c>
      <c r="E98" s="11">
        <v>4</v>
      </c>
      <c r="F98" s="11">
        <v>3</v>
      </c>
      <c r="G98" s="11">
        <v>5</v>
      </c>
      <c r="H98" s="11">
        <v>2</v>
      </c>
      <c r="I98" s="11">
        <v>2</v>
      </c>
      <c r="J98" s="11">
        <v>2</v>
      </c>
      <c r="K98" s="11">
        <v>5</v>
      </c>
      <c r="L98" s="11">
        <v>2</v>
      </c>
      <c r="M98" s="11">
        <v>2</v>
      </c>
      <c r="N98" s="11">
        <v>2</v>
      </c>
      <c r="O98" s="11">
        <v>4</v>
      </c>
      <c r="P98" s="11">
        <v>2</v>
      </c>
      <c r="Q98" s="11">
        <v>2</v>
      </c>
      <c r="R98" s="11">
        <v>4</v>
      </c>
      <c r="S98" s="11">
        <v>4</v>
      </c>
      <c r="T98" s="11">
        <v>5</v>
      </c>
      <c r="U98" s="10">
        <v>3</v>
      </c>
      <c r="V98" s="6">
        <f t="shared" si="9"/>
        <v>30.483393212728945</v>
      </c>
      <c r="W98" s="6">
        <f t="shared" si="10"/>
        <v>40.472722868804865</v>
      </c>
      <c r="X98" s="6">
        <f t="shared" si="11"/>
        <v>35.162349260362724</v>
      </c>
      <c r="Y98" s="6">
        <f t="shared" si="12"/>
        <v>45.822454175270323</v>
      </c>
      <c r="Z98" s="6">
        <f t="shared" si="13"/>
        <v>34.980242598783683</v>
      </c>
      <c r="AA98" s="6">
        <f t="shared" si="14"/>
        <v>41.474744234001527</v>
      </c>
      <c r="AB98" s="6">
        <f t="shared" si="15"/>
        <v>30.483393212728945</v>
      </c>
      <c r="AC98" s="6">
        <f t="shared" si="16"/>
        <v>1</v>
      </c>
    </row>
    <row r="99" spans="1:29">
      <c r="A99" s="11">
        <v>98</v>
      </c>
      <c r="B99" s="12">
        <v>2</v>
      </c>
      <c r="C99" s="11">
        <v>2</v>
      </c>
      <c r="D99" s="11">
        <v>4</v>
      </c>
      <c r="E99" s="11">
        <v>1</v>
      </c>
      <c r="F99" s="11">
        <v>4</v>
      </c>
      <c r="G99" s="11">
        <v>4</v>
      </c>
      <c r="H99" s="11">
        <v>3</v>
      </c>
      <c r="I99" s="11">
        <v>1</v>
      </c>
      <c r="J99" s="11">
        <v>2</v>
      </c>
      <c r="K99" s="11">
        <v>2</v>
      </c>
      <c r="L99" s="11">
        <v>2</v>
      </c>
      <c r="M99" s="11">
        <v>3</v>
      </c>
      <c r="N99" s="11">
        <v>2</v>
      </c>
      <c r="O99" s="11">
        <v>5</v>
      </c>
      <c r="P99" s="11">
        <v>3</v>
      </c>
      <c r="Q99" s="11">
        <v>2</v>
      </c>
      <c r="R99" s="11">
        <v>3</v>
      </c>
      <c r="S99" s="11">
        <v>4</v>
      </c>
      <c r="T99" s="11">
        <v>1</v>
      </c>
      <c r="U99" s="10">
        <v>5</v>
      </c>
      <c r="V99" s="6">
        <f t="shared" si="9"/>
        <v>38.847007068086448</v>
      </c>
      <c r="W99" s="6">
        <f t="shared" si="10"/>
        <v>20.318860419988706</v>
      </c>
      <c r="X99" s="6">
        <f t="shared" si="11"/>
        <v>33.412297483372186</v>
      </c>
      <c r="Y99" s="6">
        <f t="shared" si="12"/>
        <v>26.711646236834525</v>
      </c>
      <c r="Z99" s="6">
        <f t="shared" si="13"/>
        <v>22.380384145133018</v>
      </c>
      <c r="AA99" s="6">
        <f t="shared" si="14"/>
        <v>37.630214209126422</v>
      </c>
      <c r="AB99" s="6">
        <f t="shared" si="15"/>
        <v>20.318860419988706</v>
      </c>
      <c r="AC99" s="6">
        <f t="shared" si="16"/>
        <v>2</v>
      </c>
    </row>
    <row r="100" spans="1:29">
      <c r="A100" s="11">
        <v>99</v>
      </c>
      <c r="B100" s="12">
        <v>2</v>
      </c>
      <c r="C100" s="11">
        <v>2</v>
      </c>
      <c r="D100" s="11">
        <v>1</v>
      </c>
      <c r="E100" s="11">
        <v>5</v>
      </c>
      <c r="F100" s="11">
        <v>5</v>
      </c>
      <c r="G100" s="11">
        <v>2</v>
      </c>
      <c r="H100" s="11">
        <v>1</v>
      </c>
      <c r="I100" s="11">
        <v>1</v>
      </c>
      <c r="J100" s="11">
        <v>1</v>
      </c>
      <c r="K100" s="11">
        <v>2</v>
      </c>
      <c r="L100" s="11">
        <v>1</v>
      </c>
      <c r="M100" s="11">
        <v>1</v>
      </c>
      <c r="N100" s="11">
        <v>2</v>
      </c>
      <c r="O100" s="11">
        <v>5</v>
      </c>
      <c r="P100" s="11">
        <v>3</v>
      </c>
      <c r="Q100" s="11">
        <v>4</v>
      </c>
      <c r="R100" s="11">
        <v>1</v>
      </c>
      <c r="S100" s="11">
        <v>4</v>
      </c>
      <c r="T100" s="11">
        <v>2</v>
      </c>
      <c r="U100" s="10">
        <v>4</v>
      </c>
      <c r="V100" s="6">
        <f t="shared" si="9"/>
        <v>62.301559568600858</v>
      </c>
      <c r="W100" s="6">
        <f t="shared" si="10"/>
        <v>33.611138097427798</v>
      </c>
      <c r="X100" s="6">
        <f t="shared" si="11"/>
        <v>43.453886652534244</v>
      </c>
      <c r="Y100" s="6">
        <f t="shared" si="12"/>
        <v>46.622667028092323</v>
      </c>
      <c r="Z100" s="6">
        <f t="shared" si="13"/>
        <v>21.951819726681443</v>
      </c>
      <c r="AA100" s="6">
        <f t="shared" si="14"/>
        <v>39.407884158864697</v>
      </c>
      <c r="AB100" s="6">
        <f t="shared" si="15"/>
        <v>21.951819726681443</v>
      </c>
      <c r="AC100" s="6">
        <f t="shared" si="16"/>
        <v>5</v>
      </c>
    </row>
    <row r="101" spans="1:29">
      <c r="A101" s="11">
        <v>100</v>
      </c>
      <c r="B101" s="12">
        <v>2</v>
      </c>
      <c r="C101" s="11">
        <v>2</v>
      </c>
      <c r="D101" s="11">
        <v>2</v>
      </c>
      <c r="E101" s="11">
        <v>3</v>
      </c>
      <c r="F101" s="11">
        <v>4</v>
      </c>
      <c r="G101" s="11">
        <v>2</v>
      </c>
      <c r="H101" s="11">
        <v>3</v>
      </c>
      <c r="I101" s="11">
        <v>1</v>
      </c>
      <c r="J101" s="11">
        <v>1</v>
      </c>
      <c r="K101" s="11">
        <v>3</v>
      </c>
      <c r="L101" s="11">
        <v>1</v>
      </c>
      <c r="M101" s="11">
        <v>3</v>
      </c>
      <c r="N101" s="11">
        <v>2</v>
      </c>
      <c r="O101" s="11">
        <v>3</v>
      </c>
      <c r="P101" s="11">
        <v>4</v>
      </c>
      <c r="Q101" s="11">
        <v>3</v>
      </c>
      <c r="R101" s="11">
        <v>3</v>
      </c>
      <c r="S101" s="11">
        <v>2</v>
      </c>
      <c r="T101" s="11">
        <v>2</v>
      </c>
      <c r="U101" s="10">
        <v>1</v>
      </c>
      <c r="V101" s="6">
        <f t="shared" si="9"/>
        <v>42.574283647722282</v>
      </c>
      <c r="W101" s="6">
        <f t="shared" si="10"/>
        <v>17.395655344282606</v>
      </c>
      <c r="X101" s="6">
        <f t="shared" si="11"/>
        <v>23.578928744150367</v>
      </c>
      <c r="Y101" s="6">
        <f t="shared" si="12"/>
        <v>22.355898572742692</v>
      </c>
      <c r="Z101" s="6">
        <f t="shared" si="13"/>
        <v>21.037451136793706</v>
      </c>
      <c r="AA101" s="6">
        <f t="shared" si="14"/>
        <v>11.119014924853575</v>
      </c>
      <c r="AB101" s="6">
        <f t="shared" si="15"/>
        <v>11.119014924853575</v>
      </c>
      <c r="AC101" s="6">
        <f t="shared" si="16"/>
        <v>6</v>
      </c>
    </row>
    <row r="102" spans="1:29">
      <c r="A102" s="11">
        <v>101</v>
      </c>
      <c r="B102" s="12">
        <v>3</v>
      </c>
      <c r="C102" s="11">
        <v>2</v>
      </c>
      <c r="D102" s="11">
        <v>2</v>
      </c>
      <c r="E102" s="11">
        <v>3</v>
      </c>
      <c r="F102" s="11">
        <v>3</v>
      </c>
      <c r="G102" s="11">
        <v>3</v>
      </c>
      <c r="H102" s="11">
        <v>3</v>
      </c>
      <c r="I102" s="11">
        <v>3</v>
      </c>
      <c r="J102" s="11">
        <v>3</v>
      </c>
      <c r="K102" s="11">
        <v>3</v>
      </c>
      <c r="L102" s="11">
        <v>2</v>
      </c>
      <c r="M102" s="11">
        <v>2</v>
      </c>
      <c r="N102" s="11">
        <v>2</v>
      </c>
      <c r="O102" s="11">
        <v>4</v>
      </c>
      <c r="P102" s="11">
        <v>4</v>
      </c>
      <c r="Q102" s="11">
        <v>3</v>
      </c>
      <c r="R102" s="11">
        <v>3</v>
      </c>
      <c r="S102" s="11">
        <v>3</v>
      </c>
      <c r="T102" s="11">
        <v>3</v>
      </c>
      <c r="U102" s="10">
        <v>4</v>
      </c>
      <c r="V102" s="6">
        <f t="shared" si="9"/>
        <v>16.39241596023048</v>
      </c>
      <c r="W102" s="6">
        <f t="shared" si="10"/>
        <v>8.3342452503690563</v>
      </c>
      <c r="X102" s="6">
        <f t="shared" si="11"/>
        <v>4.2039832856969763</v>
      </c>
      <c r="Y102" s="6">
        <f t="shared" si="12"/>
        <v>11.845008811421915</v>
      </c>
      <c r="Z102" s="6">
        <f t="shared" si="13"/>
        <v>6.8089255403349815</v>
      </c>
      <c r="AA102" s="6">
        <f t="shared" si="14"/>
        <v>10.51905481088653</v>
      </c>
      <c r="AB102" s="6">
        <f t="shared" si="15"/>
        <v>4.2039832856969763</v>
      </c>
      <c r="AC102" s="6">
        <f t="shared" si="16"/>
        <v>3</v>
      </c>
    </row>
    <row r="103" spans="1:29">
      <c r="A103" s="11">
        <v>102</v>
      </c>
      <c r="B103" s="12">
        <v>2</v>
      </c>
      <c r="C103" s="11">
        <v>1</v>
      </c>
      <c r="D103" s="11">
        <v>1</v>
      </c>
      <c r="E103" s="11">
        <v>2</v>
      </c>
      <c r="F103" s="11">
        <v>2</v>
      </c>
      <c r="G103" s="11">
        <v>4</v>
      </c>
      <c r="H103" s="11">
        <v>2</v>
      </c>
      <c r="I103" s="11">
        <v>2</v>
      </c>
      <c r="J103" s="11">
        <v>2</v>
      </c>
      <c r="K103" s="11">
        <v>2</v>
      </c>
      <c r="L103" s="11">
        <v>1</v>
      </c>
      <c r="M103" s="11">
        <v>3</v>
      </c>
      <c r="N103" s="11">
        <v>3</v>
      </c>
      <c r="O103" s="11">
        <v>2</v>
      </c>
      <c r="P103" s="11">
        <v>4</v>
      </c>
      <c r="Q103" s="11">
        <v>2</v>
      </c>
      <c r="R103" s="11">
        <v>1</v>
      </c>
      <c r="S103" s="11">
        <v>2</v>
      </c>
      <c r="T103" s="11">
        <v>1</v>
      </c>
      <c r="U103" s="10">
        <v>1</v>
      </c>
      <c r="V103" s="6">
        <f t="shared" si="9"/>
        <v>60.57413863999956</v>
      </c>
      <c r="W103" s="6">
        <f t="shared" si="10"/>
        <v>24.826327028578454</v>
      </c>
      <c r="X103" s="6">
        <f t="shared" si="11"/>
        <v>35.620575096315015</v>
      </c>
      <c r="Y103" s="6">
        <f t="shared" si="12"/>
        <v>22.200362839066617</v>
      </c>
      <c r="Z103" s="6">
        <f t="shared" si="13"/>
        <v>32.351720614185645</v>
      </c>
      <c r="AA103" s="6">
        <f t="shared" si="14"/>
        <v>17.496848655738567</v>
      </c>
      <c r="AB103" s="6">
        <f t="shared" si="15"/>
        <v>17.496848655738567</v>
      </c>
      <c r="AC103" s="6">
        <f t="shared" si="16"/>
        <v>6</v>
      </c>
    </row>
    <row r="104" spans="1:29">
      <c r="A104" s="11">
        <v>103</v>
      </c>
      <c r="B104" s="12">
        <v>5</v>
      </c>
      <c r="C104" s="11">
        <v>2</v>
      </c>
      <c r="D104" s="11">
        <v>2</v>
      </c>
      <c r="E104" s="11">
        <v>3</v>
      </c>
      <c r="F104" s="11">
        <v>3</v>
      </c>
      <c r="G104" s="11">
        <v>2</v>
      </c>
      <c r="H104" s="11">
        <v>3</v>
      </c>
      <c r="I104" s="11">
        <v>2</v>
      </c>
      <c r="J104" s="11">
        <v>1</v>
      </c>
      <c r="K104" s="11">
        <v>4</v>
      </c>
      <c r="L104" s="11">
        <v>1</v>
      </c>
      <c r="M104" s="11">
        <v>3</v>
      </c>
      <c r="N104" s="11">
        <v>2</v>
      </c>
      <c r="O104" s="11">
        <v>2</v>
      </c>
      <c r="P104" s="11">
        <v>5</v>
      </c>
      <c r="Q104" s="11">
        <v>1</v>
      </c>
      <c r="R104" s="11">
        <v>2</v>
      </c>
      <c r="S104" s="11">
        <v>1</v>
      </c>
      <c r="T104" s="11">
        <v>3</v>
      </c>
      <c r="U104" s="10">
        <v>5</v>
      </c>
      <c r="V104" s="6">
        <f t="shared" si="9"/>
        <v>46.937785717499054</v>
      </c>
      <c r="W104" s="6">
        <f t="shared" si="10"/>
        <v>23.749544478805003</v>
      </c>
      <c r="X104" s="6">
        <f t="shared" si="11"/>
        <v>31.703872327617525</v>
      </c>
      <c r="Y104" s="6">
        <f t="shared" si="12"/>
        <v>27.71170417305197</v>
      </c>
      <c r="Z104" s="6">
        <f t="shared" si="13"/>
        <v>28.523076005040863</v>
      </c>
      <c r="AA104" s="6">
        <f t="shared" si="14"/>
        <v>25.85239652811066</v>
      </c>
      <c r="AB104" s="6">
        <f t="shared" si="15"/>
        <v>23.749544478805003</v>
      </c>
      <c r="AC104" s="6">
        <f t="shared" si="16"/>
        <v>2</v>
      </c>
    </row>
    <row r="105" spans="1:29">
      <c r="A105" s="11">
        <v>104</v>
      </c>
      <c r="B105" s="12">
        <v>2</v>
      </c>
      <c r="C105" s="11">
        <v>1</v>
      </c>
      <c r="D105" s="11">
        <v>1</v>
      </c>
      <c r="E105" s="11">
        <v>2</v>
      </c>
      <c r="F105" s="11">
        <v>2</v>
      </c>
      <c r="G105" s="11">
        <v>4</v>
      </c>
      <c r="H105" s="11">
        <v>2</v>
      </c>
      <c r="I105" s="11">
        <v>2</v>
      </c>
      <c r="J105" s="11">
        <v>2</v>
      </c>
      <c r="K105" s="11">
        <v>2</v>
      </c>
      <c r="L105" s="11">
        <v>1</v>
      </c>
      <c r="M105" s="11">
        <v>3</v>
      </c>
      <c r="N105" s="11">
        <v>3</v>
      </c>
      <c r="O105" s="11">
        <v>2</v>
      </c>
      <c r="P105" s="11">
        <v>4</v>
      </c>
      <c r="Q105" s="11">
        <v>2</v>
      </c>
      <c r="R105" s="11">
        <v>1</v>
      </c>
      <c r="S105" s="11">
        <v>2</v>
      </c>
      <c r="T105" s="11">
        <v>1</v>
      </c>
      <c r="U105" s="10">
        <v>1</v>
      </c>
      <c r="V105" s="6">
        <f t="shared" si="9"/>
        <v>60.57413863999956</v>
      </c>
      <c r="W105" s="6">
        <f t="shared" si="10"/>
        <v>24.826327028578454</v>
      </c>
      <c r="X105" s="6">
        <f t="shared" si="11"/>
        <v>35.620575096315015</v>
      </c>
      <c r="Y105" s="6">
        <f t="shared" si="12"/>
        <v>22.200362839066617</v>
      </c>
      <c r="Z105" s="6">
        <f t="shared" si="13"/>
        <v>32.351720614185645</v>
      </c>
      <c r="AA105" s="6">
        <f t="shared" si="14"/>
        <v>17.496848655738567</v>
      </c>
      <c r="AB105" s="6">
        <f t="shared" si="15"/>
        <v>17.496848655738567</v>
      </c>
      <c r="AC105" s="6">
        <f t="shared" si="16"/>
        <v>6</v>
      </c>
    </row>
    <row r="106" spans="1:29">
      <c r="A106" s="11">
        <v>105</v>
      </c>
      <c r="B106" s="12">
        <v>2</v>
      </c>
      <c r="C106" s="11">
        <v>2</v>
      </c>
      <c r="D106" s="11">
        <v>3</v>
      </c>
      <c r="E106" s="11">
        <v>3</v>
      </c>
      <c r="F106" s="11">
        <v>3</v>
      </c>
      <c r="G106" s="11">
        <v>2</v>
      </c>
      <c r="H106" s="11">
        <v>3</v>
      </c>
      <c r="I106" s="11">
        <v>2</v>
      </c>
      <c r="J106" s="11">
        <v>2</v>
      </c>
      <c r="K106" s="11">
        <v>3</v>
      </c>
      <c r="L106" s="11">
        <v>4</v>
      </c>
      <c r="M106" s="11">
        <v>2</v>
      </c>
      <c r="N106" s="11">
        <v>3</v>
      </c>
      <c r="O106" s="11">
        <v>4</v>
      </c>
      <c r="P106" s="11">
        <v>4</v>
      </c>
      <c r="Q106" s="11">
        <v>3</v>
      </c>
      <c r="R106" s="11">
        <v>3</v>
      </c>
      <c r="S106" s="11">
        <v>4</v>
      </c>
      <c r="T106" s="11">
        <v>4</v>
      </c>
      <c r="U106" s="10">
        <v>3</v>
      </c>
      <c r="V106" s="6">
        <f t="shared" si="9"/>
        <v>19.483474190157452</v>
      </c>
      <c r="W106" s="6">
        <f t="shared" si="10"/>
        <v>16.565009935928174</v>
      </c>
      <c r="X106" s="6">
        <f t="shared" si="11"/>
        <v>7.9539981159671642</v>
      </c>
      <c r="Y106" s="6">
        <f t="shared" si="12"/>
        <v>16.889373521755971</v>
      </c>
      <c r="Z106" s="6">
        <f t="shared" si="13"/>
        <v>15.69468005124801</v>
      </c>
      <c r="AA106" s="6">
        <f t="shared" si="14"/>
        <v>17.985693771791777</v>
      </c>
      <c r="AB106" s="6">
        <f t="shared" si="15"/>
        <v>7.9539981159671642</v>
      </c>
      <c r="AC106" s="6">
        <f t="shared" si="16"/>
        <v>3</v>
      </c>
    </row>
    <row r="107" spans="1:29">
      <c r="A107" s="11">
        <v>106</v>
      </c>
      <c r="B107" s="12">
        <v>4</v>
      </c>
      <c r="C107" s="11">
        <v>4</v>
      </c>
      <c r="D107" s="11">
        <v>4</v>
      </c>
      <c r="E107" s="11">
        <v>2</v>
      </c>
      <c r="F107" s="11">
        <v>4</v>
      </c>
      <c r="G107" s="11">
        <v>4</v>
      </c>
      <c r="H107" s="11">
        <v>3</v>
      </c>
      <c r="I107" s="11">
        <v>2</v>
      </c>
      <c r="J107" s="11">
        <v>2</v>
      </c>
      <c r="K107" s="11">
        <v>3</v>
      </c>
      <c r="L107" s="11">
        <v>2</v>
      </c>
      <c r="M107" s="11">
        <v>2</v>
      </c>
      <c r="N107" s="11">
        <v>2</v>
      </c>
      <c r="O107" s="11">
        <v>4</v>
      </c>
      <c r="P107" s="11">
        <v>3</v>
      </c>
      <c r="Q107" s="11">
        <v>2</v>
      </c>
      <c r="R107" s="11">
        <v>2</v>
      </c>
      <c r="S107" s="11">
        <v>4</v>
      </c>
      <c r="T107" s="11">
        <v>3</v>
      </c>
      <c r="U107" s="10">
        <v>2</v>
      </c>
      <c r="V107" s="6">
        <f t="shared" si="9"/>
        <v>20.301661031864125</v>
      </c>
      <c r="W107" s="6">
        <f t="shared" si="10"/>
        <v>18.395772546712845</v>
      </c>
      <c r="X107" s="6">
        <f t="shared" si="11"/>
        <v>19.828948884328039</v>
      </c>
      <c r="Y107" s="6">
        <f t="shared" si="12"/>
        <v>29.489613818984289</v>
      </c>
      <c r="Z107" s="6">
        <f t="shared" si="13"/>
        <v>14.266030773092362</v>
      </c>
      <c r="AA107" s="6">
        <f t="shared" si="14"/>
        <v>20.274646847700339</v>
      </c>
      <c r="AB107" s="6">
        <f t="shared" si="15"/>
        <v>14.266030773092362</v>
      </c>
      <c r="AC107" s="6">
        <f t="shared" si="16"/>
        <v>5</v>
      </c>
    </row>
    <row r="108" spans="1:29">
      <c r="A108" s="11">
        <v>107</v>
      </c>
      <c r="B108" s="12">
        <v>1</v>
      </c>
      <c r="C108" s="11">
        <v>3</v>
      </c>
      <c r="D108" s="11">
        <v>2</v>
      </c>
      <c r="E108" s="11">
        <v>4</v>
      </c>
      <c r="F108" s="11">
        <v>3</v>
      </c>
      <c r="G108" s="11">
        <v>4</v>
      </c>
      <c r="H108" s="11">
        <v>3</v>
      </c>
      <c r="I108" s="11">
        <v>3</v>
      </c>
      <c r="J108" s="11">
        <v>3</v>
      </c>
      <c r="K108" s="11">
        <v>4</v>
      </c>
      <c r="L108" s="11">
        <v>2</v>
      </c>
      <c r="M108" s="11">
        <v>2</v>
      </c>
      <c r="N108" s="11">
        <v>2</v>
      </c>
      <c r="O108" s="11">
        <v>5</v>
      </c>
      <c r="P108" s="11">
        <v>5</v>
      </c>
      <c r="Q108" s="11">
        <v>3</v>
      </c>
      <c r="R108" s="11">
        <v>2</v>
      </c>
      <c r="S108" s="11">
        <v>4</v>
      </c>
      <c r="T108" s="11">
        <v>2</v>
      </c>
      <c r="U108" s="10">
        <v>4</v>
      </c>
      <c r="V108" s="6">
        <f t="shared" si="9"/>
        <v>28.483393769192869</v>
      </c>
      <c r="W108" s="6">
        <f t="shared" si="10"/>
        <v>25.39580517437448</v>
      </c>
      <c r="X108" s="6">
        <f t="shared" si="11"/>
        <v>17.245682925736599</v>
      </c>
      <c r="Y108" s="6">
        <f t="shared" si="12"/>
        <v>30.133893974440024</v>
      </c>
      <c r="Z108" s="6">
        <f t="shared" si="13"/>
        <v>11.866197268610081</v>
      </c>
      <c r="AA108" s="6">
        <f t="shared" si="14"/>
        <v>26.074614262447511</v>
      </c>
      <c r="AB108" s="6">
        <f t="shared" si="15"/>
        <v>11.866197268610081</v>
      </c>
      <c r="AC108" s="6">
        <f t="shared" si="16"/>
        <v>5</v>
      </c>
    </row>
    <row r="109" spans="1:29">
      <c r="A109" s="11">
        <v>108</v>
      </c>
      <c r="B109" s="12">
        <v>3</v>
      </c>
      <c r="C109" s="11">
        <v>2</v>
      </c>
      <c r="D109" s="11">
        <v>1</v>
      </c>
      <c r="E109" s="11">
        <v>1</v>
      </c>
      <c r="F109" s="11">
        <v>4</v>
      </c>
      <c r="G109" s="11">
        <v>3</v>
      </c>
      <c r="H109" s="11">
        <v>3</v>
      </c>
      <c r="I109" s="11">
        <v>2</v>
      </c>
      <c r="J109" s="11">
        <v>2</v>
      </c>
      <c r="K109" s="11">
        <v>3</v>
      </c>
      <c r="L109" s="11">
        <v>2</v>
      </c>
      <c r="M109" s="11">
        <v>2</v>
      </c>
      <c r="N109" s="11">
        <v>1</v>
      </c>
      <c r="O109" s="11">
        <v>4</v>
      </c>
      <c r="P109" s="11">
        <v>4</v>
      </c>
      <c r="Q109" s="11">
        <v>1</v>
      </c>
      <c r="R109" s="11">
        <v>1</v>
      </c>
      <c r="S109" s="11">
        <v>5</v>
      </c>
      <c r="T109" s="11">
        <v>2</v>
      </c>
      <c r="U109" s="10">
        <v>4</v>
      </c>
      <c r="V109" s="6">
        <f t="shared" si="9"/>
        <v>46.847034328237356</v>
      </c>
      <c r="W109" s="6">
        <f t="shared" si="10"/>
        <v>24.118809257127115</v>
      </c>
      <c r="X109" s="6">
        <f t="shared" si="11"/>
        <v>25.870570755593363</v>
      </c>
      <c r="Y109" s="6">
        <f t="shared" si="12"/>
        <v>23.667403787882172</v>
      </c>
      <c r="Z109" s="6">
        <f t="shared" si="13"/>
        <v>14.894733911531297</v>
      </c>
      <c r="AA109" s="6">
        <f t="shared" si="14"/>
        <v>27.230111444166333</v>
      </c>
      <c r="AB109" s="6">
        <f t="shared" si="15"/>
        <v>14.894733911531297</v>
      </c>
      <c r="AC109" s="6">
        <f t="shared" si="16"/>
        <v>5</v>
      </c>
    </row>
    <row r="110" spans="1:29">
      <c r="A110" s="11">
        <v>109</v>
      </c>
      <c r="B110" s="12">
        <v>1</v>
      </c>
      <c r="C110" s="11">
        <v>3</v>
      </c>
      <c r="D110" s="11">
        <v>3</v>
      </c>
      <c r="E110" s="11">
        <v>3</v>
      </c>
      <c r="F110" s="11">
        <v>2</v>
      </c>
      <c r="G110" s="11">
        <v>2</v>
      </c>
      <c r="H110" s="11">
        <v>3</v>
      </c>
      <c r="I110" s="11">
        <v>3</v>
      </c>
      <c r="J110" s="11">
        <v>2</v>
      </c>
      <c r="K110" s="11">
        <v>1</v>
      </c>
      <c r="L110" s="11">
        <v>1</v>
      </c>
      <c r="M110" s="11">
        <v>1</v>
      </c>
      <c r="N110" s="11">
        <v>1</v>
      </c>
      <c r="O110" s="11">
        <v>3</v>
      </c>
      <c r="P110" s="11">
        <v>3</v>
      </c>
      <c r="Q110" s="11">
        <v>2</v>
      </c>
      <c r="R110" s="11">
        <v>1</v>
      </c>
      <c r="S110" s="11">
        <v>3</v>
      </c>
      <c r="T110" s="11">
        <v>2</v>
      </c>
      <c r="U110" s="10">
        <v>5</v>
      </c>
      <c r="V110" s="6">
        <f t="shared" si="9"/>
        <v>49.30134114896255</v>
      </c>
      <c r="W110" s="6">
        <f t="shared" si="10"/>
        <v>17.949574873460545</v>
      </c>
      <c r="X110" s="6">
        <f t="shared" si="11"/>
        <v>28.703900713896257</v>
      </c>
      <c r="Y110" s="6">
        <f t="shared" si="12"/>
        <v>23.822680006843338</v>
      </c>
      <c r="Z110" s="6">
        <f t="shared" si="13"/>
        <v>23.151776437816675</v>
      </c>
      <c r="AA110" s="6">
        <f t="shared" si="14"/>
        <v>36.719079786037305</v>
      </c>
      <c r="AB110" s="6">
        <f t="shared" si="15"/>
        <v>17.949574873460545</v>
      </c>
      <c r="AC110" s="6">
        <f t="shared" si="16"/>
        <v>2</v>
      </c>
    </row>
    <row r="111" spans="1:29">
      <c r="A111" s="11">
        <v>110</v>
      </c>
      <c r="B111" s="12">
        <v>2</v>
      </c>
      <c r="C111" s="11">
        <v>2</v>
      </c>
      <c r="D111" s="11">
        <v>2</v>
      </c>
      <c r="E111" s="11">
        <v>3</v>
      </c>
      <c r="F111" s="11">
        <v>2</v>
      </c>
      <c r="G111" s="11">
        <v>4</v>
      </c>
      <c r="H111" s="11">
        <v>4</v>
      </c>
      <c r="I111" s="11">
        <v>1</v>
      </c>
      <c r="J111" s="11">
        <v>2</v>
      </c>
      <c r="K111" s="11">
        <v>2</v>
      </c>
      <c r="L111" s="11">
        <v>2</v>
      </c>
      <c r="M111" s="11">
        <v>2</v>
      </c>
      <c r="N111" s="11">
        <v>3</v>
      </c>
      <c r="O111" s="11">
        <v>4</v>
      </c>
      <c r="P111" s="11">
        <v>4</v>
      </c>
      <c r="Q111" s="11">
        <v>1</v>
      </c>
      <c r="R111" s="11">
        <v>2</v>
      </c>
      <c r="S111" s="11">
        <v>4</v>
      </c>
      <c r="T111" s="11">
        <v>3</v>
      </c>
      <c r="U111" s="10">
        <v>4</v>
      </c>
      <c r="V111" s="6">
        <f t="shared" si="9"/>
        <v>32.210664001526808</v>
      </c>
      <c r="W111" s="6">
        <f t="shared" si="10"/>
        <v>15.734176362552715</v>
      </c>
      <c r="X111" s="6">
        <f t="shared" si="11"/>
        <v>19.953932224574782</v>
      </c>
      <c r="Y111" s="6">
        <f t="shared" si="12"/>
        <v>10.178242947127689</v>
      </c>
      <c r="Z111" s="6">
        <f t="shared" si="13"/>
        <v>10.866156259577039</v>
      </c>
      <c r="AA111" s="6">
        <f t="shared" si="14"/>
        <v>18.030169914827791</v>
      </c>
      <c r="AB111" s="6">
        <f t="shared" si="15"/>
        <v>10.178242947127689</v>
      </c>
      <c r="AC111" s="6">
        <f t="shared" si="16"/>
        <v>4</v>
      </c>
    </row>
    <row r="112" spans="1:29">
      <c r="A112" s="11">
        <v>111</v>
      </c>
      <c r="B112" s="12">
        <v>2</v>
      </c>
      <c r="C112" s="11">
        <v>3</v>
      </c>
      <c r="D112" s="11">
        <v>2</v>
      </c>
      <c r="E112" s="11">
        <v>2</v>
      </c>
      <c r="F112" s="11">
        <v>3</v>
      </c>
      <c r="G112" s="11">
        <v>3</v>
      </c>
      <c r="H112" s="11">
        <v>4</v>
      </c>
      <c r="I112" s="11">
        <v>2</v>
      </c>
      <c r="J112" s="11">
        <v>3</v>
      </c>
      <c r="K112" s="11">
        <v>4</v>
      </c>
      <c r="L112" s="11">
        <v>3</v>
      </c>
      <c r="M112" s="11">
        <v>2</v>
      </c>
      <c r="N112" s="11">
        <v>4</v>
      </c>
      <c r="O112" s="11">
        <v>2</v>
      </c>
      <c r="P112" s="11">
        <v>2</v>
      </c>
      <c r="Q112" s="11">
        <v>2</v>
      </c>
      <c r="R112" s="11">
        <v>3</v>
      </c>
      <c r="S112" s="11">
        <v>2</v>
      </c>
      <c r="T112" s="11">
        <v>4</v>
      </c>
      <c r="U112" s="10">
        <v>2</v>
      </c>
      <c r="V112" s="6">
        <f t="shared" si="9"/>
        <v>23.756149397466295</v>
      </c>
      <c r="W112" s="6">
        <f t="shared" si="10"/>
        <v>21.472641809333521</v>
      </c>
      <c r="X112" s="6">
        <f t="shared" si="11"/>
        <v>14.912275380997773</v>
      </c>
      <c r="Y112" s="6">
        <f t="shared" si="12"/>
        <v>20.289582390205116</v>
      </c>
      <c r="Z112" s="6">
        <f t="shared" si="13"/>
        <v>29.351709258327432</v>
      </c>
      <c r="AA112" s="6">
        <f t="shared" si="14"/>
        <v>19.119099919797094</v>
      </c>
      <c r="AB112" s="6">
        <f t="shared" si="15"/>
        <v>14.912275380997773</v>
      </c>
      <c r="AC112" s="6">
        <f t="shared" si="16"/>
        <v>3</v>
      </c>
    </row>
    <row r="113" spans="1:29">
      <c r="A113" s="11">
        <v>112</v>
      </c>
      <c r="B113" s="12">
        <v>5</v>
      </c>
      <c r="C113" s="11">
        <v>2</v>
      </c>
      <c r="D113" s="11">
        <v>1</v>
      </c>
      <c r="E113" s="11">
        <v>3</v>
      </c>
      <c r="F113" s="11">
        <v>2</v>
      </c>
      <c r="G113" s="11">
        <v>1</v>
      </c>
      <c r="H113" s="11">
        <v>5</v>
      </c>
      <c r="I113" s="11">
        <v>2</v>
      </c>
      <c r="J113" s="11">
        <v>2</v>
      </c>
      <c r="K113" s="11">
        <v>2</v>
      </c>
      <c r="L113" s="11">
        <v>1</v>
      </c>
      <c r="M113" s="11">
        <v>1</v>
      </c>
      <c r="N113" s="11">
        <v>1</v>
      </c>
      <c r="O113" s="11">
        <v>4</v>
      </c>
      <c r="P113" s="11">
        <v>2</v>
      </c>
      <c r="Q113" s="11">
        <v>3</v>
      </c>
      <c r="R113" s="11">
        <v>2</v>
      </c>
      <c r="S113" s="11">
        <v>2</v>
      </c>
      <c r="T113" s="11">
        <v>3</v>
      </c>
      <c r="U113" s="10">
        <v>5</v>
      </c>
      <c r="V113" s="6">
        <f t="shared" si="9"/>
        <v>57.937784672031725</v>
      </c>
      <c r="W113" s="6">
        <f t="shared" si="10"/>
        <v>27.118838021944864</v>
      </c>
      <c r="X113" s="6">
        <f t="shared" si="11"/>
        <v>38.870504445522975</v>
      </c>
      <c r="Y113" s="6">
        <f t="shared" si="12"/>
        <v>33.200677257825099</v>
      </c>
      <c r="Z113" s="6">
        <f t="shared" si="13"/>
        <v>30.008925180011573</v>
      </c>
      <c r="AA113" s="6">
        <f t="shared" si="14"/>
        <v>34.785657422901707</v>
      </c>
      <c r="AB113" s="6">
        <f t="shared" si="15"/>
        <v>27.118838021944864</v>
      </c>
      <c r="AC113" s="6">
        <f t="shared" si="16"/>
        <v>2</v>
      </c>
    </row>
    <row r="114" spans="1:29">
      <c r="A114" s="11">
        <v>113</v>
      </c>
      <c r="B114" s="12">
        <v>3</v>
      </c>
      <c r="C114" s="11">
        <v>2</v>
      </c>
      <c r="D114" s="11">
        <v>2</v>
      </c>
      <c r="E114" s="11">
        <v>2</v>
      </c>
      <c r="F114" s="11">
        <v>3</v>
      </c>
      <c r="G114" s="11">
        <v>2</v>
      </c>
      <c r="H114" s="11">
        <v>3</v>
      </c>
      <c r="I114" s="11">
        <v>2</v>
      </c>
      <c r="J114" s="11">
        <v>2</v>
      </c>
      <c r="K114" s="11">
        <v>3</v>
      </c>
      <c r="L114" s="11">
        <v>3</v>
      </c>
      <c r="M114" s="11">
        <v>3</v>
      </c>
      <c r="N114" s="11">
        <v>2</v>
      </c>
      <c r="O114" s="11">
        <v>3</v>
      </c>
      <c r="P114" s="11">
        <v>4</v>
      </c>
      <c r="Q114" s="11">
        <v>2</v>
      </c>
      <c r="R114" s="11">
        <v>3</v>
      </c>
      <c r="S114" s="11">
        <v>4</v>
      </c>
      <c r="T114" s="11">
        <v>3</v>
      </c>
      <c r="U114" s="10">
        <v>4</v>
      </c>
      <c r="V114" s="6">
        <f t="shared" si="9"/>
        <v>22.483401386999052</v>
      </c>
      <c r="W114" s="6">
        <f t="shared" si="10"/>
        <v>8.780381038977163</v>
      </c>
      <c r="X114" s="6">
        <f t="shared" si="11"/>
        <v>7.1622926260380773</v>
      </c>
      <c r="Y114" s="6">
        <f t="shared" si="12"/>
        <v>8.8006447373715666</v>
      </c>
      <c r="Z114" s="6">
        <f t="shared" si="13"/>
        <v>12.723195609127666</v>
      </c>
      <c r="AA114" s="6">
        <f t="shared" si="14"/>
        <v>15.030143512653122</v>
      </c>
      <c r="AB114" s="6">
        <f t="shared" si="15"/>
        <v>7.1622926260380773</v>
      </c>
      <c r="AC114" s="6">
        <f t="shared" si="16"/>
        <v>3</v>
      </c>
    </row>
    <row r="115" spans="1:29">
      <c r="A115" s="11">
        <v>114</v>
      </c>
      <c r="B115" s="12">
        <v>3</v>
      </c>
      <c r="C115" s="11">
        <v>2</v>
      </c>
      <c r="D115" s="11">
        <v>1</v>
      </c>
      <c r="E115" s="11">
        <v>3</v>
      </c>
      <c r="F115" s="11">
        <v>4</v>
      </c>
      <c r="G115" s="11">
        <v>4</v>
      </c>
      <c r="H115" s="11">
        <v>4</v>
      </c>
      <c r="I115" s="11">
        <v>1</v>
      </c>
      <c r="J115" s="11">
        <v>1</v>
      </c>
      <c r="K115" s="11">
        <v>1</v>
      </c>
      <c r="L115" s="11">
        <v>1</v>
      </c>
      <c r="M115" s="11">
        <v>1</v>
      </c>
      <c r="N115" s="11">
        <v>1</v>
      </c>
      <c r="O115" s="11">
        <v>5</v>
      </c>
      <c r="P115" s="11">
        <v>1</v>
      </c>
      <c r="Q115" s="11">
        <v>5</v>
      </c>
      <c r="R115" s="11">
        <v>1</v>
      </c>
      <c r="S115" s="11">
        <v>5</v>
      </c>
      <c r="T115" s="11">
        <v>1</v>
      </c>
      <c r="U115" s="10">
        <v>1</v>
      </c>
      <c r="V115" s="6">
        <f t="shared" si="9"/>
        <v>77.756173622065802</v>
      </c>
      <c r="W115" s="6">
        <f t="shared" si="10"/>
        <v>47.472651771966376</v>
      </c>
      <c r="X115" s="6">
        <f t="shared" si="11"/>
        <v>63.870543643279312</v>
      </c>
      <c r="Y115" s="6">
        <f t="shared" si="12"/>
        <v>62.067188369088989</v>
      </c>
      <c r="Z115" s="6">
        <f t="shared" si="13"/>
        <v>38.009032413034063</v>
      </c>
      <c r="AA115" s="6">
        <f t="shared" si="14"/>
        <v>48.474593250404311</v>
      </c>
      <c r="AB115" s="6">
        <f t="shared" si="15"/>
        <v>38.009032413034063</v>
      </c>
      <c r="AC115" s="6">
        <f t="shared" si="16"/>
        <v>5</v>
      </c>
    </row>
    <row r="116" spans="1:29">
      <c r="A116" s="11">
        <v>115</v>
      </c>
      <c r="B116" s="12">
        <v>3</v>
      </c>
      <c r="C116" s="11">
        <v>4</v>
      </c>
      <c r="D116" s="11">
        <v>2</v>
      </c>
      <c r="E116" s="11">
        <v>3</v>
      </c>
      <c r="F116" s="11">
        <v>2</v>
      </c>
      <c r="G116" s="11">
        <v>3</v>
      </c>
      <c r="H116" s="11">
        <v>3</v>
      </c>
      <c r="I116" s="11">
        <v>2</v>
      </c>
      <c r="J116" s="11">
        <v>2</v>
      </c>
      <c r="K116" s="11">
        <v>4</v>
      </c>
      <c r="L116" s="11">
        <v>2</v>
      </c>
      <c r="M116" s="11">
        <v>1</v>
      </c>
      <c r="N116" s="11">
        <v>2</v>
      </c>
      <c r="O116" s="11">
        <v>2</v>
      </c>
      <c r="P116" s="11">
        <v>4</v>
      </c>
      <c r="Q116" s="11">
        <v>2</v>
      </c>
      <c r="R116" s="11">
        <v>2</v>
      </c>
      <c r="S116" s="11">
        <v>2</v>
      </c>
      <c r="T116" s="11">
        <v>4</v>
      </c>
      <c r="U116" s="10">
        <v>2</v>
      </c>
      <c r="V116" s="6">
        <f t="shared" si="9"/>
        <v>31.937928787815839</v>
      </c>
      <c r="W116" s="6">
        <f t="shared" si="10"/>
        <v>20.134161275969323</v>
      </c>
      <c r="X116" s="6">
        <f t="shared" si="11"/>
        <v>15.703935919680763</v>
      </c>
      <c r="Y116" s="6">
        <f t="shared" si="12"/>
        <v>22.489618545318624</v>
      </c>
      <c r="Z116" s="6">
        <f t="shared" si="13"/>
        <v>19.266028258235938</v>
      </c>
      <c r="AA116" s="6">
        <f t="shared" si="14"/>
        <v>12.407947521114332</v>
      </c>
      <c r="AB116" s="6">
        <f t="shared" si="15"/>
        <v>12.407947521114332</v>
      </c>
      <c r="AC116" s="6">
        <f t="shared" si="16"/>
        <v>6</v>
      </c>
    </row>
    <row r="117" spans="1:29">
      <c r="A117" s="11">
        <v>116</v>
      </c>
      <c r="B117" s="12">
        <v>4</v>
      </c>
      <c r="C117" s="11">
        <v>2</v>
      </c>
      <c r="D117" s="11">
        <v>2</v>
      </c>
      <c r="E117" s="11">
        <v>3</v>
      </c>
      <c r="F117" s="11">
        <v>4</v>
      </c>
      <c r="G117" s="11">
        <v>2</v>
      </c>
      <c r="H117" s="11">
        <v>3</v>
      </c>
      <c r="I117" s="11">
        <v>4</v>
      </c>
      <c r="J117" s="11">
        <v>3</v>
      </c>
      <c r="K117" s="11">
        <v>2</v>
      </c>
      <c r="L117" s="11">
        <v>3</v>
      </c>
      <c r="M117" s="11">
        <v>3</v>
      </c>
      <c r="N117" s="11">
        <v>2</v>
      </c>
      <c r="O117" s="11">
        <v>2</v>
      </c>
      <c r="P117" s="11">
        <v>5</v>
      </c>
      <c r="Q117" s="11">
        <v>1</v>
      </c>
      <c r="R117" s="11">
        <v>3</v>
      </c>
      <c r="S117" s="11">
        <v>4</v>
      </c>
      <c r="T117" s="11">
        <v>3</v>
      </c>
      <c r="U117" s="10">
        <v>4</v>
      </c>
      <c r="V117" s="6">
        <f t="shared" si="9"/>
        <v>22.937874902315816</v>
      </c>
      <c r="W117" s="6">
        <f t="shared" si="10"/>
        <v>21.180390848424508</v>
      </c>
      <c r="X117" s="6">
        <f t="shared" si="11"/>
        <v>13.953958364826246</v>
      </c>
      <c r="Y117" s="6">
        <f t="shared" si="12"/>
        <v>25.067251910583405</v>
      </c>
      <c r="Z117" s="6">
        <f t="shared" si="13"/>
        <v>26.780206419654593</v>
      </c>
      <c r="AA117" s="6">
        <f t="shared" si="14"/>
        <v>28.496852280104488</v>
      </c>
      <c r="AB117" s="6">
        <f t="shared" si="15"/>
        <v>13.953958364826246</v>
      </c>
      <c r="AC117" s="6">
        <f t="shared" si="16"/>
        <v>3</v>
      </c>
    </row>
    <row r="118" spans="1:29">
      <c r="A118" s="11">
        <v>117</v>
      </c>
      <c r="B118" s="12">
        <v>2</v>
      </c>
      <c r="C118" s="11">
        <v>1</v>
      </c>
      <c r="D118" s="11">
        <v>5</v>
      </c>
      <c r="E118" s="11">
        <v>3</v>
      </c>
      <c r="F118" s="11">
        <v>2</v>
      </c>
      <c r="G118" s="11">
        <v>3</v>
      </c>
      <c r="H118" s="11">
        <v>3</v>
      </c>
      <c r="I118" s="11">
        <v>2</v>
      </c>
      <c r="J118" s="11">
        <v>1</v>
      </c>
      <c r="K118" s="11">
        <v>2</v>
      </c>
      <c r="L118" s="11">
        <v>3</v>
      </c>
      <c r="M118" s="11">
        <v>2</v>
      </c>
      <c r="N118" s="11">
        <v>1</v>
      </c>
      <c r="O118" s="11">
        <v>3</v>
      </c>
      <c r="P118" s="11">
        <v>5</v>
      </c>
      <c r="Q118" s="11">
        <v>3</v>
      </c>
      <c r="R118" s="11">
        <v>1</v>
      </c>
      <c r="S118" s="11">
        <v>1</v>
      </c>
      <c r="T118" s="11">
        <v>2</v>
      </c>
      <c r="U118" s="10">
        <v>5</v>
      </c>
      <c r="V118" s="6">
        <f t="shared" si="9"/>
        <v>51.301380346867582</v>
      </c>
      <c r="W118" s="6">
        <f t="shared" si="10"/>
        <v>24.08802239862484</v>
      </c>
      <c r="X118" s="6">
        <f t="shared" si="11"/>
        <v>38.120583136560292</v>
      </c>
      <c r="Y118" s="6">
        <f t="shared" si="12"/>
        <v>33.31128065773953</v>
      </c>
      <c r="Z118" s="6">
        <f t="shared" si="13"/>
        <v>31.723162219515569</v>
      </c>
      <c r="AA118" s="6">
        <f t="shared" si="14"/>
        <v>38.185800578712524</v>
      </c>
      <c r="AB118" s="6">
        <f t="shared" si="15"/>
        <v>24.08802239862484</v>
      </c>
      <c r="AC118" s="6">
        <f t="shared" si="16"/>
        <v>2</v>
      </c>
    </row>
    <row r="119" spans="1:29">
      <c r="A119" s="11">
        <v>118</v>
      </c>
      <c r="B119" s="12">
        <v>4</v>
      </c>
      <c r="C119" s="11">
        <v>2</v>
      </c>
      <c r="D119" s="11">
        <v>3</v>
      </c>
      <c r="E119" s="11">
        <v>2</v>
      </c>
      <c r="F119" s="11">
        <v>2</v>
      </c>
      <c r="G119" s="11">
        <v>2</v>
      </c>
      <c r="H119" s="11">
        <v>2</v>
      </c>
      <c r="I119" s="11">
        <v>2</v>
      </c>
      <c r="J119" s="11">
        <v>2</v>
      </c>
      <c r="K119" s="11">
        <v>2</v>
      </c>
      <c r="L119" s="11">
        <v>2</v>
      </c>
      <c r="M119" s="11">
        <v>3</v>
      </c>
      <c r="N119" s="11">
        <v>2</v>
      </c>
      <c r="O119" s="11">
        <v>4</v>
      </c>
      <c r="P119" s="11">
        <v>4</v>
      </c>
      <c r="Q119" s="11">
        <v>2</v>
      </c>
      <c r="R119" s="11">
        <v>4</v>
      </c>
      <c r="S119" s="11">
        <v>3</v>
      </c>
      <c r="T119" s="11">
        <v>4</v>
      </c>
      <c r="U119" s="10">
        <v>4</v>
      </c>
      <c r="V119" s="6">
        <f t="shared" si="9"/>
        <v>30.483317426074244</v>
      </c>
      <c r="W119" s="6">
        <f t="shared" si="10"/>
        <v>13.857279935059308</v>
      </c>
      <c r="X119" s="6">
        <f t="shared" si="11"/>
        <v>15.120655016318436</v>
      </c>
      <c r="Y119" s="6">
        <f t="shared" si="12"/>
        <v>11.33389971947291</v>
      </c>
      <c r="Z119" s="6">
        <f t="shared" si="13"/>
        <v>21.151744199183973</v>
      </c>
      <c r="AA119" s="6">
        <f t="shared" si="14"/>
        <v>17.874556632360235</v>
      </c>
      <c r="AB119" s="6">
        <f t="shared" si="15"/>
        <v>11.33389971947291</v>
      </c>
      <c r="AC119" s="6">
        <f t="shared" si="16"/>
        <v>4</v>
      </c>
    </row>
    <row r="120" spans="1:29">
      <c r="A120" s="11">
        <v>119</v>
      </c>
      <c r="B120" s="12">
        <v>5</v>
      </c>
      <c r="C120" s="11">
        <v>2</v>
      </c>
      <c r="D120" s="11">
        <v>1</v>
      </c>
      <c r="E120" s="11">
        <v>2</v>
      </c>
      <c r="F120" s="11">
        <v>4</v>
      </c>
      <c r="G120" s="11">
        <v>4</v>
      </c>
      <c r="H120" s="11">
        <v>2</v>
      </c>
      <c r="I120" s="11">
        <v>1</v>
      </c>
      <c r="J120" s="11">
        <v>1</v>
      </c>
      <c r="K120" s="11">
        <v>4</v>
      </c>
      <c r="L120" s="11">
        <v>1</v>
      </c>
      <c r="M120" s="11">
        <v>1</v>
      </c>
      <c r="N120" s="11">
        <v>4</v>
      </c>
      <c r="O120" s="11">
        <v>5</v>
      </c>
      <c r="P120" s="11">
        <v>5</v>
      </c>
      <c r="Q120" s="11">
        <v>1</v>
      </c>
      <c r="R120" s="11">
        <v>1</v>
      </c>
      <c r="S120" s="11">
        <v>2</v>
      </c>
      <c r="T120" s="11">
        <v>2</v>
      </c>
      <c r="U120" s="10">
        <v>4</v>
      </c>
      <c r="V120" s="6">
        <f t="shared" si="9"/>
        <v>61.574264882416493</v>
      </c>
      <c r="W120" s="6">
        <f t="shared" si="10"/>
        <v>37.072571963685611</v>
      </c>
      <c r="X120" s="6">
        <f t="shared" si="11"/>
        <v>44.995555067821201</v>
      </c>
      <c r="Y120" s="6">
        <f t="shared" si="12"/>
        <v>38.156328176024246</v>
      </c>
      <c r="Z120" s="6">
        <f t="shared" si="13"/>
        <v>22.780410178727646</v>
      </c>
      <c r="AA120" s="6">
        <f t="shared" si="14"/>
        <v>25.030118664616893</v>
      </c>
      <c r="AB120" s="6">
        <f t="shared" si="15"/>
        <v>22.780410178727646</v>
      </c>
      <c r="AC120" s="6">
        <f t="shared" si="16"/>
        <v>5</v>
      </c>
    </row>
    <row r="121" spans="1:29">
      <c r="A121" s="11">
        <v>120</v>
      </c>
      <c r="B121" s="12">
        <v>5</v>
      </c>
      <c r="C121" s="11">
        <v>2</v>
      </c>
      <c r="D121" s="11">
        <v>1</v>
      </c>
      <c r="E121" s="11">
        <v>2</v>
      </c>
      <c r="F121" s="11">
        <v>1</v>
      </c>
      <c r="G121" s="11">
        <v>2</v>
      </c>
      <c r="H121" s="11">
        <v>3</v>
      </c>
      <c r="I121" s="11">
        <v>2</v>
      </c>
      <c r="J121" s="11">
        <v>2</v>
      </c>
      <c r="K121" s="11">
        <v>2</v>
      </c>
      <c r="L121" s="11">
        <v>3</v>
      </c>
      <c r="M121" s="11">
        <v>2</v>
      </c>
      <c r="N121" s="11">
        <v>3</v>
      </c>
      <c r="O121" s="11">
        <v>4</v>
      </c>
      <c r="P121" s="11">
        <v>2</v>
      </c>
      <c r="Q121" s="11">
        <v>1</v>
      </c>
      <c r="R121" s="11">
        <v>1</v>
      </c>
      <c r="S121" s="11">
        <v>1</v>
      </c>
      <c r="T121" s="11">
        <v>3</v>
      </c>
      <c r="U121" s="10">
        <v>1</v>
      </c>
      <c r="V121" s="6">
        <f t="shared" si="9"/>
        <v>63.66509550853781</v>
      </c>
      <c r="W121" s="6">
        <f t="shared" si="10"/>
        <v>32.74940707143783</v>
      </c>
      <c r="X121" s="6">
        <f t="shared" si="11"/>
        <v>40.703840619451562</v>
      </c>
      <c r="Y121" s="6">
        <f t="shared" si="12"/>
        <v>29.511813117444685</v>
      </c>
      <c r="Z121" s="6">
        <f t="shared" si="13"/>
        <v>39.380321038246194</v>
      </c>
      <c r="AA121" s="6">
        <f t="shared" si="14"/>
        <v>20.607829943145688</v>
      </c>
      <c r="AB121" s="6">
        <f t="shared" si="15"/>
        <v>20.607829943145688</v>
      </c>
      <c r="AC121" s="6">
        <f t="shared" si="16"/>
        <v>6</v>
      </c>
    </row>
    <row r="122" spans="1:29">
      <c r="A122" s="11">
        <v>121</v>
      </c>
      <c r="B122" s="12">
        <v>2</v>
      </c>
      <c r="C122" s="11">
        <v>1</v>
      </c>
      <c r="D122" s="11">
        <v>2</v>
      </c>
      <c r="E122" s="11">
        <v>3</v>
      </c>
      <c r="F122" s="11">
        <v>3</v>
      </c>
      <c r="G122" s="11">
        <v>3</v>
      </c>
      <c r="H122" s="11">
        <v>4</v>
      </c>
      <c r="I122" s="11">
        <v>2</v>
      </c>
      <c r="J122" s="11">
        <v>2</v>
      </c>
      <c r="K122" s="11">
        <v>3</v>
      </c>
      <c r="L122" s="11">
        <v>2</v>
      </c>
      <c r="M122" s="11">
        <v>2</v>
      </c>
      <c r="N122" s="11">
        <v>2</v>
      </c>
      <c r="O122" s="11">
        <v>4</v>
      </c>
      <c r="P122" s="11">
        <v>4</v>
      </c>
      <c r="Q122" s="11">
        <v>3</v>
      </c>
      <c r="R122" s="11">
        <v>3</v>
      </c>
      <c r="S122" s="11">
        <v>2</v>
      </c>
      <c r="T122" s="11">
        <v>3</v>
      </c>
      <c r="U122" s="10">
        <v>2</v>
      </c>
      <c r="V122" s="6">
        <f t="shared" si="9"/>
        <v>29.66515589002638</v>
      </c>
      <c r="W122" s="6">
        <f t="shared" si="10"/>
        <v>13.811071787605281</v>
      </c>
      <c r="X122" s="6">
        <f t="shared" si="11"/>
        <v>12.578958581056586</v>
      </c>
      <c r="Y122" s="6">
        <f t="shared" si="12"/>
        <v>13.000286236920605</v>
      </c>
      <c r="Z122" s="6">
        <f t="shared" si="13"/>
        <v>12.180399477148578</v>
      </c>
      <c r="AA122" s="6">
        <f t="shared" si="14"/>
        <v>6.1190295751147028</v>
      </c>
      <c r="AB122" s="6">
        <f t="shared" si="15"/>
        <v>6.1190295751147028</v>
      </c>
      <c r="AC122" s="6">
        <f t="shared" si="16"/>
        <v>6</v>
      </c>
    </row>
    <row r="123" spans="1:29">
      <c r="A123" s="11">
        <v>122</v>
      </c>
      <c r="B123" s="12">
        <v>3</v>
      </c>
      <c r="C123" s="11">
        <v>3</v>
      </c>
      <c r="D123" s="11">
        <v>2</v>
      </c>
      <c r="E123" s="11">
        <v>3</v>
      </c>
      <c r="F123" s="11">
        <v>1</v>
      </c>
      <c r="G123" s="11">
        <v>2</v>
      </c>
      <c r="H123" s="11">
        <v>2</v>
      </c>
      <c r="I123" s="11">
        <v>3</v>
      </c>
      <c r="J123" s="11">
        <v>2</v>
      </c>
      <c r="K123" s="11">
        <v>2</v>
      </c>
      <c r="L123" s="11">
        <v>3</v>
      </c>
      <c r="M123" s="11">
        <v>1</v>
      </c>
      <c r="N123" s="11">
        <v>2</v>
      </c>
      <c r="O123" s="11">
        <v>3</v>
      </c>
      <c r="P123" s="11">
        <v>4</v>
      </c>
      <c r="Q123" s="11">
        <v>2</v>
      </c>
      <c r="R123" s="11">
        <v>3</v>
      </c>
      <c r="S123" s="11">
        <v>2</v>
      </c>
      <c r="T123" s="11">
        <v>1</v>
      </c>
      <c r="U123" s="10">
        <v>3</v>
      </c>
      <c r="V123" s="6">
        <f t="shared" si="9"/>
        <v>43.028656093823585</v>
      </c>
      <c r="W123" s="6">
        <f t="shared" si="10"/>
        <v>15.457198162561831</v>
      </c>
      <c r="X123" s="6">
        <f t="shared" si="11"/>
        <v>20.370633861396854</v>
      </c>
      <c r="Y123" s="6">
        <f t="shared" si="12"/>
        <v>21.111803323168996</v>
      </c>
      <c r="Z123" s="6">
        <f t="shared" si="13"/>
        <v>23.551715454056762</v>
      </c>
      <c r="AA123" s="6">
        <f t="shared" si="14"/>
        <v>17.163484760238756</v>
      </c>
      <c r="AB123" s="6">
        <f t="shared" si="15"/>
        <v>15.457198162561831</v>
      </c>
      <c r="AC123" s="6">
        <f t="shared" si="16"/>
        <v>2</v>
      </c>
    </row>
    <row r="124" spans="1:29">
      <c r="A124" s="11">
        <v>123</v>
      </c>
      <c r="B124" s="12">
        <v>3</v>
      </c>
      <c r="C124" s="11">
        <v>3</v>
      </c>
      <c r="D124" s="11">
        <v>1</v>
      </c>
      <c r="E124" s="11">
        <v>2</v>
      </c>
      <c r="F124" s="11">
        <v>2</v>
      </c>
      <c r="G124" s="11">
        <v>4</v>
      </c>
      <c r="H124" s="11">
        <v>3</v>
      </c>
      <c r="I124" s="11">
        <v>2</v>
      </c>
      <c r="J124" s="11">
        <v>2</v>
      </c>
      <c r="K124" s="11">
        <v>3</v>
      </c>
      <c r="L124" s="11">
        <v>2</v>
      </c>
      <c r="M124" s="11">
        <v>2</v>
      </c>
      <c r="N124" s="11">
        <v>3</v>
      </c>
      <c r="O124" s="11">
        <v>3</v>
      </c>
      <c r="P124" s="11">
        <v>4</v>
      </c>
      <c r="Q124" s="11">
        <v>3</v>
      </c>
      <c r="R124" s="11">
        <v>3</v>
      </c>
      <c r="S124" s="11">
        <v>2</v>
      </c>
      <c r="T124" s="11">
        <v>3</v>
      </c>
      <c r="U124" s="10">
        <v>3</v>
      </c>
      <c r="V124" s="6">
        <f t="shared" si="9"/>
        <v>28.210627275978965</v>
      </c>
      <c r="W124" s="6">
        <f t="shared" si="10"/>
        <v>11.088010753905916</v>
      </c>
      <c r="X124" s="6">
        <f t="shared" si="11"/>
        <v>11.745642158673125</v>
      </c>
      <c r="Y124" s="6">
        <f t="shared" si="12"/>
        <v>10.267465424091226</v>
      </c>
      <c r="Z124" s="6">
        <f t="shared" si="13"/>
        <v>13.066097147915341</v>
      </c>
      <c r="AA124" s="6">
        <f t="shared" si="14"/>
        <v>5.6523888107901561</v>
      </c>
      <c r="AB124" s="6">
        <f t="shared" si="15"/>
        <v>5.6523888107901561</v>
      </c>
      <c r="AC124" s="6">
        <f t="shared" si="16"/>
        <v>6</v>
      </c>
    </row>
    <row r="125" spans="1:29">
      <c r="A125" s="11">
        <v>124</v>
      </c>
      <c r="B125" s="12">
        <v>2</v>
      </c>
      <c r="C125" s="11">
        <v>4</v>
      </c>
      <c r="D125" s="11">
        <v>3</v>
      </c>
      <c r="E125" s="11">
        <v>4</v>
      </c>
      <c r="F125" s="11">
        <v>5</v>
      </c>
      <c r="G125" s="11">
        <v>4</v>
      </c>
      <c r="H125" s="11">
        <v>4</v>
      </c>
      <c r="I125" s="11">
        <v>3</v>
      </c>
      <c r="J125" s="11">
        <v>2</v>
      </c>
      <c r="K125" s="11">
        <v>3</v>
      </c>
      <c r="L125" s="11">
        <v>4</v>
      </c>
      <c r="M125" s="11">
        <v>3</v>
      </c>
      <c r="N125" s="11">
        <v>3</v>
      </c>
      <c r="O125" s="11">
        <v>1</v>
      </c>
      <c r="P125" s="11">
        <v>2</v>
      </c>
      <c r="Q125" s="11">
        <v>3</v>
      </c>
      <c r="R125" s="11">
        <v>4</v>
      </c>
      <c r="S125" s="11">
        <v>3</v>
      </c>
      <c r="T125" s="11">
        <v>4</v>
      </c>
      <c r="U125" s="10">
        <v>5</v>
      </c>
      <c r="V125" s="6">
        <f t="shared" si="9"/>
        <v>15.756171274381638</v>
      </c>
      <c r="W125" s="6">
        <f t="shared" si="10"/>
        <v>29.749726390401598</v>
      </c>
      <c r="X125" s="6">
        <f t="shared" si="11"/>
        <v>26.287304179374594</v>
      </c>
      <c r="Y125" s="6">
        <f t="shared" si="12"/>
        <v>44.956308879363426</v>
      </c>
      <c r="Z125" s="6">
        <f t="shared" si="13"/>
        <v>40.00875272852614</v>
      </c>
      <c r="AA125" s="6">
        <f t="shared" si="14"/>
        <v>50.408131424163571</v>
      </c>
      <c r="AB125" s="6">
        <f t="shared" si="15"/>
        <v>15.756171274381638</v>
      </c>
      <c r="AC125" s="6">
        <f t="shared" si="16"/>
        <v>1</v>
      </c>
    </row>
    <row r="126" spans="1:29">
      <c r="A126" s="11">
        <v>125</v>
      </c>
      <c r="B126" s="12">
        <v>2</v>
      </c>
      <c r="C126" s="11">
        <v>2</v>
      </c>
      <c r="D126" s="11">
        <v>4</v>
      </c>
      <c r="E126" s="11">
        <v>2</v>
      </c>
      <c r="F126" s="11">
        <v>5</v>
      </c>
      <c r="G126" s="11">
        <v>3</v>
      </c>
      <c r="H126" s="11">
        <v>3</v>
      </c>
      <c r="I126" s="11">
        <v>2</v>
      </c>
      <c r="J126" s="11">
        <v>2</v>
      </c>
      <c r="K126" s="11">
        <v>3</v>
      </c>
      <c r="L126" s="11">
        <v>4</v>
      </c>
      <c r="M126" s="11">
        <v>2</v>
      </c>
      <c r="N126" s="11">
        <v>3</v>
      </c>
      <c r="O126" s="11">
        <v>4</v>
      </c>
      <c r="P126" s="11">
        <v>3</v>
      </c>
      <c r="Q126" s="11">
        <v>2</v>
      </c>
      <c r="R126" s="11">
        <v>3</v>
      </c>
      <c r="S126" s="11">
        <v>4</v>
      </c>
      <c r="T126" s="11">
        <v>3</v>
      </c>
      <c r="U126" s="10">
        <v>5</v>
      </c>
      <c r="V126" s="6">
        <f t="shared" si="9"/>
        <v>19.574348711775059</v>
      </c>
      <c r="W126" s="6">
        <f t="shared" si="10"/>
        <v>19.426591692521917</v>
      </c>
      <c r="X126" s="6">
        <f t="shared" si="11"/>
        <v>18.078970853627403</v>
      </c>
      <c r="Y126" s="6">
        <f t="shared" si="12"/>
        <v>26.356113208355332</v>
      </c>
      <c r="Z126" s="6">
        <f t="shared" si="13"/>
        <v>19.894617741096493</v>
      </c>
      <c r="AA126" s="6">
        <f t="shared" si="14"/>
        <v>34.608010278790509</v>
      </c>
      <c r="AB126" s="6">
        <f t="shared" si="15"/>
        <v>18.078970853627403</v>
      </c>
      <c r="AC126" s="6">
        <f t="shared" si="16"/>
        <v>3</v>
      </c>
    </row>
    <row r="127" spans="1:29">
      <c r="A127" s="11">
        <v>126</v>
      </c>
      <c r="B127" s="12">
        <v>4</v>
      </c>
      <c r="C127" s="11">
        <v>1</v>
      </c>
      <c r="D127" s="11">
        <v>1</v>
      </c>
      <c r="E127" s="11">
        <v>2</v>
      </c>
      <c r="F127" s="11">
        <v>2</v>
      </c>
      <c r="G127" s="11">
        <v>2</v>
      </c>
      <c r="H127" s="11">
        <v>4</v>
      </c>
      <c r="I127" s="11">
        <v>2</v>
      </c>
      <c r="J127" s="11">
        <v>2</v>
      </c>
      <c r="K127" s="11">
        <v>2</v>
      </c>
      <c r="L127" s="11">
        <v>1</v>
      </c>
      <c r="M127" s="11">
        <v>4</v>
      </c>
      <c r="N127" s="11">
        <v>4</v>
      </c>
      <c r="O127" s="11">
        <v>4</v>
      </c>
      <c r="P127" s="11">
        <v>1</v>
      </c>
      <c r="Q127" s="11">
        <v>2</v>
      </c>
      <c r="R127" s="11">
        <v>3</v>
      </c>
      <c r="S127" s="11">
        <v>2</v>
      </c>
      <c r="T127" s="11">
        <v>3</v>
      </c>
      <c r="U127" s="10">
        <v>4</v>
      </c>
      <c r="V127" s="6">
        <f t="shared" si="9"/>
        <v>48.483236900379261</v>
      </c>
      <c r="W127" s="6">
        <f t="shared" si="10"/>
        <v>21.472604470128992</v>
      </c>
      <c r="X127" s="6">
        <f t="shared" si="11"/>
        <v>33.53721542800799</v>
      </c>
      <c r="Y127" s="6">
        <f t="shared" si="12"/>
        <v>16.867243813531967</v>
      </c>
      <c r="Z127" s="6">
        <f t="shared" si="13"/>
        <v>34.637458314490416</v>
      </c>
      <c r="AA127" s="6">
        <f t="shared" si="14"/>
        <v>27.252349176527389</v>
      </c>
      <c r="AB127" s="6">
        <f t="shared" si="15"/>
        <v>16.867243813531967</v>
      </c>
      <c r="AC127" s="6">
        <f t="shared" si="16"/>
        <v>4</v>
      </c>
    </row>
    <row r="128" spans="1:29">
      <c r="A128" s="11">
        <v>127</v>
      </c>
      <c r="B128" s="12">
        <v>1</v>
      </c>
      <c r="C128" s="11">
        <v>1</v>
      </c>
      <c r="D128" s="11">
        <v>1</v>
      </c>
      <c r="E128" s="11">
        <v>4</v>
      </c>
      <c r="F128" s="11">
        <v>3</v>
      </c>
      <c r="G128" s="11">
        <v>2</v>
      </c>
      <c r="H128" s="11">
        <v>2</v>
      </c>
      <c r="I128" s="11">
        <v>2</v>
      </c>
      <c r="J128" s="11">
        <v>2</v>
      </c>
      <c r="K128" s="11">
        <v>2</v>
      </c>
      <c r="L128" s="11">
        <v>2</v>
      </c>
      <c r="M128" s="11">
        <v>2</v>
      </c>
      <c r="N128" s="11">
        <v>3</v>
      </c>
      <c r="O128" s="11">
        <v>4</v>
      </c>
      <c r="P128" s="11">
        <v>3</v>
      </c>
      <c r="Q128" s="11">
        <v>4</v>
      </c>
      <c r="R128" s="11">
        <v>4</v>
      </c>
      <c r="S128" s="11">
        <v>3</v>
      </c>
      <c r="T128" s="11">
        <v>2</v>
      </c>
      <c r="U128" s="10">
        <v>4</v>
      </c>
      <c r="V128" s="6">
        <f t="shared" si="9"/>
        <v>41.665094897822165</v>
      </c>
      <c r="W128" s="6">
        <f t="shared" si="10"/>
        <v>17.949580357808205</v>
      </c>
      <c r="X128" s="6">
        <f t="shared" si="11"/>
        <v>21.037322558129805</v>
      </c>
      <c r="Y128" s="6">
        <f t="shared" si="12"/>
        <v>20.222599979176426</v>
      </c>
      <c r="Z128" s="6">
        <f t="shared" si="13"/>
        <v>22.123216637034545</v>
      </c>
      <c r="AA128" s="6">
        <f t="shared" si="14"/>
        <v>23.896814177267682</v>
      </c>
      <c r="AB128" s="6">
        <f t="shared" si="15"/>
        <v>17.949580357808205</v>
      </c>
      <c r="AC128" s="6">
        <f t="shared" si="16"/>
        <v>2</v>
      </c>
    </row>
    <row r="129" spans="1:29">
      <c r="A129" s="11">
        <v>128</v>
      </c>
      <c r="B129" s="12">
        <v>1</v>
      </c>
      <c r="C129" s="11">
        <v>3</v>
      </c>
      <c r="D129" s="11">
        <v>2</v>
      </c>
      <c r="E129" s="11">
        <v>3</v>
      </c>
      <c r="F129" s="11">
        <v>4</v>
      </c>
      <c r="G129" s="11">
        <v>4</v>
      </c>
      <c r="H129" s="11">
        <v>3</v>
      </c>
      <c r="I129" s="11">
        <v>3</v>
      </c>
      <c r="J129" s="11">
        <v>3</v>
      </c>
      <c r="K129" s="11">
        <v>3</v>
      </c>
      <c r="L129" s="11">
        <v>3</v>
      </c>
      <c r="M129" s="11">
        <v>3</v>
      </c>
      <c r="N129" s="11">
        <v>2</v>
      </c>
      <c r="O129" s="11">
        <v>3</v>
      </c>
      <c r="P129" s="11">
        <v>3</v>
      </c>
      <c r="Q129" s="11">
        <v>3</v>
      </c>
      <c r="R129" s="11">
        <v>4</v>
      </c>
      <c r="S129" s="11">
        <v>2</v>
      </c>
      <c r="T129" s="11">
        <v>3</v>
      </c>
      <c r="U129" s="10">
        <v>4</v>
      </c>
      <c r="V129" s="6">
        <f t="shared" si="9"/>
        <v>16.756071785642206</v>
      </c>
      <c r="W129" s="6">
        <f t="shared" si="10"/>
        <v>15.180403049365832</v>
      </c>
      <c r="X129" s="6">
        <f t="shared" si="11"/>
        <v>10.620668202538267</v>
      </c>
      <c r="Y129" s="6">
        <f t="shared" si="12"/>
        <v>21.156194785074202</v>
      </c>
      <c r="Z129" s="6">
        <f t="shared" si="13"/>
        <v>20.723169630745446</v>
      </c>
      <c r="AA129" s="6">
        <f t="shared" si="14"/>
        <v>23.074675459905173</v>
      </c>
      <c r="AB129" s="6">
        <f t="shared" si="15"/>
        <v>10.620668202538267</v>
      </c>
      <c r="AC129" s="6">
        <f t="shared" si="16"/>
        <v>3</v>
      </c>
    </row>
    <row r="130" spans="1:29">
      <c r="A130" s="11">
        <v>129</v>
      </c>
      <c r="B130" s="12">
        <v>2</v>
      </c>
      <c r="C130" s="11">
        <v>3</v>
      </c>
      <c r="D130" s="11">
        <v>4</v>
      </c>
      <c r="E130" s="11">
        <v>2</v>
      </c>
      <c r="F130" s="11">
        <v>3</v>
      </c>
      <c r="G130" s="11">
        <v>2</v>
      </c>
      <c r="H130" s="11">
        <v>4</v>
      </c>
      <c r="I130" s="11">
        <v>3</v>
      </c>
      <c r="J130" s="11">
        <v>3</v>
      </c>
      <c r="K130" s="11">
        <v>4</v>
      </c>
      <c r="L130" s="11">
        <v>2</v>
      </c>
      <c r="M130" s="11">
        <v>3</v>
      </c>
      <c r="N130" s="11">
        <v>4</v>
      </c>
      <c r="O130" s="11">
        <v>4</v>
      </c>
      <c r="P130" s="11">
        <v>2</v>
      </c>
      <c r="Q130" s="11">
        <v>4</v>
      </c>
      <c r="R130" s="11">
        <v>2</v>
      </c>
      <c r="S130" s="11">
        <v>3</v>
      </c>
      <c r="T130" s="11">
        <v>2</v>
      </c>
      <c r="U130" s="10">
        <v>4</v>
      </c>
      <c r="V130" s="6">
        <f t="shared" si="9"/>
        <v>22.210636917524866</v>
      </c>
      <c r="W130" s="6">
        <f t="shared" si="10"/>
        <v>17.595833423852962</v>
      </c>
      <c r="X130" s="6">
        <f t="shared" si="11"/>
        <v>18.662298791269539</v>
      </c>
      <c r="Y130" s="6">
        <f t="shared" si="12"/>
        <v>27.667301361533756</v>
      </c>
      <c r="Z130" s="6">
        <f t="shared" si="13"/>
        <v>25.723184328928106</v>
      </c>
      <c r="AA130" s="6">
        <f t="shared" si="14"/>
        <v>32.430224213088906</v>
      </c>
      <c r="AB130" s="6">
        <f t="shared" si="15"/>
        <v>17.595833423852962</v>
      </c>
      <c r="AC130" s="6">
        <f t="shared" si="16"/>
        <v>2</v>
      </c>
    </row>
    <row r="131" spans="1:29">
      <c r="A131" s="11">
        <v>130</v>
      </c>
      <c r="B131" s="12">
        <v>2</v>
      </c>
      <c r="C131" s="11">
        <v>2</v>
      </c>
      <c r="D131" s="11">
        <v>2</v>
      </c>
      <c r="E131" s="11">
        <v>2</v>
      </c>
      <c r="F131" s="11">
        <v>3</v>
      </c>
      <c r="G131" s="11">
        <v>2</v>
      </c>
      <c r="H131" s="11">
        <v>3</v>
      </c>
      <c r="I131" s="11">
        <v>2</v>
      </c>
      <c r="J131" s="11">
        <v>2</v>
      </c>
      <c r="K131" s="11">
        <v>3</v>
      </c>
      <c r="L131" s="11">
        <v>2</v>
      </c>
      <c r="M131" s="11">
        <v>2</v>
      </c>
      <c r="N131" s="11">
        <v>3</v>
      </c>
      <c r="O131" s="11">
        <v>4</v>
      </c>
      <c r="P131" s="11">
        <v>3</v>
      </c>
      <c r="Q131" s="11">
        <v>2</v>
      </c>
      <c r="R131" s="11">
        <v>2</v>
      </c>
      <c r="S131" s="11">
        <v>2</v>
      </c>
      <c r="T131" s="11">
        <v>2</v>
      </c>
      <c r="U131" s="10">
        <v>4</v>
      </c>
      <c r="V131" s="6">
        <f t="shared" ref="V131:V194" si="17">SUMXMY2($B131:$U131,AG$2:AG$21)</f>
        <v>31.756003990431498</v>
      </c>
      <c r="W131" s="6">
        <f t="shared" ref="W131:W194" si="18">SUMXMY2($B131:$U131,AH$2:AH$21)</f>
        <v>6.5649229534530464</v>
      </c>
      <c r="X131" s="6">
        <f t="shared" ref="X131:X194" si="19">SUMXMY2($B131:$U131,AI$2:AI$21)</f>
        <v>12.412246413953552</v>
      </c>
      <c r="Y131" s="6">
        <f t="shared" ref="Y131:Y194" si="20">SUMXMY2($B131:$U131,AJ$2:AJ$21)</f>
        <v>7.5116898636725029</v>
      </c>
      <c r="Z131" s="6">
        <f t="shared" ref="Z131:Z194" si="21">SUMXMY2($B131:$U131,AK$2:AK$21)</f>
        <v>10.066083617981253</v>
      </c>
      <c r="AA131" s="6">
        <f t="shared" ref="AA131:AA194" si="22">SUMXMY2($B131:$U131,AL$2:AL$21)</f>
        <v>11.141247965398524</v>
      </c>
      <c r="AB131" s="6">
        <f t="shared" ref="AB131:AB194" si="23">MIN(V131:AA131)</f>
        <v>6.5649229534530464</v>
      </c>
      <c r="AC131" s="6">
        <f t="shared" ref="AC131:AC194" si="24">IF(AB131=V131,1,IF(AB131=W131,2,IF(AB131=X131,3,IF(AB131=Y131,4,IF(AB131=Z131,5,6)))))</f>
        <v>2</v>
      </c>
    </row>
    <row r="132" spans="1:29">
      <c r="A132" s="11">
        <v>131</v>
      </c>
      <c r="B132" s="12">
        <v>3</v>
      </c>
      <c r="C132" s="11">
        <v>4</v>
      </c>
      <c r="D132" s="11">
        <v>2</v>
      </c>
      <c r="E132" s="11">
        <v>2</v>
      </c>
      <c r="F132" s="11">
        <v>5</v>
      </c>
      <c r="G132" s="11">
        <v>5</v>
      </c>
      <c r="H132" s="11">
        <v>5</v>
      </c>
      <c r="I132" s="11">
        <v>5</v>
      </c>
      <c r="J132" s="11">
        <v>4</v>
      </c>
      <c r="K132" s="11">
        <v>4</v>
      </c>
      <c r="L132" s="11">
        <v>1</v>
      </c>
      <c r="M132" s="11">
        <v>1</v>
      </c>
      <c r="N132" s="11">
        <v>3</v>
      </c>
      <c r="O132" s="11">
        <v>4</v>
      </c>
      <c r="P132" s="11">
        <v>4</v>
      </c>
      <c r="Q132" s="11">
        <v>3</v>
      </c>
      <c r="R132" s="11">
        <v>4</v>
      </c>
      <c r="S132" s="11">
        <v>4</v>
      </c>
      <c r="T132" s="11">
        <v>3</v>
      </c>
      <c r="U132" s="10">
        <v>5</v>
      </c>
      <c r="V132" s="6">
        <f t="shared" si="17"/>
        <v>28.665199840353338</v>
      </c>
      <c r="W132" s="6">
        <f t="shared" si="18"/>
        <v>47.303600191242403</v>
      </c>
      <c r="X132" s="6">
        <f t="shared" si="19"/>
        <v>31.954053976259885</v>
      </c>
      <c r="Y132" s="6">
        <f t="shared" si="20"/>
        <v>55.334254237841023</v>
      </c>
      <c r="Z132" s="6">
        <f t="shared" si="21"/>
        <v>37.237545336142986</v>
      </c>
      <c r="AA132" s="6">
        <f t="shared" si="22"/>
        <v>52.541386056392732</v>
      </c>
      <c r="AB132" s="6">
        <f t="shared" si="23"/>
        <v>28.665199840353338</v>
      </c>
      <c r="AC132" s="6">
        <f t="shared" si="24"/>
        <v>1</v>
      </c>
    </row>
    <row r="133" spans="1:29">
      <c r="A133" s="11">
        <v>132</v>
      </c>
      <c r="B133" s="12">
        <v>2</v>
      </c>
      <c r="C133" s="11">
        <v>2</v>
      </c>
      <c r="D133" s="11">
        <v>2</v>
      </c>
      <c r="E133" s="11">
        <v>2</v>
      </c>
      <c r="F133" s="11">
        <v>3</v>
      </c>
      <c r="G133" s="11">
        <v>5</v>
      </c>
      <c r="H133" s="11">
        <v>4</v>
      </c>
      <c r="I133" s="11">
        <v>2</v>
      </c>
      <c r="J133" s="11">
        <v>1</v>
      </c>
      <c r="K133" s="11">
        <v>4</v>
      </c>
      <c r="L133" s="11">
        <v>2</v>
      </c>
      <c r="M133" s="11">
        <v>2</v>
      </c>
      <c r="N133" s="11">
        <v>2</v>
      </c>
      <c r="O133" s="11">
        <v>4</v>
      </c>
      <c r="P133" s="11">
        <v>4</v>
      </c>
      <c r="Q133" s="11">
        <v>2</v>
      </c>
      <c r="R133" s="11">
        <v>3</v>
      </c>
      <c r="S133" s="11">
        <v>5</v>
      </c>
      <c r="T133" s="11">
        <v>3</v>
      </c>
      <c r="U133" s="10">
        <v>2</v>
      </c>
      <c r="V133" s="6">
        <f t="shared" si="17"/>
        <v>34.301642417406875</v>
      </c>
      <c r="W133" s="6">
        <f t="shared" si="18"/>
        <v>26.703413281575912</v>
      </c>
      <c r="X133" s="6">
        <f t="shared" si="19"/>
        <v>21.620678076401873</v>
      </c>
      <c r="Y133" s="6">
        <f t="shared" si="20"/>
        <v>23.178299863133081</v>
      </c>
      <c r="Z133" s="6">
        <f t="shared" si="21"/>
        <v>14.609075041270982</v>
      </c>
      <c r="AA133" s="6">
        <f t="shared" si="22"/>
        <v>19.296858245691489</v>
      </c>
      <c r="AB133" s="6">
        <f t="shared" si="23"/>
        <v>14.609075041270982</v>
      </c>
      <c r="AC133" s="6">
        <f t="shared" si="24"/>
        <v>5</v>
      </c>
    </row>
    <row r="134" spans="1:29">
      <c r="A134" s="11">
        <v>133</v>
      </c>
      <c r="B134" s="12">
        <v>2</v>
      </c>
      <c r="C134" s="11">
        <v>1</v>
      </c>
      <c r="D134" s="11">
        <v>1</v>
      </c>
      <c r="E134" s="11">
        <v>3</v>
      </c>
      <c r="F134" s="11">
        <v>3</v>
      </c>
      <c r="G134" s="11">
        <v>4</v>
      </c>
      <c r="H134" s="11">
        <v>3</v>
      </c>
      <c r="I134" s="11">
        <v>2</v>
      </c>
      <c r="J134" s="11">
        <v>4</v>
      </c>
      <c r="K134" s="11">
        <v>3</v>
      </c>
      <c r="L134" s="11">
        <v>1</v>
      </c>
      <c r="M134" s="11">
        <v>1</v>
      </c>
      <c r="N134" s="11">
        <v>4</v>
      </c>
      <c r="O134" s="11">
        <v>2</v>
      </c>
      <c r="P134" s="11">
        <v>3</v>
      </c>
      <c r="Q134" s="11">
        <v>2</v>
      </c>
      <c r="R134" s="11">
        <v>3</v>
      </c>
      <c r="S134" s="11">
        <v>2</v>
      </c>
      <c r="T134" s="11">
        <v>3</v>
      </c>
      <c r="U134" s="10">
        <v>4</v>
      </c>
      <c r="V134" s="6">
        <f t="shared" si="17"/>
        <v>33.210530543842225</v>
      </c>
      <c r="W134" s="6">
        <f t="shared" si="18"/>
        <v>20.964947606625145</v>
      </c>
      <c r="X134" s="6">
        <f t="shared" si="19"/>
        <v>20.245606664574819</v>
      </c>
      <c r="Y134" s="6">
        <f t="shared" si="20"/>
        <v>18.044873810840816</v>
      </c>
      <c r="Z134" s="6">
        <f t="shared" si="21"/>
        <v>25.23738622576608</v>
      </c>
      <c r="AA134" s="6">
        <f t="shared" si="22"/>
        <v>21.563590837007109</v>
      </c>
      <c r="AB134" s="6">
        <f t="shared" si="23"/>
        <v>18.044873810840816</v>
      </c>
      <c r="AC134" s="6">
        <f t="shared" si="24"/>
        <v>4</v>
      </c>
    </row>
    <row r="135" spans="1:29">
      <c r="A135" s="11">
        <v>134</v>
      </c>
      <c r="B135" s="12">
        <v>5</v>
      </c>
      <c r="C135" s="11">
        <v>2</v>
      </c>
      <c r="D135" s="11">
        <v>1</v>
      </c>
      <c r="E135" s="11">
        <v>3</v>
      </c>
      <c r="F135" s="11">
        <v>4</v>
      </c>
      <c r="G135" s="11">
        <v>3</v>
      </c>
      <c r="H135" s="11">
        <v>3</v>
      </c>
      <c r="I135" s="11">
        <v>2</v>
      </c>
      <c r="J135" s="11">
        <v>2</v>
      </c>
      <c r="K135" s="11">
        <v>2</v>
      </c>
      <c r="L135" s="11">
        <v>1</v>
      </c>
      <c r="M135" s="11">
        <v>2</v>
      </c>
      <c r="N135" s="11">
        <v>2</v>
      </c>
      <c r="O135" s="11">
        <v>4</v>
      </c>
      <c r="P135" s="11">
        <v>4</v>
      </c>
      <c r="Q135" s="11">
        <v>2</v>
      </c>
      <c r="R135" s="11">
        <v>4</v>
      </c>
      <c r="S135" s="11">
        <v>2</v>
      </c>
      <c r="T135" s="11">
        <v>4</v>
      </c>
      <c r="U135" s="10">
        <v>2</v>
      </c>
      <c r="V135" s="6">
        <f t="shared" si="17"/>
        <v>36.392445207575626</v>
      </c>
      <c r="W135" s="6">
        <f t="shared" si="18"/>
        <v>23.287994242172338</v>
      </c>
      <c r="X135" s="6">
        <f t="shared" si="19"/>
        <v>22.953939116680541</v>
      </c>
      <c r="Y135" s="6">
        <f t="shared" si="20"/>
        <v>24.111680275700859</v>
      </c>
      <c r="Z135" s="6">
        <f t="shared" si="21"/>
        <v>20.980304238295073</v>
      </c>
      <c r="AA135" s="6">
        <f t="shared" si="22"/>
        <v>11.05231905245968</v>
      </c>
      <c r="AB135" s="6">
        <f t="shared" si="23"/>
        <v>11.05231905245968</v>
      </c>
      <c r="AC135" s="6">
        <f t="shared" si="24"/>
        <v>6</v>
      </c>
    </row>
    <row r="136" spans="1:29">
      <c r="A136" s="11">
        <v>135</v>
      </c>
      <c r="B136" s="12">
        <v>5</v>
      </c>
      <c r="C136" s="11">
        <v>1</v>
      </c>
      <c r="D136" s="11">
        <v>1</v>
      </c>
      <c r="E136" s="11">
        <v>3</v>
      </c>
      <c r="F136" s="11">
        <v>3</v>
      </c>
      <c r="G136" s="11">
        <v>3</v>
      </c>
      <c r="H136" s="11">
        <v>3</v>
      </c>
      <c r="I136" s="11">
        <v>2</v>
      </c>
      <c r="J136" s="11">
        <v>1</v>
      </c>
      <c r="K136" s="11">
        <v>3</v>
      </c>
      <c r="L136" s="11">
        <v>3</v>
      </c>
      <c r="M136" s="11">
        <v>3</v>
      </c>
      <c r="N136" s="11">
        <v>4</v>
      </c>
      <c r="O136" s="11">
        <v>4</v>
      </c>
      <c r="P136" s="11">
        <v>3</v>
      </c>
      <c r="Q136" s="11">
        <v>5</v>
      </c>
      <c r="R136" s="11">
        <v>5</v>
      </c>
      <c r="S136" s="11">
        <v>2</v>
      </c>
      <c r="T136" s="11">
        <v>2</v>
      </c>
      <c r="U136" s="10">
        <v>3</v>
      </c>
      <c r="V136" s="6">
        <f t="shared" si="17"/>
        <v>43.392457864766151</v>
      </c>
      <c r="W136" s="6">
        <f t="shared" si="18"/>
        <v>28.780355906400128</v>
      </c>
      <c r="X136" s="6">
        <f t="shared" si="19"/>
        <v>34.245665283984067</v>
      </c>
      <c r="Y136" s="6">
        <f t="shared" si="20"/>
        <v>36.800680862121602</v>
      </c>
      <c r="Z136" s="6">
        <f t="shared" si="21"/>
        <v>36.151730936786116</v>
      </c>
      <c r="AA136" s="6">
        <f t="shared" si="22"/>
        <v>25.319061891511591</v>
      </c>
      <c r="AB136" s="6">
        <f t="shared" si="23"/>
        <v>25.319061891511591</v>
      </c>
      <c r="AC136" s="6">
        <f t="shared" si="24"/>
        <v>6</v>
      </c>
    </row>
    <row r="137" spans="1:29">
      <c r="A137" s="11">
        <v>136</v>
      </c>
      <c r="B137" s="12">
        <v>2</v>
      </c>
      <c r="C137" s="11">
        <v>2</v>
      </c>
      <c r="D137" s="11">
        <v>3</v>
      </c>
      <c r="E137" s="11">
        <v>4</v>
      </c>
      <c r="F137" s="11">
        <v>3</v>
      </c>
      <c r="G137" s="11">
        <v>2</v>
      </c>
      <c r="H137" s="11">
        <v>4</v>
      </c>
      <c r="I137" s="11">
        <v>3</v>
      </c>
      <c r="J137" s="11">
        <v>2</v>
      </c>
      <c r="K137" s="11">
        <v>1</v>
      </c>
      <c r="L137" s="11">
        <v>2</v>
      </c>
      <c r="M137" s="11">
        <v>5</v>
      </c>
      <c r="N137" s="11">
        <v>3</v>
      </c>
      <c r="O137" s="11">
        <v>4</v>
      </c>
      <c r="P137" s="11">
        <v>2</v>
      </c>
      <c r="Q137" s="11">
        <v>1</v>
      </c>
      <c r="R137" s="11">
        <v>3</v>
      </c>
      <c r="S137" s="11">
        <v>4</v>
      </c>
      <c r="T137" s="11">
        <v>5</v>
      </c>
      <c r="U137" s="10">
        <v>5</v>
      </c>
      <c r="V137" s="6">
        <f t="shared" si="17"/>
        <v>33.756048936807687</v>
      </c>
      <c r="W137" s="6">
        <f t="shared" si="18"/>
        <v>29.626553246359897</v>
      </c>
      <c r="X137" s="6">
        <f t="shared" si="19"/>
        <v>30.745595437764365</v>
      </c>
      <c r="Y137" s="6">
        <f t="shared" si="20"/>
        <v>26.022558955228401</v>
      </c>
      <c r="Z137" s="6">
        <f t="shared" si="21"/>
        <v>38.408898243072755</v>
      </c>
      <c r="AA137" s="6">
        <f t="shared" si="22"/>
        <v>47.674605107497207</v>
      </c>
      <c r="AB137" s="6">
        <f t="shared" si="23"/>
        <v>26.022558955228401</v>
      </c>
      <c r="AC137" s="6">
        <f t="shared" si="24"/>
        <v>4</v>
      </c>
    </row>
    <row r="138" spans="1:29">
      <c r="A138" s="11">
        <v>137</v>
      </c>
      <c r="B138" s="12">
        <v>5</v>
      </c>
      <c r="C138" s="11">
        <v>3</v>
      </c>
      <c r="D138" s="11">
        <v>1</v>
      </c>
      <c r="E138" s="11">
        <v>3</v>
      </c>
      <c r="F138" s="11">
        <v>2</v>
      </c>
      <c r="G138" s="11">
        <v>3</v>
      </c>
      <c r="H138" s="11">
        <v>3</v>
      </c>
      <c r="I138" s="11">
        <v>2</v>
      </c>
      <c r="J138" s="11">
        <v>4</v>
      </c>
      <c r="K138" s="11">
        <v>4</v>
      </c>
      <c r="L138" s="11">
        <v>1</v>
      </c>
      <c r="M138" s="11">
        <v>3</v>
      </c>
      <c r="N138" s="11">
        <v>2</v>
      </c>
      <c r="O138" s="11">
        <v>4</v>
      </c>
      <c r="P138" s="11">
        <v>4</v>
      </c>
      <c r="Q138" s="11">
        <v>4</v>
      </c>
      <c r="R138" s="11">
        <v>3</v>
      </c>
      <c r="S138" s="11">
        <v>1</v>
      </c>
      <c r="T138" s="11">
        <v>3</v>
      </c>
      <c r="U138" s="10">
        <v>1</v>
      </c>
      <c r="V138" s="6">
        <f t="shared" si="17"/>
        <v>43.665215058239532</v>
      </c>
      <c r="W138" s="6">
        <f t="shared" si="18"/>
        <v>33.872652865147231</v>
      </c>
      <c r="X138" s="6">
        <f t="shared" si="19"/>
        <v>30.287291595116777</v>
      </c>
      <c r="Y138" s="6">
        <f t="shared" si="20"/>
        <v>39.000738640234395</v>
      </c>
      <c r="Z138" s="6">
        <f t="shared" si="21"/>
        <v>35.208866060038034</v>
      </c>
      <c r="AA138" s="6">
        <f t="shared" si="22"/>
        <v>17.474535416038641</v>
      </c>
      <c r="AB138" s="6">
        <f t="shared" si="23"/>
        <v>17.474535416038641</v>
      </c>
      <c r="AC138" s="6">
        <f t="shared" si="24"/>
        <v>6</v>
      </c>
    </row>
    <row r="139" spans="1:29">
      <c r="A139" s="11">
        <v>138</v>
      </c>
      <c r="B139" s="12">
        <v>2</v>
      </c>
      <c r="C139" s="11">
        <v>1</v>
      </c>
      <c r="D139" s="11">
        <v>1</v>
      </c>
      <c r="E139" s="11">
        <v>5</v>
      </c>
      <c r="F139" s="11">
        <v>3</v>
      </c>
      <c r="G139" s="11">
        <v>2</v>
      </c>
      <c r="H139" s="11">
        <v>3</v>
      </c>
      <c r="I139" s="11">
        <v>5</v>
      </c>
      <c r="J139" s="11">
        <v>3</v>
      </c>
      <c r="K139" s="11">
        <v>2</v>
      </c>
      <c r="L139" s="11">
        <v>2</v>
      </c>
      <c r="M139" s="11">
        <v>1</v>
      </c>
      <c r="N139" s="11">
        <v>5</v>
      </c>
      <c r="O139" s="11">
        <v>4</v>
      </c>
      <c r="P139" s="11">
        <v>4</v>
      </c>
      <c r="Q139" s="11">
        <v>5</v>
      </c>
      <c r="R139" s="11">
        <v>1</v>
      </c>
      <c r="S139" s="11">
        <v>4</v>
      </c>
      <c r="T139" s="11">
        <v>5</v>
      </c>
      <c r="U139" s="10">
        <v>3</v>
      </c>
      <c r="V139" s="6">
        <f t="shared" si="17"/>
        <v>50.028783801722021</v>
      </c>
      <c r="W139" s="6">
        <f t="shared" si="18"/>
        <v>51.180398967596318</v>
      </c>
      <c r="X139" s="6">
        <f t="shared" si="19"/>
        <v>35.162319146786153</v>
      </c>
      <c r="Y139" s="6">
        <f t="shared" si="20"/>
        <v>50.444762520405014</v>
      </c>
      <c r="Z139" s="6">
        <f t="shared" si="21"/>
        <v>44.408989179309621</v>
      </c>
      <c r="AA139" s="6">
        <f t="shared" si="22"/>
        <v>47.696810469779663</v>
      </c>
      <c r="AB139" s="6">
        <f t="shared" si="23"/>
        <v>35.162319146786153</v>
      </c>
      <c r="AC139" s="6">
        <f t="shared" si="24"/>
        <v>3</v>
      </c>
    </row>
    <row r="140" spans="1:29">
      <c r="A140" s="11">
        <v>139</v>
      </c>
      <c r="B140" s="12">
        <v>3</v>
      </c>
      <c r="C140" s="11">
        <v>2</v>
      </c>
      <c r="D140" s="11">
        <v>1</v>
      </c>
      <c r="E140" s="11">
        <v>2</v>
      </c>
      <c r="F140" s="11">
        <v>2</v>
      </c>
      <c r="G140" s="11">
        <v>1</v>
      </c>
      <c r="H140" s="11">
        <v>3</v>
      </c>
      <c r="I140" s="11">
        <v>2</v>
      </c>
      <c r="J140" s="11">
        <v>2</v>
      </c>
      <c r="K140" s="11">
        <v>2</v>
      </c>
      <c r="L140" s="11">
        <v>3</v>
      </c>
      <c r="M140" s="11">
        <v>3</v>
      </c>
      <c r="N140" s="11">
        <v>3</v>
      </c>
      <c r="O140" s="11">
        <v>4</v>
      </c>
      <c r="P140" s="11">
        <v>4</v>
      </c>
      <c r="Q140" s="11">
        <v>1</v>
      </c>
      <c r="R140" s="11">
        <v>2</v>
      </c>
      <c r="S140" s="11">
        <v>1</v>
      </c>
      <c r="T140" s="11">
        <v>3</v>
      </c>
      <c r="U140" s="10">
        <v>3</v>
      </c>
      <c r="V140" s="6">
        <f t="shared" si="17"/>
        <v>47.93782732805122</v>
      </c>
      <c r="W140" s="6">
        <f t="shared" si="18"/>
        <v>18.872537118103686</v>
      </c>
      <c r="X140" s="6">
        <f t="shared" si="19"/>
        <v>22.078888778003737</v>
      </c>
      <c r="Y140" s="6">
        <f t="shared" si="20"/>
        <v>11.911745324807319</v>
      </c>
      <c r="Z140" s="6">
        <f t="shared" si="21"/>
        <v>26.523229449336537</v>
      </c>
      <c r="AA140" s="6">
        <f t="shared" si="22"/>
        <v>13.78558190337043</v>
      </c>
      <c r="AB140" s="6">
        <f t="shared" si="23"/>
        <v>11.911745324807319</v>
      </c>
      <c r="AC140" s="6">
        <f t="shared" si="24"/>
        <v>4</v>
      </c>
    </row>
    <row r="141" spans="1:29">
      <c r="A141" s="11">
        <v>140</v>
      </c>
      <c r="B141" s="12">
        <v>5</v>
      </c>
      <c r="C141" s="11">
        <v>1</v>
      </c>
      <c r="D141" s="11">
        <v>1</v>
      </c>
      <c r="E141" s="11">
        <v>1</v>
      </c>
      <c r="F141" s="11">
        <v>1</v>
      </c>
      <c r="G141" s="11">
        <v>5</v>
      </c>
      <c r="H141" s="11">
        <v>5</v>
      </c>
      <c r="I141" s="11">
        <v>1</v>
      </c>
      <c r="J141" s="11">
        <v>1</v>
      </c>
      <c r="K141" s="11">
        <v>5</v>
      </c>
      <c r="L141" s="11">
        <v>3</v>
      </c>
      <c r="M141" s="11">
        <v>5</v>
      </c>
      <c r="N141" s="11">
        <v>5</v>
      </c>
      <c r="O141" s="11">
        <v>5</v>
      </c>
      <c r="P141" s="11">
        <v>4</v>
      </c>
      <c r="Q141" s="11">
        <v>3</v>
      </c>
      <c r="R141" s="11">
        <v>5</v>
      </c>
      <c r="S141" s="11">
        <v>1</v>
      </c>
      <c r="T141" s="11">
        <v>5</v>
      </c>
      <c r="U141" s="10">
        <v>5</v>
      </c>
      <c r="V141" s="6">
        <f t="shared" si="17"/>
        <v>78.301622042506807</v>
      </c>
      <c r="W141" s="6">
        <f t="shared" si="18"/>
        <v>73.180357211938798</v>
      </c>
      <c r="X141" s="6">
        <f t="shared" si="19"/>
        <v>72.079016255221362</v>
      </c>
      <c r="Y141" s="6">
        <f t="shared" si="20"/>
        <v>59.02305556403342</v>
      </c>
      <c r="Z141" s="6">
        <f t="shared" si="21"/>
        <v>75.666222517717372</v>
      </c>
      <c r="AA141" s="6">
        <f t="shared" si="22"/>
        <v>62.65236522758947</v>
      </c>
      <c r="AB141" s="6">
        <f t="shared" si="23"/>
        <v>59.02305556403342</v>
      </c>
      <c r="AC141" s="6">
        <f t="shared" si="24"/>
        <v>4</v>
      </c>
    </row>
    <row r="142" spans="1:29">
      <c r="A142" s="11">
        <v>141</v>
      </c>
      <c r="B142" s="12">
        <v>4</v>
      </c>
      <c r="C142" s="11">
        <v>2</v>
      </c>
      <c r="D142" s="11">
        <v>3</v>
      </c>
      <c r="E142" s="11">
        <v>1</v>
      </c>
      <c r="F142" s="11">
        <v>4</v>
      </c>
      <c r="G142" s="11">
        <v>2</v>
      </c>
      <c r="H142" s="11">
        <v>3</v>
      </c>
      <c r="I142" s="11">
        <v>2</v>
      </c>
      <c r="J142" s="11">
        <v>2</v>
      </c>
      <c r="K142" s="11">
        <v>1</v>
      </c>
      <c r="L142" s="11">
        <v>1</v>
      </c>
      <c r="M142" s="11">
        <v>4</v>
      </c>
      <c r="N142" s="11">
        <v>2</v>
      </c>
      <c r="O142" s="11">
        <v>1</v>
      </c>
      <c r="P142" s="11">
        <v>2</v>
      </c>
      <c r="Q142" s="11">
        <v>3</v>
      </c>
      <c r="R142" s="11">
        <v>3</v>
      </c>
      <c r="S142" s="11">
        <v>4</v>
      </c>
      <c r="T142" s="11">
        <v>3</v>
      </c>
      <c r="U142" s="10">
        <v>5</v>
      </c>
      <c r="V142" s="6">
        <f t="shared" si="17"/>
        <v>39.301499470291702</v>
      </c>
      <c r="W142" s="6">
        <f t="shared" si="18"/>
        <v>19.041971615078577</v>
      </c>
      <c r="X142" s="6">
        <f t="shared" si="19"/>
        <v>32.620570995710992</v>
      </c>
      <c r="Y142" s="6">
        <f t="shared" si="20"/>
        <v>27.578401642594656</v>
      </c>
      <c r="Z142" s="6">
        <f t="shared" si="21"/>
        <v>39.951572391079033</v>
      </c>
      <c r="AA142" s="6">
        <f t="shared" si="22"/>
        <v>44.630252835293525</v>
      </c>
      <c r="AB142" s="6">
        <f t="shared" si="23"/>
        <v>19.041971615078577</v>
      </c>
      <c r="AC142" s="6">
        <f t="shared" si="24"/>
        <v>2</v>
      </c>
    </row>
    <row r="143" spans="1:29">
      <c r="A143" s="11">
        <v>142</v>
      </c>
      <c r="B143" s="12">
        <v>3</v>
      </c>
      <c r="C143" s="11">
        <v>3</v>
      </c>
      <c r="D143" s="11">
        <v>2</v>
      </c>
      <c r="E143" s="11">
        <v>3</v>
      </c>
      <c r="F143" s="11">
        <v>4</v>
      </c>
      <c r="G143" s="11">
        <v>3</v>
      </c>
      <c r="H143" s="11">
        <v>3</v>
      </c>
      <c r="I143" s="11">
        <v>2</v>
      </c>
      <c r="J143" s="11">
        <v>2</v>
      </c>
      <c r="K143" s="11">
        <v>2</v>
      </c>
      <c r="L143" s="11">
        <v>2</v>
      </c>
      <c r="M143" s="11">
        <v>4</v>
      </c>
      <c r="N143" s="11">
        <v>2</v>
      </c>
      <c r="O143" s="11">
        <v>2</v>
      </c>
      <c r="P143" s="11">
        <v>2</v>
      </c>
      <c r="Q143" s="11">
        <v>2</v>
      </c>
      <c r="R143" s="11">
        <v>5</v>
      </c>
      <c r="S143" s="11">
        <v>2</v>
      </c>
      <c r="T143" s="11">
        <v>1</v>
      </c>
      <c r="U143" s="10">
        <v>4</v>
      </c>
      <c r="V143" s="6">
        <f t="shared" si="17"/>
        <v>31.301460699111772</v>
      </c>
      <c r="W143" s="6">
        <f t="shared" si="18"/>
        <v>14.503437472089688</v>
      </c>
      <c r="X143" s="6">
        <f t="shared" si="19"/>
        <v>26.995609129491779</v>
      </c>
      <c r="Y143" s="6">
        <f t="shared" si="20"/>
        <v>26.978464732221873</v>
      </c>
      <c r="Z143" s="6">
        <f t="shared" si="21"/>
        <v>32.065857514713237</v>
      </c>
      <c r="AA143" s="6">
        <f t="shared" si="22"/>
        <v>29.874696005628145</v>
      </c>
      <c r="AB143" s="6">
        <f t="shared" si="23"/>
        <v>14.503437472089688</v>
      </c>
      <c r="AC143" s="6">
        <f t="shared" si="24"/>
        <v>2</v>
      </c>
    </row>
    <row r="144" spans="1:29">
      <c r="A144" s="11">
        <v>143</v>
      </c>
      <c r="B144" s="12">
        <v>4</v>
      </c>
      <c r="C144" s="11">
        <v>3</v>
      </c>
      <c r="D144" s="11">
        <v>3</v>
      </c>
      <c r="E144" s="11">
        <v>2</v>
      </c>
      <c r="F144" s="11">
        <v>2</v>
      </c>
      <c r="G144" s="11">
        <v>3</v>
      </c>
      <c r="H144" s="11">
        <v>2</v>
      </c>
      <c r="I144" s="11">
        <v>2</v>
      </c>
      <c r="J144" s="11">
        <v>3</v>
      </c>
      <c r="K144" s="11">
        <v>2</v>
      </c>
      <c r="L144" s="11">
        <v>2</v>
      </c>
      <c r="M144" s="11">
        <v>3</v>
      </c>
      <c r="N144" s="11">
        <v>3</v>
      </c>
      <c r="O144" s="11">
        <v>3</v>
      </c>
      <c r="P144" s="11">
        <v>3</v>
      </c>
      <c r="Q144" s="11">
        <v>2</v>
      </c>
      <c r="R144" s="11">
        <v>2</v>
      </c>
      <c r="S144" s="11">
        <v>2</v>
      </c>
      <c r="T144" s="11">
        <v>3</v>
      </c>
      <c r="U144" s="10">
        <v>4</v>
      </c>
      <c r="V144" s="6">
        <f t="shared" si="17"/>
        <v>23.846939228010118</v>
      </c>
      <c r="W144" s="6">
        <f t="shared" si="18"/>
        <v>7.2726568528761675</v>
      </c>
      <c r="X144" s="6">
        <f t="shared" si="19"/>
        <v>15.037254295077314</v>
      </c>
      <c r="Y144" s="6">
        <f t="shared" si="20"/>
        <v>11.511831013544175</v>
      </c>
      <c r="Z144" s="6">
        <f t="shared" si="21"/>
        <v>18.923084109316378</v>
      </c>
      <c r="AA144" s="6">
        <f t="shared" si="22"/>
        <v>15.830187555210156</v>
      </c>
      <c r="AB144" s="6">
        <f t="shared" si="23"/>
        <v>7.2726568528761675</v>
      </c>
      <c r="AC144" s="6">
        <f t="shared" si="24"/>
        <v>2</v>
      </c>
    </row>
    <row r="145" spans="1:29">
      <c r="A145" s="11">
        <v>144</v>
      </c>
      <c r="B145" s="12">
        <v>4</v>
      </c>
      <c r="C145" s="11">
        <v>2</v>
      </c>
      <c r="D145" s="11">
        <v>2</v>
      </c>
      <c r="E145" s="11">
        <v>2</v>
      </c>
      <c r="F145" s="11">
        <v>2</v>
      </c>
      <c r="G145" s="11">
        <v>3</v>
      </c>
      <c r="H145" s="11">
        <v>3</v>
      </c>
      <c r="I145" s="11">
        <v>1</v>
      </c>
      <c r="J145" s="11">
        <v>2</v>
      </c>
      <c r="K145" s="11">
        <v>4</v>
      </c>
      <c r="L145" s="11">
        <v>4</v>
      </c>
      <c r="M145" s="11">
        <v>3</v>
      </c>
      <c r="N145" s="11">
        <v>2</v>
      </c>
      <c r="O145" s="11">
        <v>4</v>
      </c>
      <c r="P145" s="11">
        <v>5</v>
      </c>
      <c r="Q145" s="11">
        <v>2</v>
      </c>
      <c r="R145" s="11">
        <v>2</v>
      </c>
      <c r="S145" s="11">
        <v>2</v>
      </c>
      <c r="T145" s="11">
        <v>3</v>
      </c>
      <c r="U145" s="10">
        <v>4</v>
      </c>
      <c r="V145" s="6">
        <f t="shared" si="17"/>
        <v>35.665250052352256</v>
      </c>
      <c r="W145" s="6">
        <f t="shared" si="18"/>
        <v>19.934187721626817</v>
      </c>
      <c r="X145" s="6">
        <f t="shared" si="19"/>
        <v>20.662266177638713</v>
      </c>
      <c r="Y145" s="6">
        <f t="shared" si="20"/>
        <v>19.35628648143955</v>
      </c>
      <c r="Z145" s="6">
        <f t="shared" si="21"/>
        <v>19.151820740325356</v>
      </c>
      <c r="AA145" s="6">
        <f t="shared" si="22"/>
        <v>16.207888841914119</v>
      </c>
      <c r="AB145" s="6">
        <f t="shared" si="23"/>
        <v>16.207888841914119</v>
      </c>
      <c r="AC145" s="6">
        <f t="shared" si="24"/>
        <v>6</v>
      </c>
    </row>
    <row r="146" spans="1:29">
      <c r="A146" s="11">
        <v>145</v>
      </c>
      <c r="B146" s="12">
        <v>1</v>
      </c>
      <c r="C146" s="11">
        <v>1</v>
      </c>
      <c r="D146" s="11">
        <v>1</v>
      </c>
      <c r="E146" s="11">
        <v>1</v>
      </c>
      <c r="F146" s="11">
        <v>1</v>
      </c>
      <c r="G146" s="11">
        <v>5</v>
      </c>
      <c r="H146" s="11">
        <v>5</v>
      </c>
      <c r="I146" s="11">
        <v>1</v>
      </c>
      <c r="J146" s="11">
        <v>1</v>
      </c>
      <c r="K146" s="11">
        <v>1</v>
      </c>
      <c r="L146" s="11">
        <v>1</v>
      </c>
      <c r="M146" s="11">
        <v>1</v>
      </c>
      <c r="N146" s="11">
        <v>1</v>
      </c>
      <c r="O146" s="11">
        <v>1</v>
      </c>
      <c r="P146" s="11">
        <v>1</v>
      </c>
      <c r="Q146" s="11">
        <v>1</v>
      </c>
      <c r="R146" s="11">
        <v>5</v>
      </c>
      <c r="S146" s="11">
        <v>5</v>
      </c>
      <c r="T146" s="11">
        <v>5</v>
      </c>
      <c r="U146" s="10">
        <v>5</v>
      </c>
      <c r="V146" s="6">
        <f t="shared" si="17"/>
        <v>93.210536422696123</v>
      </c>
      <c r="W146" s="6">
        <f t="shared" si="18"/>
        <v>65.811104026088515</v>
      </c>
      <c r="X146" s="6">
        <f t="shared" si="19"/>
        <v>73.120630528840749</v>
      </c>
      <c r="Y146" s="6">
        <f t="shared" si="20"/>
        <v>49.800459084222723</v>
      </c>
      <c r="Z146" s="6">
        <f t="shared" si="21"/>
        <v>73.75184758745047</v>
      </c>
      <c r="AA146" s="6">
        <f t="shared" si="22"/>
        <v>79.608056219217318</v>
      </c>
      <c r="AB146" s="6">
        <f t="shared" si="23"/>
        <v>49.800459084222723</v>
      </c>
      <c r="AC146" s="6">
        <f t="shared" si="24"/>
        <v>4</v>
      </c>
    </row>
    <row r="147" spans="1:29">
      <c r="A147" s="11">
        <v>146</v>
      </c>
      <c r="B147" s="12">
        <v>3</v>
      </c>
      <c r="C147" s="11">
        <v>3</v>
      </c>
      <c r="D147" s="11">
        <v>3</v>
      </c>
      <c r="E147" s="11">
        <v>2</v>
      </c>
      <c r="F147" s="11">
        <v>2</v>
      </c>
      <c r="G147" s="11">
        <v>3</v>
      </c>
      <c r="H147" s="11">
        <v>2</v>
      </c>
      <c r="I147" s="11">
        <v>1</v>
      </c>
      <c r="J147" s="11">
        <v>2</v>
      </c>
      <c r="K147" s="11">
        <v>4</v>
      </c>
      <c r="L147" s="11">
        <v>1</v>
      </c>
      <c r="M147" s="11">
        <v>3</v>
      </c>
      <c r="N147" s="11">
        <v>2</v>
      </c>
      <c r="O147" s="11">
        <v>4</v>
      </c>
      <c r="P147" s="11">
        <v>3</v>
      </c>
      <c r="Q147" s="11">
        <v>2</v>
      </c>
      <c r="R147" s="11">
        <v>1</v>
      </c>
      <c r="S147" s="11">
        <v>5</v>
      </c>
      <c r="T147" s="11">
        <v>3</v>
      </c>
      <c r="U147" s="10">
        <v>3</v>
      </c>
      <c r="V147" s="6">
        <f t="shared" si="17"/>
        <v>37.483448176502641</v>
      </c>
      <c r="W147" s="6">
        <f t="shared" si="18"/>
        <v>19.626526841136247</v>
      </c>
      <c r="X147" s="6">
        <f t="shared" si="19"/>
        <v>23.245602148596198</v>
      </c>
      <c r="Y147" s="6">
        <f t="shared" si="20"/>
        <v>20.82286424783365</v>
      </c>
      <c r="Z147" s="6">
        <f t="shared" si="21"/>
        <v>15.608959008417026</v>
      </c>
      <c r="AA147" s="6">
        <f t="shared" si="22"/>
        <v>23.519032630231759</v>
      </c>
      <c r="AB147" s="6">
        <f t="shared" si="23"/>
        <v>15.608959008417026</v>
      </c>
      <c r="AC147" s="6">
        <f t="shared" si="24"/>
        <v>5</v>
      </c>
    </row>
    <row r="148" spans="1:29">
      <c r="A148" s="11">
        <v>147</v>
      </c>
      <c r="B148" s="12">
        <v>3</v>
      </c>
      <c r="C148" s="11">
        <v>2</v>
      </c>
      <c r="D148" s="11">
        <v>2</v>
      </c>
      <c r="E148" s="11">
        <v>4</v>
      </c>
      <c r="F148" s="11">
        <v>3</v>
      </c>
      <c r="G148" s="11">
        <v>2</v>
      </c>
      <c r="H148" s="11">
        <v>3</v>
      </c>
      <c r="I148" s="11">
        <v>2</v>
      </c>
      <c r="J148" s="11">
        <v>2</v>
      </c>
      <c r="K148" s="11">
        <v>3</v>
      </c>
      <c r="L148" s="11">
        <v>2</v>
      </c>
      <c r="M148" s="11">
        <v>2</v>
      </c>
      <c r="N148" s="11">
        <v>2</v>
      </c>
      <c r="O148" s="11">
        <v>4</v>
      </c>
      <c r="P148" s="11">
        <v>4</v>
      </c>
      <c r="Q148" s="11">
        <v>2</v>
      </c>
      <c r="R148" s="11">
        <v>4</v>
      </c>
      <c r="S148" s="11">
        <v>1</v>
      </c>
      <c r="T148" s="11">
        <v>2</v>
      </c>
      <c r="U148" s="10">
        <v>2</v>
      </c>
      <c r="V148" s="6">
        <f t="shared" si="17"/>
        <v>34.301461253575148</v>
      </c>
      <c r="W148" s="6">
        <f t="shared" si="18"/>
        <v>15.949505526295178</v>
      </c>
      <c r="X148" s="6">
        <f t="shared" si="19"/>
        <v>17.870617471631867</v>
      </c>
      <c r="Y148" s="6">
        <f t="shared" si="20"/>
        <v>20.755960585501921</v>
      </c>
      <c r="Z148" s="6">
        <f t="shared" si="21"/>
        <v>18.494570066827066</v>
      </c>
      <c r="AA148" s="6">
        <f t="shared" si="22"/>
        <v>8.1190090979093785</v>
      </c>
      <c r="AB148" s="6">
        <f t="shared" si="23"/>
        <v>8.1190090979093785</v>
      </c>
      <c r="AC148" s="6">
        <f t="shared" si="24"/>
        <v>6</v>
      </c>
    </row>
    <row r="149" spans="1:29">
      <c r="A149" s="11">
        <v>148</v>
      </c>
      <c r="B149" s="12">
        <v>2</v>
      </c>
      <c r="C149" s="11">
        <v>2</v>
      </c>
      <c r="D149" s="11">
        <v>2</v>
      </c>
      <c r="E149" s="11">
        <v>3</v>
      </c>
      <c r="F149" s="11">
        <v>4</v>
      </c>
      <c r="G149" s="11">
        <v>4</v>
      </c>
      <c r="H149" s="11">
        <v>3</v>
      </c>
      <c r="I149" s="11">
        <v>2</v>
      </c>
      <c r="J149" s="11">
        <v>1</v>
      </c>
      <c r="K149" s="11">
        <v>4</v>
      </c>
      <c r="L149" s="11">
        <v>2</v>
      </c>
      <c r="M149" s="11">
        <v>2</v>
      </c>
      <c r="N149" s="11">
        <v>3</v>
      </c>
      <c r="O149" s="11">
        <v>4</v>
      </c>
      <c r="P149" s="11">
        <v>5</v>
      </c>
      <c r="Q149" s="11">
        <v>2</v>
      </c>
      <c r="R149" s="11">
        <v>3</v>
      </c>
      <c r="S149" s="11">
        <v>2</v>
      </c>
      <c r="T149" s="11">
        <v>3</v>
      </c>
      <c r="U149" s="10">
        <v>2</v>
      </c>
      <c r="V149" s="6">
        <f t="shared" si="17"/>
        <v>30.301566258886098</v>
      </c>
      <c r="W149" s="6">
        <f t="shared" si="18"/>
        <v>20.257200583603296</v>
      </c>
      <c r="X149" s="6">
        <f t="shared" si="19"/>
        <v>16.287316342788628</v>
      </c>
      <c r="Y149" s="6">
        <f t="shared" si="20"/>
        <v>19.689325225630036</v>
      </c>
      <c r="Z149" s="6">
        <f t="shared" si="21"/>
        <v>12.008984199745656</v>
      </c>
      <c r="AA149" s="6">
        <f t="shared" si="22"/>
        <v>7.4301596026480086</v>
      </c>
      <c r="AB149" s="6">
        <f t="shared" si="23"/>
        <v>7.4301596026480086</v>
      </c>
      <c r="AC149" s="6">
        <f t="shared" si="24"/>
        <v>6</v>
      </c>
    </row>
    <row r="150" spans="1:29">
      <c r="A150" s="11">
        <v>149</v>
      </c>
      <c r="B150" s="12">
        <v>4</v>
      </c>
      <c r="C150" s="11">
        <v>3</v>
      </c>
      <c r="D150" s="11">
        <v>1</v>
      </c>
      <c r="E150" s="11">
        <v>2</v>
      </c>
      <c r="F150" s="11">
        <v>4</v>
      </c>
      <c r="G150" s="11">
        <v>3</v>
      </c>
      <c r="H150" s="11">
        <v>3</v>
      </c>
      <c r="I150" s="11">
        <v>4</v>
      </c>
      <c r="J150" s="11">
        <v>1</v>
      </c>
      <c r="K150" s="11">
        <v>4</v>
      </c>
      <c r="L150" s="11">
        <v>3</v>
      </c>
      <c r="M150" s="11">
        <v>2</v>
      </c>
      <c r="N150" s="11">
        <v>3</v>
      </c>
      <c r="O150" s="11">
        <v>4</v>
      </c>
      <c r="P150" s="11">
        <v>4</v>
      </c>
      <c r="Q150" s="11">
        <v>3</v>
      </c>
      <c r="R150" s="11">
        <v>4</v>
      </c>
      <c r="S150" s="11">
        <v>3</v>
      </c>
      <c r="T150" s="11">
        <v>3</v>
      </c>
      <c r="U150" s="10">
        <v>1</v>
      </c>
      <c r="V150" s="6">
        <f t="shared" si="17"/>
        <v>33.301592743620297</v>
      </c>
      <c r="W150" s="6">
        <f t="shared" si="18"/>
        <v>30.134159914528688</v>
      </c>
      <c r="X150" s="6">
        <f t="shared" si="19"/>
        <v>18.662358967440866</v>
      </c>
      <c r="Y150" s="6">
        <f t="shared" si="20"/>
        <v>33.645300054150198</v>
      </c>
      <c r="Z150" s="6">
        <f t="shared" si="21"/>
        <v>25.351828681123731</v>
      </c>
      <c r="AA150" s="6">
        <f t="shared" si="22"/>
        <v>15.407896066579543</v>
      </c>
      <c r="AB150" s="6">
        <f t="shared" si="23"/>
        <v>15.407896066579543</v>
      </c>
      <c r="AC150" s="6">
        <f t="shared" si="24"/>
        <v>6</v>
      </c>
    </row>
    <row r="151" spans="1:29">
      <c r="A151" s="11">
        <v>150</v>
      </c>
      <c r="B151" s="12">
        <v>3</v>
      </c>
      <c r="C151" s="11">
        <v>3</v>
      </c>
      <c r="D151" s="11">
        <v>2</v>
      </c>
      <c r="E151" s="11">
        <v>3</v>
      </c>
      <c r="F151" s="11">
        <v>4</v>
      </c>
      <c r="G151" s="11">
        <v>2</v>
      </c>
      <c r="H151" s="11">
        <v>3</v>
      </c>
      <c r="I151" s="11">
        <v>4</v>
      </c>
      <c r="J151" s="11">
        <v>3</v>
      </c>
      <c r="K151" s="11">
        <v>2</v>
      </c>
      <c r="L151" s="11">
        <v>3</v>
      </c>
      <c r="M151" s="11">
        <v>4</v>
      </c>
      <c r="N151" s="11">
        <v>4</v>
      </c>
      <c r="O151" s="11">
        <v>3</v>
      </c>
      <c r="P151" s="11">
        <v>5</v>
      </c>
      <c r="Q151" s="11">
        <v>3</v>
      </c>
      <c r="R151" s="11">
        <v>2</v>
      </c>
      <c r="S151" s="11">
        <v>4</v>
      </c>
      <c r="T151" s="11">
        <v>5</v>
      </c>
      <c r="U151" s="10">
        <v>5</v>
      </c>
      <c r="V151" s="6">
        <f t="shared" si="17"/>
        <v>21.483440822513433</v>
      </c>
      <c r="W151" s="6">
        <f t="shared" si="18"/>
        <v>28.995853775937363</v>
      </c>
      <c r="X151" s="6">
        <f t="shared" si="19"/>
        <v>16.745647104357342</v>
      </c>
      <c r="Y151" s="6">
        <f t="shared" si="20"/>
        <v>29.867390842460317</v>
      </c>
      <c r="Z151" s="6">
        <f t="shared" si="21"/>
        <v>32.666045509817636</v>
      </c>
      <c r="AA151" s="6">
        <f t="shared" si="22"/>
        <v>38.963484020554532</v>
      </c>
      <c r="AB151" s="6">
        <f t="shared" si="23"/>
        <v>16.745647104357342</v>
      </c>
      <c r="AC151" s="6">
        <f t="shared" si="24"/>
        <v>3</v>
      </c>
    </row>
    <row r="152" spans="1:29">
      <c r="A152" s="11">
        <v>151</v>
      </c>
      <c r="B152" s="12">
        <v>1</v>
      </c>
      <c r="C152" s="11">
        <v>2</v>
      </c>
      <c r="D152" s="11">
        <v>2</v>
      </c>
      <c r="E152" s="11">
        <v>2</v>
      </c>
      <c r="F152" s="11">
        <v>3</v>
      </c>
      <c r="G152" s="11">
        <v>2</v>
      </c>
      <c r="H152" s="11">
        <v>3</v>
      </c>
      <c r="I152" s="11">
        <v>4</v>
      </c>
      <c r="J152" s="11">
        <v>3</v>
      </c>
      <c r="K152" s="11">
        <v>4</v>
      </c>
      <c r="L152" s="11">
        <v>5</v>
      </c>
      <c r="M152" s="11">
        <v>4</v>
      </c>
      <c r="N152" s="11">
        <v>3</v>
      </c>
      <c r="O152" s="11">
        <v>2</v>
      </c>
      <c r="P152" s="11">
        <v>2</v>
      </c>
      <c r="Q152" s="11">
        <v>2</v>
      </c>
      <c r="R152" s="11">
        <v>2</v>
      </c>
      <c r="S152" s="11">
        <v>2</v>
      </c>
      <c r="T152" s="11">
        <v>3</v>
      </c>
      <c r="U152" s="10">
        <v>5</v>
      </c>
      <c r="V152" s="6">
        <f t="shared" si="17"/>
        <v>35.846919801154741</v>
      </c>
      <c r="W152" s="6">
        <f t="shared" si="18"/>
        <v>29.441915016541195</v>
      </c>
      <c r="X152" s="6">
        <f t="shared" si="19"/>
        <v>23.703936995165893</v>
      </c>
      <c r="Y152" s="6">
        <f t="shared" si="20"/>
        <v>30.867371330444978</v>
      </c>
      <c r="Z152" s="6">
        <f t="shared" si="21"/>
        <v>44.694558430335888</v>
      </c>
      <c r="AA152" s="6">
        <f t="shared" si="22"/>
        <v>45.607997326983948</v>
      </c>
      <c r="AB152" s="6">
        <f t="shared" si="23"/>
        <v>23.703936995165893</v>
      </c>
      <c r="AC152" s="6">
        <f t="shared" si="24"/>
        <v>3</v>
      </c>
    </row>
    <row r="153" spans="1:29">
      <c r="A153" s="11">
        <v>152</v>
      </c>
      <c r="B153" s="12">
        <v>2</v>
      </c>
      <c r="C153" s="11">
        <v>2</v>
      </c>
      <c r="D153" s="11">
        <v>2</v>
      </c>
      <c r="E153" s="11">
        <v>2</v>
      </c>
      <c r="F153" s="11">
        <v>3</v>
      </c>
      <c r="G153" s="11">
        <v>3</v>
      </c>
      <c r="H153" s="11">
        <v>3</v>
      </c>
      <c r="I153" s="11">
        <v>2</v>
      </c>
      <c r="J153" s="11">
        <v>2</v>
      </c>
      <c r="K153" s="11">
        <v>5</v>
      </c>
      <c r="L153" s="11">
        <v>1</v>
      </c>
      <c r="M153" s="11">
        <v>2</v>
      </c>
      <c r="N153" s="11">
        <v>2</v>
      </c>
      <c r="O153" s="11">
        <v>2</v>
      </c>
      <c r="P153" s="11">
        <v>3</v>
      </c>
      <c r="Q153" s="11">
        <v>2</v>
      </c>
      <c r="R153" s="11">
        <v>2</v>
      </c>
      <c r="S153" s="11">
        <v>2</v>
      </c>
      <c r="T153" s="11">
        <v>2</v>
      </c>
      <c r="U153" s="10">
        <v>2</v>
      </c>
      <c r="V153" s="6">
        <f t="shared" si="17"/>
        <v>38.483292433880628</v>
      </c>
      <c r="W153" s="6">
        <f t="shared" si="18"/>
        <v>16.795665042373919</v>
      </c>
      <c r="X153" s="6">
        <f t="shared" si="19"/>
        <v>18.82892128878234</v>
      </c>
      <c r="Y153" s="6">
        <f t="shared" si="20"/>
        <v>19.356050500628729</v>
      </c>
      <c r="Z153" s="6">
        <f t="shared" si="21"/>
        <v>19.494572102633196</v>
      </c>
      <c r="AA153" s="6">
        <f t="shared" si="22"/>
        <v>13.141321382100005</v>
      </c>
      <c r="AB153" s="6">
        <f t="shared" si="23"/>
        <v>13.141321382100005</v>
      </c>
      <c r="AC153" s="6">
        <f t="shared" si="24"/>
        <v>6</v>
      </c>
    </row>
    <row r="154" spans="1:29">
      <c r="A154" s="11">
        <v>153</v>
      </c>
      <c r="B154" s="12">
        <v>4</v>
      </c>
      <c r="C154" s="11">
        <v>1</v>
      </c>
      <c r="D154" s="11">
        <v>1</v>
      </c>
      <c r="E154" s="11">
        <v>5</v>
      </c>
      <c r="F154" s="11">
        <v>3</v>
      </c>
      <c r="G154" s="11">
        <v>4</v>
      </c>
      <c r="H154" s="11">
        <v>4</v>
      </c>
      <c r="I154" s="11">
        <v>5</v>
      </c>
      <c r="J154" s="11">
        <v>4</v>
      </c>
      <c r="K154" s="11">
        <v>4</v>
      </c>
      <c r="L154" s="11">
        <v>3</v>
      </c>
      <c r="M154" s="11">
        <v>3</v>
      </c>
      <c r="N154" s="11">
        <v>5</v>
      </c>
      <c r="O154" s="11">
        <v>3</v>
      </c>
      <c r="P154" s="11">
        <v>3</v>
      </c>
      <c r="Q154" s="11">
        <v>5</v>
      </c>
      <c r="R154" s="11">
        <v>5</v>
      </c>
      <c r="S154" s="11">
        <v>1</v>
      </c>
      <c r="T154" s="11">
        <v>3</v>
      </c>
      <c r="U154" s="10">
        <v>4</v>
      </c>
      <c r="V154" s="6">
        <f t="shared" si="17"/>
        <v>38.665082012245293</v>
      </c>
      <c r="W154" s="6">
        <f t="shared" si="18"/>
        <v>53.195825035347021</v>
      </c>
      <c r="X154" s="6">
        <f t="shared" si="19"/>
        <v>41.954039821045946</v>
      </c>
      <c r="Y154" s="6">
        <f t="shared" si="20"/>
        <v>62.067222510990142</v>
      </c>
      <c r="Z154" s="6">
        <f t="shared" si="21"/>
        <v>61.580203723294083</v>
      </c>
      <c r="AA154" s="6">
        <f t="shared" si="22"/>
        <v>52.49695872562166</v>
      </c>
      <c r="AB154" s="6">
        <f t="shared" si="23"/>
        <v>38.665082012245293</v>
      </c>
      <c r="AC154" s="6">
        <f t="shared" si="24"/>
        <v>1</v>
      </c>
    </row>
    <row r="155" spans="1:29">
      <c r="A155" s="11">
        <v>154</v>
      </c>
      <c r="B155" s="12">
        <v>2</v>
      </c>
      <c r="C155" s="11">
        <v>2</v>
      </c>
      <c r="D155" s="11">
        <v>3</v>
      </c>
      <c r="E155" s="11">
        <v>2</v>
      </c>
      <c r="F155" s="11">
        <v>3</v>
      </c>
      <c r="G155" s="11">
        <v>2</v>
      </c>
      <c r="H155" s="11">
        <v>3</v>
      </c>
      <c r="I155" s="11">
        <v>3</v>
      </c>
      <c r="J155" s="11">
        <v>4</v>
      </c>
      <c r="K155" s="11">
        <v>3</v>
      </c>
      <c r="L155" s="11">
        <v>2</v>
      </c>
      <c r="M155" s="11">
        <v>3</v>
      </c>
      <c r="N155" s="11">
        <v>3</v>
      </c>
      <c r="O155" s="11">
        <v>3</v>
      </c>
      <c r="P155" s="11">
        <v>4</v>
      </c>
      <c r="Q155" s="11">
        <v>2</v>
      </c>
      <c r="R155" s="11">
        <v>2</v>
      </c>
      <c r="S155" s="11">
        <v>2</v>
      </c>
      <c r="T155" s="11">
        <v>3</v>
      </c>
      <c r="U155" s="10">
        <v>4</v>
      </c>
      <c r="V155" s="6">
        <f t="shared" si="17"/>
        <v>20.756015530349831</v>
      </c>
      <c r="W155" s="6">
        <f t="shared" si="18"/>
        <v>11.703446272769966</v>
      </c>
      <c r="X155" s="6">
        <f t="shared" si="19"/>
        <v>8.1622796101443313</v>
      </c>
      <c r="Y155" s="6">
        <f t="shared" si="20"/>
        <v>11.689368805721058</v>
      </c>
      <c r="Z155" s="6">
        <f t="shared" si="21"/>
        <v>20.694557072983681</v>
      </c>
      <c r="AA155" s="6">
        <f t="shared" si="22"/>
        <v>18.785730421921539</v>
      </c>
      <c r="AB155" s="6">
        <f t="shared" si="23"/>
        <v>8.1622796101443313</v>
      </c>
      <c r="AC155" s="6">
        <f t="shared" si="24"/>
        <v>3</v>
      </c>
    </row>
    <row r="156" spans="1:29">
      <c r="A156" s="11">
        <v>155</v>
      </c>
      <c r="B156" s="12">
        <v>2</v>
      </c>
      <c r="C156" s="11">
        <v>2</v>
      </c>
      <c r="D156" s="11">
        <v>2</v>
      </c>
      <c r="E156" s="11">
        <v>5</v>
      </c>
      <c r="F156" s="11">
        <v>3</v>
      </c>
      <c r="G156" s="11">
        <v>5</v>
      </c>
      <c r="H156" s="11">
        <v>3</v>
      </c>
      <c r="I156" s="11">
        <v>3</v>
      </c>
      <c r="J156" s="11">
        <v>3</v>
      </c>
      <c r="K156" s="11">
        <v>2</v>
      </c>
      <c r="L156" s="11">
        <v>2</v>
      </c>
      <c r="M156" s="11">
        <v>2</v>
      </c>
      <c r="N156" s="11">
        <v>3</v>
      </c>
      <c r="O156" s="11">
        <v>5</v>
      </c>
      <c r="P156" s="11">
        <v>4</v>
      </c>
      <c r="Q156" s="11">
        <v>1</v>
      </c>
      <c r="R156" s="11">
        <v>2</v>
      </c>
      <c r="S156" s="11">
        <v>3</v>
      </c>
      <c r="T156" s="11">
        <v>3</v>
      </c>
      <c r="U156" s="10">
        <v>3</v>
      </c>
      <c r="V156" s="6">
        <f t="shared" si="17"/>
        <v>27.756042739301659</v>
      </c>
      <c r="W156" s="6">
        <f t="shared" si="18"/>
        <v>25.318775638159558</v>
      </c>
      <c r="X156" s="6">
        <f t="shared" si="19"/>
        <v>22.245625962525107</v>
      </c>
      <c r="Y156" s="6">
        <f t="shared" si="20"/>
        <v>25.489213836819985</v>
      </c>
      <c r="Z156" s="6">
        <f t="shared" si="21"/>
        <v>14.837531263159885</v>
      </c>
      <c r="AA156" s="6">
        <f t="shared" si="22"/>
        <v>20.785742969279003</v>
      </c>
      <c r="AB156" s="6">
        <f t="shared" si="23"/>
        <v>14.837531263159885</v>
      </c>
      <c r="AC156" s="6">
        <f t="shared" si="24"/>
        <v>5</v>
      </c>
    </row>
    <row r="157" spans="1:29">
      <c r="A157" s="11">
        <v>156</v>
      </c>
      <c r="B157" s="12">
        <v>2</v>
      </c>
      <c r="C157" s="11">
        <v>1</v>
      </c>
      <c r="D157" s="11">
        <v>1</v>
      </c>
      <c r="E157" s="11">
        <v>5</v>
      </c>
      <c r="F157" s="11">
        <v>3</v>
      </c>
      <c r="G157" s="11">
        <v>2</v>
      </c>
      <c r="H157" s="11">
        <v>3</v>
      </c>
      <c r="I157" s="11">
        <v>5</v>
      </c>
      <c r="J157" s="11">
        <v>3</v>
      </c>
      <c r="K157" s="11">
        <v>2</v>
      </c>
      <c r="L157" s="11">
        <v>2</v>
      </c>
      <c r="M157" s="11">
        <v>1</v>
      </c>
      <c r="N157" s="11">
        <v>5</v>
      </c>
      <c r="O157" s="11">
        <v>4</v>
      </c>
      <c r="P157" s="11">
        <v>5</v>
      </c>
      <c r="Q157" s="11">
        <v>1</v>
      </c>
      <c r="R157" s="11">
        <v>4</v>
      </c>
      <c r="S157" s="11">
        <v>5</v>
      </c>
      <c r="T157" s="11">
        <v>5</v>
      </c>
      <c r="U157" s="10">
        <v>3</v>
      </c>
      <c r="V157" s="6">
        <f t="shared" si="17"/>
        <v>48.483300286131275</v>
      </c>
      <c r="W157" s="6">
        <f t="shared" si="18"/>
        <v>56.39572721076582</v>
      </c>
      <c r="X157" s="6">
        <f t="shared" si="19"/>
        <v>33.28738195389483</v>
      </c>
      <c r="Y157" s="6">
        <f t="shared" si="20"/>
        <v>44.51138275831245</v>
      </c>
      <c r="Z157" s="6">
        <f t="shared" si="21"/>
        <v>48.151815251103955</v>
      </c>
      <c r="AA157" s="6">
        <f t="shared" si="22"/>
        <v>48.074573969550848</v>
      </c>
      <c r="AB157" s="6">
        <f t="shared" si="23"/>
        <v>33.28738195389483</v>
      </c>
      <c r="AC157" s="6">
        <f t="shared" si="24"/>
        <v>3</v>
      </c>
    </row>
    <row r="158" spans="1:29">
      <c r="A158" s="11">
        <v>157</v>
      </c>
      <c r="B158" s="12">
        <v>2</v>
      </c>
      <c r="C158" s="11">
        <v>2</v>
      </c>
      <c r="D158" s="11">
        <v>1</v>
      </c>
      <c r="E158" s="11">
        <v>2</v>
      </c>
      <c r="F158" s="11">
        <v>4</v>
      </c>
      <c r="G158" s="11">
        <v>3</v>
      </c>
      <c r="H158" s="11">
        <v>3</v>
      </c>
      <c r="I158" s="11">
        <v>1</v>
      </c>
      <c r="J158" s="11">
        <v>1</v>
      </c>
      <c r="K158" s="11">
        <v>3</v>
      </c>
      <c r="L158" s="11">
        <v>1</v>
      </c>
      <c r="M158" s="11">
        <v>2</v>
      </c>
      <c r="N158" s="11">
        <v>3</v>
      </c>
      <c r="O158" s="11">
        <v>1</v>
      </c>
      <c r="P158" s="11">
        <v>5</v>
      </c>
      <c r="Q158" s="11">
        <v>1</v>
      </c>
      <c r="R158" s="11">
        <v>3</v>
      </c>
      <c r="S158" s="11">
        <v>2</v>
      </c>
      <c r="T158" s="11">
        <v>3</v>
      </c>
      <c r="U158" s="10">
        <v>2</v>
      </c>
      <c r="V158" s="6">
        <f t="shared" si="17"/>
        <v>49.301532057366643</v>
      </c>
      <c r="W158" s="6">
        <f t="shared" si="18"/>
        <v>25.210999785987113</v>
      </c>
      <c r="X158" s="6">
        <f t="shared" si="19"/>
        <v>27.495588053070108</v>
      </c>
      <c r="Y158" s="6">
        <f t="shared" si="20"/>
        <v>20.444918825789426</v>
      </c>
      <c r="Z158" s="6">
        <f t="shared" si="21"/>
        <v>28.837425652418986</v>
      </c>
      <c r="AA158" s="6">
        <f t="shared" si="22"/>
        <v>16.674621324292925</v>
      </c>
      <c r="AB158" s="6">
        <f t="shared" si="23"/>
        <v>16.674621324292925</v>
      </c>
      <c r="AC158" s="6">
        <f t="shared" si="24"/>
        <v>6</v>
      </c>
    </row>
    <row r="159" spans="1:29">
      <c r="A159" s="11">
        <v>158</v>
      </c>
      <c r="B159" s="12">
        <v>2</v>
      </c>
      <c r="C159" s="11">
        <v>4</v>
      </c>
      <c r="D159" s="11">
        <v>4</v>
      </c>
      <c r="E159" s="11">
        <v>5</v>
      </c>
      <c r="F159" s="11">
        <v>4</v>
      </c>
      <c r="G159" s="11">
        <v>5</v>
      </c>
      <c r="H159" s="11">
        <v>3</v>
      </c>
      <c r="I159" s="11">
        <v>1</v>
      </c>
      <c r="J159" s="11">
        <v>1</v>
      </c>
      <c r="K159" s="11">
        <v>5</v>
      </c>
      <c r="L159" s="11">
        <v>1</v>
      </c>
      <c r="M159" s="11">
        <v>1</v>
      </c>
      <c r="N159" s="11">
        <v>1</v>
      </c>
      <c r="O159" s="11">
        <v>4</v>
      </c>
      <c r="P159" s="11">
        <v>4</v>
      </c>
      <c r="Q159" s="11">
        <v>1</v>
      </c>
      <c r="R159" s="11">
        <v>2</v>
      </c>
      <c r="S159" s="11">
        <v>3</v>
      </c>
      <c r="T159" s="11">
        <v>4</v>
      </c>
      <c r="U159" s="10">
        <v>3</v>
      </c>
      <c r="V159" s="6">
        <f t="shared" si="17"/>
        <v>41.937994698495153</v>
      </c>
      <c r="W159" s="6">
        <f t="shared" si="18"/>
        <v>42.211142269992173</v>
      </c>
      <c r="X159" s="6">
        <f t="shared" si="19"/>
        <v>40.745610002097983</v>
      </c>
      <c r="Y159" s="6">
        <f t="shared" si="20"/>
        <v>51.489298137521956</v>
      </c>
      <c r="Z159" s="6">
        <f t="shared" si="21"/>
        <v>24.066085849526203</v>
      </c>
      <c r="AA159" s="6">
        <f t="shared" si="22"/>
        <v>38.763573462140435</v>
      </c>
      <c r="AB159" s="6">
        <f t="shared" si="23"/>
        <v>24.066085849526203</v>
      </c>
      <c r="AC159" s="6">
        <f t="shared" si="24"/>
        <v>5</v>
      </c>
    </row>
    <row r="160" spans="1:29">
      <c r="A160" s="11">
        <v>159</v>
      </c>
      <c r="B160" s="12">
        <v>4</v>
      </c>
      <c r="C160" s="11">
        <v>2</v>
      </c>
      <c r="D160" s="11">
        <v>2</v>
      </c>
      <c r="E160" s="11">
        <v>2</v>
      </c>
      <c r="F160" s="11">
        <v>4</v>
      </c>
      <c r="G160" s="11">
        <v>2</v>
      </c>
      <c r="H160" s="11">
        <v>3</v>
      </c>
      <c r="I160" s="11">
        <v>3</v>
      </c>
      <c r="J160" s="11">
        <v>2</v>
      </c>
      <c r="K160" s="11">
        <v>3</v>
      </c>
      <c r="L160" s="11">
        <v>2</v>
      </c>
      <c r="M160" s="11">
        <v>2</v>
      </c>
      <c r="N160" s="11">
        <v>2</v>
      </c>
      <c r="O160" s="11">
        <v>4</v>
      </c>
      <c r="P160" s="11">
        <v>4</v>
      </c>
      <c r="Q160" s="11">
        <v>2</v>
      </c>
      <c r="R160" s="11">
        <v>4</v>
      </c>
      <c r="S160" s="11">
        <v>2</v>
      </c>
      <c r="T160" s="11">
        <v>3</v>
      </c>
      <c r="U160" s="10">
        <v>2</v>
      </c>
      <c r="V160" s="6">
        <f t="shared" si="17"/>
        <v>28.846953944166295</v>
      </c>
      <c r="W160" s="6">
        <f t="shared" si="18"/>
        <v>16.611074360984968</v>
      </c>
      <c r="X160" s="6">
        <f t="shared" si="19"/>
        <v>12.537304233757668</v>
      </c>
      <c r="Y160" s="6">
        <f t="shared" si="20"/>
        <v>18.822805395600319</v>
      </c>
      <c r="Z160" s="6">
        <f t="shared" si="21"/>
        <v>17.92316967747362</v>
      </c>
      <c r="AA160" s="6">
        <f t="shared" si="22"/>
        <v>8.4745497568568187</v>
      </c>
      <c r="AB160" s="6">
        <f t="shared" si="23"/>
        <v>8.4745497568568187</v>
      </c>
      <c r="AC160" s="6">
        <f t="shared" si="24"/>
        <v>6</v>
      </c>
    </row>
    <row r="161" spans="1:29">
      <c r="A161" s="11">
        <v>160</v>
      </c>
      <c r="B161" s="12">
        <v>2</v>
      </c>
      <c r="C161" s="11">
        <v>1</v>
      </c>
      <c r="D161" s="11">
        <v>1</v>
      </c>
      <c r="E161" s="11">
        <v>3</v>
      </c>
      <c r="F161" s="11">
        <v>2</v>
      </c>
      <c r="G161" s="11">
        <v>1</v>
      </c>
      <c r="H161" s="11">
        <v>3</v>
      </c>
      <c r="I161" s="11">
        <v>3</v>
      </c>
      <c r="J161" s="11">
        <v>2</v>
      </c>
      <c r="K161" s="11">
        <v>4</v>
      </c>
      <c r="L161" s="11">
        <v>1</v>
      </c>
      <c r="M161" s="11">
        <v>2</v>
      </c>
      <c r="N161" s="11">
        <v>1</v>
      </c>
      <c r="O161" s="11">
        <v>5</v>
      </c>
      <c r="P161" s="11">
        <v>5</v>
      </c>
      <c r="Q161" s="11">
        <v>3</v>
      </c>
      <c r="R161" s="11">
        <v>1</v>
      </c>
      <c r="S161" s="11">
        <v>2</v>
      </c>
      <c r="T161" s="11">
        <v>3</v>
      </c>
      <c r="U161" s="10">
        <v>4</v>
      </c>
      <c r="V161" s="6">
        <f t="shared" si="17"/>
        <v>60.119587415354303</v>
      </c>
      <c r="W161" s="6">
        <f t="shared" si="18"/>
        <v>30.072618543104802</v>
      </c>
      <c r="X161" s="6">
        <f t="shared" si="19"/>
        <v>27.037259761509119</v>
      </c>
      <c r="Y161" s="6">
        <f t="shared" si="20"/>
        <v>25.733722252077001</v>
      </c>
      <c r="Z161" s="6">
        <f t="shared" si="21"/>
        <v>22.351933433281697</v>
      </c>
      <c r="AA161" s="6">
        <f t="shared" si="22"/>
        <v>24.385582420981063</v>
      </c>
      <c r="AB161" s="6">
        <f t="shared" si="23"/>
        <v>22.351933433281697</v>
      </c>
      <c r="AC161" s="6">
        <f t="shared" si="24"/>
        <v>5</v>
      </c>
    </row>
    <row r="162" spans="1:29">
      <c r="A162" s="11">
        <v>161</v>
      </c>
      <c r="B162" s="12">
        <v>3</v>
      </c>
      <c r="C162" s="11">
        <v>2</v>
      </c>
      <c r="D162" s="11">
        <v>2</v>
      </c>
      <c r="E162" s="11">
        <v>2</v>
      </c>
      <c r="F162" s="11">
        <v>3</v>
      </c>
      <c r="G162" s="11">
        <v>2</v>
      </c>
      <c r="H162" s="11">
        <v>3</v>
      </c>
      <c r="I162" s="11">
        <v>2</v>
      </c>
      <c r="J162" s="11">
        <v>1</v>
      </c>
      <c r="K162" s="11">
        <v>3</v>
      </c>
      <c r="L162" s="11">
        <v>2</v>
      </c>
      <c r="M162" s="11">
        <v>3</v>
      </c>
      <c r="N162" s="11">
        <v>2</v>
      </c>
      <c r="O162" s="11">
        <v>1</v>
      </c>
      <c r="P162" s="11">
        <v>2</v>
      </c>
      <c r="Q162" s="11">
        <v>3</v>
      </c>
      <c r="R162" s="11">
        <v>2</v>
      </c>
      <c r="S162" s="11">
        <v>3</v>
      </c>
      <c r="T162" s="11">
        <v>3</v>
      </c>
      <c r="U162" s="10">
        <v>2</v>
      </c>
      <c r="V162" s="6">
        <f t="shared" si="17"/>
        <v>36.119705660845916</v>
      </c>
      <c r="W162" s="6">
        <f t="shared" si="18"/>
        <v>12.211079757828568</v>
      </c>
      <c r="X162" s="6">
        <f t="shared" si="19"/>
        <v>19.078893983135</v>
      </c>
      <c r="Y162" s="6">
        <f t="shared" si="20"/>
        <v>17.667219742603866</v>
      </c>
      <c r="Z162" s="6">
        <f t="shared" si="21"/>
        <v>24.951654515672775</v>
      </c>
      <c r="AA162" s="6">
        <f t="shared" si="22"/>
        <v>17.896871013811584</v>
      </c>
      <c r="AB162" s="6">
        <f t="shared" si="23"/>
        <v>12.211079757828568</v>
      </c>
      <c r="AC162" s="6">
        <f t="shared" si="24"/>
        <v>2</v>
      </c>
    </row>
    <row r="163" spans="1:29">
      <c r="A163" s="11">
        <v>162</v>
      </c>
      <c r="B163" s="12">
        <v>3</v>
      </c>
      <c r="C163" s="11">
        <v>4</v>
      </c>
      <c r="D163" s="11">
        <v>2</v>
      </c>
      <c r="E163" s="11">
        <v>4</v>
      </c>
      <c r="F163" s="11">
        <v>3</v>
      </c>
      <c r="G163" s="11">
        <v>2</v>
      </c>
      <c r="H163" s="11">
        <v>2</v>
      </c>
      <c r="I163" s="11">
        <v>4</v>
      </c>
      <c r="J163" s="11">
        <v>2</v>
      </c>
      <c r="K163" s="11">
        <v>4</v>
      </c>
      <c r="L163" s="11">
        <v>1</v>
      </c>
      <c r="M163" s="11">
        <v>2</v>
      </c>
      <c r="N163" s="11">
        <v>3</v>
      </c>
      <c r="O163" s="11">
        <v>4</v>
      </c>
      <c r="P163" s="11">
        <v>5</v>
      </c>
      <c r="Q163" s="11">
        <v>3</v>
      </c>
      <c r="R163" s="11">
        <v>2</v>
      </c>
      <c r="S163" s="11">
        <v>2</v>
      </c>
      <c r="T163" s="11">
        <v>3</v>
      </c>
      <c r="U163" s="10">
        <v>4</v>
      </c>
      <c r="V163" s="6">
        <f t="shared" si="17"/>
        <v>30.66509981278822</v>
      </c>
      <c r="W163" s="6">
        <f t="shared" si="18"/>
        <v>21.857298112211925</v>
      </c>
      <c r="X163" s="6">
        <f t="shared" si="19"/>
        <v>15.74564800618329</v>
      </c>
      <c r="Y163" s="6">
        <f t="shared" si="20"/>
        <v>29.378514626272789</v>
      </c>
      <c r="Z163" s="6">
        <f t="shared" si="21"/>
        <v>17.351783177234793</v>
      </c>
      <c r="AA163" s="6">
        <f t="shared" si="22"/>
        <v>20.496799195666085</v>
      </c>
      <c r="AB163" s="6">
        <f t="shared" si="23"/>
        <v>15.74564800618329</v>
      </c>
      <c r="AC163" s="6">
        <f t="shared" si="24"/>
        <v>3</v>
      </c>
    </row>
    <row r="164" spans="1:29">
      <c r="A164" s="11">
        <v>163</v>
      </c>
      <c r="B164" s="12">
        <v>3</v>
      </c>
      <c r="C164" s="11">
        <v>2</v>
      </c>
      <c r="D164" s="11">
        <v>2</v>
      </c>
      <c r="E164" s="11">
        <v>4</v>
      </c>
      <c r="F164" s="11">
        <v>2</v>
      </c>
      <c r="G164" s="11">
        <v>2</v>
      </c>
      <c r="H164" s="11">
        <v>3</v>
      </c>
      <c r="I164" s="11">
        <v>2</v>
      </c>
      <c r="J164" s="11">
        <v>2</v>
      </c>
      <c r="K164" s="11">
        <v>4</v>
      </c>
      <c r="L164" s="11">
        <v>1</v>
      </c>
      <c r="M164" s="11">
        <v>1</v>
      </c>
      <c r="N164" s="11">
        <v>2</v>
      </c>
      <c r="O164" s="11">
        <v>2</v>
      </c>
      <c r="P164" s="11">
        <v>2</v>
      </c>
      <c r="Q164" s="11">
        <v>2</v>
      </c>
      <c r="R164" s="11">
        <v>1</v>
      </c>
      <c r="S164" s="11">
        <v>2</v>
      </c>
      <c r="T164" s="11">
        <v>2</v>
      </c>
      <c r="U164" s="10">
        <v>4</v>
      </c>
      <c r="V164" s="6">
        <f t="shared" si="17"/>
        <v>42.846841676564544</v>
      </c>
      <c r="W164" s="6">
        <f t="shared" si="18"/>
        <v>15.30339557967242</v>
      </c>
      <c r="X164" s="6">
        <f t="shared" si="19"/>
        <v>25.245518036955296</v>
      </c>
      <c r="Y164" s="6">
        <f t="shared" si="20"/>
        <v>23.822697582960878</v>
      </c>
      <c r="Z164" s="6">
        <f t="shared" si="21"/>
        <v>19.494508494535292</v>
      </c>
      <c r="AA164" s="6">
        <f t="shared" si="22"/>
        <v>22.830227080567958</v>
      </c>
      <c r="AB164" s="6">
        <f t="shared" si="23"/>
        <v>15.30339557967242</v>
      </c>
      <c r="AC164" s="6">
        <f t="shared" si="24"/>
        <v>2</v>
      </c>
    </row>
    <row r="165" spans="1:29">
      <c r="A165" s="11">
        <v>164</v>
      </c>
      <c r="B165" s="12">
        <v>5</v>
      </c>
      <c r="C165" s="11">
        <v>5</v>
      </c>
      <c r="D165" s="11">
        <v>2</v>
      </c>
      <c r="E165" s="11">
        <v>2</v>
      </c>
      <c r="F165" s="11">
        <v>2</v>
      </c>
      <c r="G165" s="11">
        <v>5</v>
      </c>
      <c r="H165" s="11">
        <v>5</v>
      </c>
      <c r="I165" s="11">
        <v>2</v>
      </c>
      <c r="J165" s="11">
        <v>2</v>
      </c>
      <c r="K165" s="11">
        <v>2</v>
      </c>
      <c r="L165" s="11">
        <v>2</v>
      </c>
      <c r="M165" s="11">
        <v>2</v>
      </c>
      <c r="N165" s="11">
        <v>2</v>
      </c>
      <c r="O165" s="11">
        <v>5</v>
      </c>
      <c r="P165" s="11">
        <v>2</v>
      </c>
      <c r="Q165" s="11">
        <v>5</v>
      </c>
      <c r="R165" s="11">
        <v>5</v>
      </c>
      <c r="S165" s="11">
        <v>2</v>
      </c>
      <c r="T165" s="11">
        <v>5</v>
      </c>
      <c r="U165" s="10">
        <v>2</v>
      </c>
      <c r="V165" s="6">
        <f t="shared" si="17"/>
        <v>52.119859447587423</v>
      </c>
      <c r="W165" s="6">
        <f t="shared" si="18"/>
        <v>53.072738164192231</v>
      </c>
      <c r="X165" s="6">
        <f t="shared" si="19"/>
        <v>52.370683904624386</v>
      </c>
      <c r="Y165" s="6">
        <f t="shared" si="20"/>
        <v>59.66771443617931</v>
      </c>
      <c r="Z165" s="6">
        <f t="shared" si="21"/>
        <v>53.151878972167665</v>
      </c>
      <c r="AA165" s="6">
        <f t="shared" si="22"/>
        <v>46.407925917790116</v>
      </c>
      <c r="AB165" s="6">
        <f t="shared" si="23"/>
        <v>46.407925917790116</v>
      </c>
      <c r="AC165" s="6">
        <f t="shared" si="24"/>
        <v>6</v>
      </c>
    </row>
    <row r="166" spans="1:29">
      <c r="A166" s="11">
        <v>165</v>
      </c>
      <c r="B166" s="12">
        <v>3</v>
      </c>
      <c r="C166" s="11">
        <v>4</v>
      </c>
      <c r="D166" s="11">
        <v>2</v>
      </c>
      <c r="E166" s="11">
        <v>2</v>
      </c>
      <c r="F166" s="11">
        <v>3</v>
      </c>
      <c r="G166" s="11">
        <v>3</v>
      </c>
      <c r="H166" s="11">
        <v>4</v>
      </c>
      <c r="I166" s="11">
        <v>2</v>
      </c>
      <c r="J166" s="11">
        <v>2</v>
      </c>
      <c r="K166" s="11">
        <v>4</v>
      </c>
      <c r="L166" s="11">
        <v>1</v>
      </c>
      <c r="M166" s="11">
        <v>2</v>
      </c>
      <c r="N166" s="11">
        <v>3</v>
      </c>
      <c r="O166" s="11">
        <v>2</v>
      </c>
      <c r="P166" s="11">
        <v>5</v>
      </c>
      <c r="Q166" s="11">
        <v>4</v>
      </c>
      <c r="R166" s="11">
        <v>5</v>
      </c>
      <c r="S166" s="11">
        <v>3</v>
      </c>
      <c r="T166" s="11">
        <v>4</v>
      </c>
      <c r="U166" s="10">
        <v>3</v>
      </c>
      <c r="V166" s="6">
        <f t="shared" si="17"/>
        <v>29.028919265842905</v>
      </c>
      <c r="W166" s="6">
        <f t="shared" si="18"/>
        <v>27.734279314590832</v>
      </c>
      <c r="X166" s="6">
        <f t="shared" si="19"/>
        <v>18.995715068230073</v>
      </c>
      <c r="Y166" s="6">
        <f t="shared" si="20"/>
        <v>29.734147297422137</v>
      </c>
      <c r="Z166" s="6">
        <f t="shared" si="21"/>
        <v>30.608915549964518</v>
      </c>
      <c r="AA166" s="6">
        <f t="shared" si="22"/>
        <v>24.496864141106965</v>
      </c>
      <c r="AB166" s="6">
        <f t="shared" si="23"/>
        <v>18.995715068230073</v>
      </c>
      <c r="AC166" s="6">
        <f t="shared" si="24"/>
        <v>3</v>
      </c>
    </row>
    <row r="167" spans="1:29">
      <c r="A167" s="11">
        <v>166</v>
      </c>
      <c r="B167" s="12">
        <v>2</v>
      </c>
      <c r="C167" s="11">
        <v>2</v>
      </c>
      <c r="D167" s="11">
        <v>3</v>
      </c>
      <c r="E167" s="11">
        <v>3</v>
      </c>
      <c r="F167" s="11">
        <v>2</v>
      </c>
      <c r="G167" s="11">
        <v>2</v>
      </c>
      <c r="H167" s="11">
        <v>4</v>
      </c>
      <c r="I167" s="11">
        <v>3</v>
      </c>
      <c r="J167" s="11">
        <v>3</v>
      </c>
      <c r="K167" s="11">
        <v>3</v>
      </c>
      <c r="L167" s="11">
        <v>3</v>
      </c>
      <c r="M167" s="11">
        <v>2</v>
      </c>
      <c r="N167" s="11">
        <v>4</v>
      </c>
      <c r="O167" s="11">
        <v>2</v>
      </c>
      <c r="P167" s="11">
        <v>4</v>
      </c>
      <c r="Q167" s="11">
        <v>3</v>
      </c>
      <c r="R167" s="11">
        <v>2</v>
      </c>
      <c r="S167" s="11">
        <v>5</v>
      </c>
      <c r="T167" s="11">
        <v>5</v>
      </c>
      <c r="U167" s="10">
        <v>5</v>
      </c>
      <c r="V167" s="6">
        <f t="shared" si="17"/>
        <v>24.392515933793689</v>
      </c>
      <c r="W167" s="6">
        <f t="shared" si="18"/>
        <v>27.934321330651827</v>
      </c>
      <c r="X167" s="6">
        <f t="shared" si="19"/>
        <v>16.495652476711602</v>
      </c>
      <c r="Y167" s="6">
        <f t="shared" si="20"/>
        <v>24.956059440632206</v>
      </c>
      <c r="Z167" s="6">
        <f t="shared" si="21"/>
        <v>32.037483956579941</v>
      </c>
      <c r="AA167" s="6">
        <f t="shared" si="22"/>
        <v>40.919118284818119</v>
      </c>
      <c r="AB167" s="6">
        <f t="shared" si="23"/>
        <v>16.495652476711602</v>
      </c>
      <c r="AC167" s="6">
        <f t="shared" si="24"/>
        <v>3</v>
      </c>
    </row>
    <row r="168" spans="1:29">
      <c r="A168" s="11">
        <v>167</v>
      </c>
      <c r="B168" s="12">
        <v>2</v>
      </c>
      <c r="C168" s="11">
        <v>3</v>
      </c>
      <c r="D168" s="11">
        <v>3</v>
      </c>
      <c r="E168" s="11">
        <v>2</v>
      </c>
      <c r="F168" s="11">
        <v>4</v>
      </c>
      <c r="G168" s="11">
        <v>3</v>
      </c>
      <c r="H168" s="11">
        <v>3</v>
      </c>
      <c r="I168" s="11">
        <v>1</v>
      </c>
      <c r="J168" s="11">
        <v>1</v>
      </c>
      <c r="K168" s="11">
        <v>3</v>
      </c>
      <c r="L168" s="11">
        <v>3</v>
      </c>
      <c r="M168" s="11">
        <v>2</v>
      </c>
      <c r="N168" s="11">
        <v>4</v>
      </c>
      <c r="O168" s="11">
        <v>3</v>
      </c>
      <c r="P168" s="11">
        <v>2</v>
      </c>
      <c r="Q168" s="11">
        <v>4</v>
      </c>
      <c r="R168" s="11">
        <v>3</v>
      </c>
      <c r="S168" s="11">
        <v>4</v>
      </c>
      <c r="T168" s="11">
        <v>2</v>
      </c>
      <c r="U168" s="10">
        <v>5</v>
      </c>
      <c r="V168" s="6">
        <f t="shared" si="17"/>
        <v>28.483454976304206</v>
      </c>
      <c r="W168" s="6">
        <f t="shared" si="18"/>
        <v>15.549675757017031</v>
      </c>
      <c r="X168" s="6">
        <f t="shared" si="19"/>
        <v>24.37062777110685</v>
      </c>
      <c r="Y168" s="6">
        <f t="shared" si="20"/>
        <v>27.0674431180447</v>
      </c>
      <c r="Z168" s="6">
        <f t="shared" si="21"/>
        <v>21.808900878383024</v>
      </c>
      <c r="AA168" s="6">
        <f t="shared" si="22"/>
        <v>34.296928411891471</v>
      </c>
      <c r="AB168" s="6">
        <f t="shared" si="23"/>
        <v>15.549675757017031</v>
      </c>
      <c r="AC168" s="6">
        <f t="shared" si="24"/>
        <v>2</v>
      </c>
    </row>
    <row r="169" spans="1:29">
      <c r="A169" s="11">
        <v>168</v>
      </c>
      <c r="B169" s="12">
        <v>4</v>
      </c>
      <c r="C169" s="11">
        <v>1</v>
      </c>
      <c r="D169" s="11">
        <v>1</v>
      </c>
      <c r="E169" s="11">
        <v>2</v>
      </c>
      <c r="F169" s="11">
        <v>2</v>
      </c>
      <c r="G169" s="11">
        <v>1</v>
      </c>
      <c r="H169" s="11">
        <v>3</v>
      </c>
      <c r="I169" s="11">
        <v>2</v>
      </c>
      <c r="J169" s="11">
        <v>2</v>
      </c>
      <c r="K169" s="11">
        <v>2</v>
      </c>
      <c r="L169" s="11">
        <v>2</v>
      </c>
      <c r="M169" s="11">
        <v>4</v>
      </c>
      <c r="N169" s="11">
        <v>2</v>
      </c>
      <c r="O169" s="11">
        <v>4</v>
      </c>
      <c r="P169" s="11">
        <v>3</v>
      </c>
      <c r="Q169" s="11">
        <v>2</v>
      </c>
      <c r="R169" s="11">
        <v>1</v>
      </c>
      <c r="S169" s="11">
        <v>4</v>
      </c>
      <c r="T169" s="11">
        <v>5</v>
      </c>
      <c r="U169" s="10">
        <v>2</v>
      </c>
      <c r="V169" s="6">
        <f t="shared" si="17"/>
        <v>53.483399042025596</v>
      </c>
      <c r="W169" s="6">
        <f t="shared" si="18"/>
        <v>30.257219261675605</v>
      </c>
      <c r="X169" s="6">
        <f t="shared" si="19"/>
        <v>29.162213274759541</v>
      </c>
      <c r="Y169" s="6">
        <f t="shared" si="20"/>
        <v>20.711599148047153</v>
      </c>
      <c r="Z169" s="6">
        <f t="shared" si="21"/>
        <v>32.780401779782096</v>
      </c>
      <c r="AA169" s="6">
        <f t="shared" si="22"/>
        <v>25.474451707018087</v>
      </c>
      <c r="AB169" s="6">
        <f t="shared" si="23"/>
        <v>20.711599148047153</v>
      </c>
      <c r="AC169" s="6">
        <f t="shared" si="24"/>
        <v>4</v>
      </c>
    </row>
    <row r="170" spans="1:29">
      <c r="A170" s="11">
        <v>169</v>
      </c>
      <c r="B170" s="12">
        <v>4</v>
      </c>
      <c r="C170" s="11">
        <v>2</v>
      </c>
      <c r="D170" s="11">
        <v>3</v>
      </c>
      <c r="E170" s="11">
        <v>2</v>
      </c>
      <c r="F170" s="11">
        <v>4</v>
      </c>
      <c r="G170" s="11">
        <v>2</v>
      </c>
      <c r="H170" s="11">
        <v>3</v>
      </c>
      <c r="I170" s="11">
        <v>2</v>
      </c>
      <c r="J170" s="11">
        <v>1</v>
      </c>
      <c r="K170" s="11">
        <v>1</v>
      </c>
      <c r="L170" s="11">
        <v>1</v>
      </c>
      <c r="M170" s="11">
        <v>2</v>
      </c>
      <c r="N170" s="11">
        <v>4</v>
      </c>
      <c r="O170" s="11">
        <v>2</v>
      </c>
      <c r="P170" s="11">
        <v>2</v>
      </c>
      <c r="Q170" s="11">
        <v>2</v>
      </c>
      <c r="R170" s="11">
        <v>2</v>
      </c>
      <c r="S170" s="11">
        <v>2</v>
      </c>
      <c r="T170" s="11">
        <v>2</v>
      </c>
      <c r="U170" s="10">
        <v>3</v>
      </c>
      <c r="V170" s="6">
        <f t="shared" si="17"/>
        <v>40.210515042137573</v>
      </c>
      <c r="W170" s="6">
        <f t="shared" si="18"/>
        <v>12.76489453549571</v>
      </c>
      <c r="X170" s="6">
        <f t="shared" si="19"/>
        <v>30.287191751220853</v>
      </c>
      <c r="Y170" s="6">
        <f t="shared" si="20"/>
        <v>21.978279188824189</v>
      </c>
      <c r="Z170" s="6">
        <f t="shared" si="21"/>
        <v>27.72301636067246</v>
      </c>
      <c r="AA170" s="6">
        <f t="shared" si="22"/>
        <v>23.208005960457665</v>
      </c>
      <c r="AB170" s="6">
        <f t="shared" si="23"/>
        <v>12.76489453549571</v>
      </c>
      <c r="AC170" s="6">
        <f t="shared" si="24"/>
        <v>2</v>
      </c>
    </row>
    <row r="171" spans="1:29">
      <c r="A171" s="11">
        <v>170</v>
      </c>
      <c r="B171" s="12">
        <v>3</v>
      </c>
      <c r="C171" s="11">
        <v>3</v>
      </c>
      <c r="D171" s="11">
        <v>1</v>
      </c>
      <c r="E171" s="11">
        <v>1</v>
      </c>
      <c r="F171" s="11">
        <v>3</v>
      </c>
      <c r="G171" s="11">
        <v>2</v>
      </c>
      <c r="H171" s="11">
        <v>3</v>
      </c>
      <c r="I171" s="11">
        <v>3</v>
      </c>
      <c r="J171" s="11">
        <v>2</v>
      </c>
      <c r="K171" s="11">
        <v>2</v>
      </c>
      <c r="L171" s="11">
        <v>2</v>
      </c>
      <c r="M171" s="11">
        <v>1</v>
      </c>
      <c r="N171" s="11">
        <v>3</v>
      </c>
      <c r="O171" s="11">
        <v>4</v>
      </c>
      <c r="P171" s="11">
        <v>4</v>
      </c>
      <c r="Q171" s="11">
        <v>5</v>
      </c>
      <c r="R171" s="11">
        <v>2</v>
      </c>
      <c r="S171" s="11">
        <v>3</v>
      </c>
      <c r="T171" s="11">
        <v>4</v>
      </c>
      <c r="U171" s="10">
        <v>2</v>
      </c>
      <c r="V171" s="6">
        <f t="shared" si="17"/>
        <v>43.574320171556366</v>
      </c>
      <c r="W171" s="6">
        <f t="shared" si="18"/>
        <v>26.011123524586338</v>
      </c>
      <c r="X171" s="6">
        <f t="shared" si="19"/>
        <v>19.995645676112968</v>
      </c>
      <c r="Y171" s="6">
        <f t="shared" si="20"/>
        <v>26.089714054186597</v>
      </c>
      <c r="Z171" s="6">
        <f t="shared" si="21"/>
        <v>24.780475620957024</v>
      </c>
      <c r="AA171" s="6">
        <f t="shared" si="22"/>
        <v>18.807842875309888</v>
      </c>
      <c r="AB171" s="6">
        <f t="shared" si="23"/>
        <v>18.807842875309888</v>
      </c>
      <c r="AC171" s="6">
        <f t="shared" si="24"/>
        <v>6</v>
      </c>
    </row>
    <row r="172" spans="1:29">
      <c r="A172" s="11">
        <v>171</v>
      </c>
      <c r="B172" s="12">
        <v>3</v>
      </c>
      <c r="C172" s="11">
        <v>4</v>
      </c>
      <c r="D172" s="11">
        <v>3</v>
      </c>
      <c r="E172" s="11">
        <v>2</v>
      </c>
      <c r="F172" s="11">
        <v>3</v>
      </c>
      <c r="G172" s="11">
        <v>3</v>
      </c>
      <c r="H172" s="11">
        <v>3</v>
      </c>
      <c r="I172" s="11">
        <v>4</v>
      </c>
      <c r="J172" s="11">
        <v>2</v>
      </c>
      <c r="K172" s="11">
        <v>4</v>
      </c>
      <c r="L172" s="11">
        <v>3</v>
      </c>
      <c r="M172" s="11">
        <v>2</v>
      </c>
      <c r="N172" s="11">
        <v>3</v>
      </c>
      <c r="O172" s="11">
        <v>3</v>
      </c>
      <c r="P172" s="11">
        <v>4</v>
      </c>
      <c r="Q172" s="11">
        <v>3</v>
      </c>
      <c r="R172" s="11">
        <v>2</v>
      </c>
      <c r="S172" s="11">
        <v>3</v>
      </c>
      <c r="T172" s="11">
        <v>4</v>
      </c>
      <c r="U172" s="10">
        <v>3</v>
      </c>
      <c r="V172" s="6">
        <f t="shared" si="17"/>
        <v>16.028855226701214</v>
      </c>
      <c r="W172" s="6">
        <f t="shared" si="18"/>
        <v>17.980397175133056</v>
      </c>
      <c r="X172" s="6">
        <f t="shared" si="19"/>
        <v>7.4956647149869111</v>
      </c>
      <c r="Y172" s="6">
        <f t="shared" si="20"/>
        <v>23.378615937377813</v>
      </c>
      <c r="Z172" s="6">
        <f t="shared" si="21"/>
        <v>17.808931900811441</v>
      </c>
      <c r="AA172" s="6">
        <f t="shared" si="22"/>
        <v>18.696859164588421</v>
      </c>
      <c r="AB172" s="6">
        <f t="shared" si="23"/>
        <v>7.4956647149869111</v>
      </c>
      <c r="AC172" s="6">
        <f t="shared" si="24"/>
        <v>3</v>
      </c>
    </row>
    <row r="173" spans="1:29">
      <c r="A173" s="11">
        <v>172</v>
      </c>
      <c r="B173" s="12">
        <v>3</v>
      </c>
      <c r="C173" s="11">
        <v>3</v>
      </c>
      <c r="D173" s="11">
        <v>2</v>
      </c>
      <c r="E173" s="11">
        <v>2</v>
      </c>
      <c r="F173" s="11">
        <v>5</v>
      </c>
      <c r="G173" s="11">
        <v>5</v>
      </c>
      <c r="H173" s="11">
        <v>5</v>
      </c>
      <c r="I173" s="11">
        <v>2</v>
      </c>
      <c r="J173" s="11">
        <v>2</v>
      </c>
      <c r="K173" s="11">
        <v>3</v>
      </c>
      <c r="L173" s="11">
        <v>2</v>
      </c>
      <c r="M173" s="11">
        <v>2</v>
      </c>
      <c r="N173" s="11">
        <v>2</v>
      </c>
      <c r="O173" s="11">
        <v>5</v>
      </c>
      <c r="P173" s="11">
        <v>4</v>
      </c>
      <c r="Q173" s="11">
        <v>3</v>
      </c>
      <c r="R173" s="11">
        <v>3</v>
      </c>
      <c r="S173" s="11">
        <v>4</v>
      </c>
      <c r="T173" s="11">
        <v>3</v>
      </c>
      <c r="U173" s="10">
        <v>5</v>
      </c>
      <c r="V173" s="6">
        <f t="shared" si="17"/>
        <v>26.847126977646816</v>
      </c>
      <c r="W173" s="6">
        <f t="shared" si="18"/>
        <v>27.334316681025211</v>
      </c>
      <c r="X173" s="6">
        <f t="shared" si="19"/>
        <v>26.453974378355657</v>
      </c>
      <c r="Y173" s="6">
        <f t="shared" si="20"/>
        <v>33.822999912338624</v>
      </c>
      <c r="Z173" s="6">
        <f t="shared" si="21"/>
        <v>14.98049310850139</v>
      </c>
      <c r="AA173" s="6">
        <f t="shared" si="22"/>
        <v>32.696867799194465</v>
      </c>
      <c r="AB173" s="6">
        <f t="shared" si="23"/>
        <v>14.98049310850139</v>
      </c>
      <c r="AC173" s="6">
        <f t="shared" si="24"/>
        <v>5</v>
      </c>
    </row>
    <row r="174" spans="1:29">
      <c r="A174" s="11">
        <v>173</v>
      </c>
      <c r="B174" s="12">
        <v>3</v>
      </c>
      <c r="C174" s="11">
        <v>3</v>
      </c>
      <c r="D174" s="11">
        <v>2</v>
      </c>
      <c r="E174" s="11">
        <v>2</v>
      </c>
      <c r="F174" s="11">
        <v>3</v>
      </c>
      <c r="G174" s="11">
        <v>3</v>
      </c>
      <c r="H174" s="11">
        <v>3</v>
      </c>
      <c r="I174" s="11">
        <v>2</v>
      </c>
      <c r="J174" s="11">
        <v>2</v>
      </c>
      <c r="K174" s="11">
        <v>3</v>
      </c>
      <c r="L174" s="11">
        <v>2</v>
      </c>
      <c r="M174" s="11">
        <v>3</v>
      </c>
      <c r="N174" s="11">
        <v>2</v>
      </c>
      <c r="O174" s="11">
        <v>3</v>
      </c>
      <c r="P174" s="11">
        <v>3</v>
      </c>
      <c r="Q174" s="11">
        <v>3</v>
      </c>
      <c r="R174" s="11">
        <v>2</v>
      </c>
      <c r="S174" s="11">
        <v>2</v>
      </c>
      <c r="T174" s="11">
        <v>3</v>
      </c>
      <c r="U174" s="10">
        <v>3</v>
      </c>
      <c r="V174" s="6">
        <f t="shared" si="17"/>
        <v>22.483361425824278</v>
      </c>
      <c r="W174" s="6">
        <f t="shared" si="18"/>
        <v>4.6418814940438331</v>
      </c>
      <c r="X174" s="6">
        <f t="shared" si="19"/>
        <v>9.1622530717862087</v>
      </c>
      <c r="Y174" s="6">
        <f t="shared" si="20"/>
        <v>9.8451562644308002</v>
      </c>
      <c r="Z174" s="6">
        <f t="shared" si="21"/>
        <v>10.180323329061379</v>
      </c>
      <c r="AA174" s="6">
        <f t="shared" si="22"/>
        <v>7.185717245591519</v>
      </c>
      <c r="AB174" s="6">
        <f t="shared" si="23"/>
        <v>4.6418814940438331</v>
      </c>
      <c r="AC174" s="6">
        <f t="shared" si="24"/>
        <v>2</v>
      </c>
    </row>
    <row r="175" spans="1:29">
      <c r="A175" s="11">
        <v>174</v>
      </c>
      <c r="B175" s="12">
        <v>2</v>
      </c>
      <c r="C175" s="11">
        <v>4</v>
      </c>
      <c r="D175" s="11">
        <v>2</v>
      </c>
      <c r="E175" s="11">
        <v>1</v>
      </c>
      <c r="F175" s="11">
        <v>2</v>
      </c>
      <c r="G175" s="11">
        <v>3</v>
      </c>
      <c r="H175" s="11">
        <v>3</v>
      </c>
      <c r="I175" s="11">
        <v>2</v>
      </c>
      <c r="J175" s="11">
        <v>1</v>
      </c>
      <c r="K175" s="11">
        <v>1</v>
      </c>
      <c r="L175" s="11">
        <v>5</v>
      </c>
      <c r="M175" s="11">
        <v>4</v>
      </c>
      <c r="N175" s="11">
        <v>5</v>
      </c>
      <c r="O175" s="11">
        <v>5</v>
      </c>
      <c r="P175" s="11">
        <v>5</v>
      </c>
      <c r="Q175" s="11">
        <v>2</v>
      </c>
      <c r="R175" s="11">
        <v>4</v>
      </c>
      <c r="S175" s="11">
        <v>2</v>
      </c>
      <c r="T175" s="11">
        <v>5</v>
      </c>
      <c r="U175" s="10">
        <v>2</v>
      </c>
      <c r="V175" s="6">
        <f t="shared" si="17"/>
        <v>57.847143938438073</v>
      </c>
      <c r="W175" s="6">
        <f t="shared" si="18"/>
        <v>51.564888898055223</v>
      </c>
      <c r="X175" s="6">
        <f t="shared" si="19"/>
        <v>43.78737040186823</v>
      </c>
      <c r="Y175" s="6">
        <f t="shared" si="20"/>
        <v>38.86755534649766</v>
      </c>
      <c r="Z175" s="6">
        <f t="shared" si="21"/>
        <v>57.694810256753073</v>
      </c>
      <c r="AA175" s="6">
        <f t="shared" si="22"/>
        <v>41.652248686839819</v>
      </c>
      <c r="AB175" s="6">
        <f t="shared" si="23"/>
        <v>38.86755534649766</v>
      </c>
      <c r="AC175" s="6">
        <f t="shared" si="24"/>
        <v>4</v>
      </c>
    </row>
    <row r="176" spans="1:29">
      <c r="A176" s="11">
        <v>175</v>
      </c>
      <c r="B176" s="12">
        <v>1</v>
      </c>
      <c r="C176" s="11">
        <v>1</v>
      </c>
      <c r="D176" s="11">
        <v>1</v>
      </c>
      <c r="E176" s="11">
        <v>1</v>
      </c>
      <c r="F176" s="11">
        <v>5</v>
      </c>
      <c r="G176" s="11">
        <v>1</v>
      </c>
      <c r="H176" s="11">
        <v>1</v>
      </c>
      <c r="I176" s="11">
        <v>4</v>
      </c>
      <c r="J176" s="11">
        <v>1</v>
      </c>
      <c r="K176" s="11">
        <v>5</v>
      </c>
      <c r="L176" s="11">
        <v>1</v>
      </c>
      <c r="M176" s="11">
        <v>1</v>
      </c>
      <c r="N176" s="11">
        <v>4</v>
      </c>
      <c r="O176" s="11">
        <v>2</v>
      </c>
      <c r="P176" s="11">
        <v>5</v>
      </c>
      <c r="Q176" s="11">
        <v>4</v>
      </c>
      <c r="R176" s="11">
        <v>3</v>
      </c>
      <c r="S176" s="11">
        <v>3</v>
      </c>
      <c r="T176" s="11">
        <v>3</v>
      </c>
      <c r="U176" s="10">
        <v>2</v>
      </c>
      <c r="V176" s="6">
        <f t="shared" si="17"/>
        <v>71.119647353210752</v>
      </c>
      <c r="W176" s="6">
        <f t="shared" si="18"/>
        <v>52.011059448411672</v>
      </c>
      <c r="X176" s="6">
        <f t="shared" si="19"/>
        <v>38.07903185273134</v>
      </c>
      <c r="Y176" s="6">
        <f t="shared" si="20"/>
        <v>49.111607818991565</v>
      </c>
      <c r="Z176" s="6">
        <f t="shared" si="21"/>
        <v>51.7232174686824</v>
      </c>
      <c r="AA176" s="6">
        <f t="shared" si="22"/>
        <v>42.541251278764733</v>
      </c>
      <c r="AB176" s="6">
        <f t="shared" si="23"/>
        <v>38.07903185273134</v>
      </c>
      <c r="AC176" s="6">
        <f t="shared" si="24"/>
        <v>3</v>
      </c>
    </row>
    <row r="177" spans="1:29">
      <c r="A177" s="11">
        <v>176</v>
      </c>
      <c r="B177" s="12">
        <v>5</v>
      </c>
      <c r="C177" s="11">
        <v>1</v>
      </c>
      <c r="D177" s="11">
        <v>2</v>
      </c>
      <c r="E177" s="11">
        <v>3</v>
      </c>
      <c r="F177" s="11">
        <v>2</v>
      </c>
      <c r="G177" s="11">
        <v>3</v>
      </c>
      <c r="H177" s="11">
        <v>1</v>
      </c>
      <c r="I177" s="11">
        <v>3</v>
      </c>
      <c r="J177" s="11">
        <v>4</v>
      </c>
      <c r="K177" s="11">
        <v>2</v>
      </c>
      <c r="L177" s="11">
        <v>1</v>
      </c>
      <c r="M177" s="11">
        <v>4</v>
      </c>
      <c r="N177" s="11">
        <v>3</v>
      </c>
      <c r="O177" s="11">
        <v>2</v>
      </c>
      <c r="P177" s="11">
        <v>1</v>
      </c>
      <c r="Q177" s="11">
        <v>3</v>
      </c>
      <c r="R177" s="11">
        <v>2</v>
      </c>
      <c r="S177" s="11">
        <v>3</v>
      </c>
      <c r="T177" s="11">
        <v>3</v>
      </c>
      <c r="U177" s="10">
        <v>2</v>
      </c>
      <c r="V177" s="6">
        <f t="shared" si="17"/>
        <v>43.75597250300688</v>
      </c>
      <c r="W177" s="6">
        <f t="shared" si="18"/>
        <v>28.334176902079491</v>
      </c>
      <c r="X177" s="6">
        <f t="shared" si="19"/>
        <v>34.953910024235029</v>
      </c>
      <c r="Y177" s="6">
        <f t="shared" si="20"/>
        <v>34.333803804385298</v>
      </c>
      <c r="Z177" s="6">
        <f t="shared" si="21"/>
        <v>45.465790536470067</v>
      </c>
      <c r="AA177" s="6">
        <f t="shared" si="22"/>
        <v>34.008001156840294</v>
      </c>
      <c r="AB177" s="6">
        <f t="shared" si="23"/>
        <v>28.334176902079491</v>
      </c>
      <c r="AC177" s="6">
        <f t="shared" si="24"/>
        <v>2</v>
      </c>
    </row>
    <row r="178" spans="1:29">
      <c r="A178" s="11">
        <v>177</v>
      </c>
      <c r="B178" s="12">
        <v>1</v>
      </c>
      <c r="C178" s="11">
        <v>1</v>
      </c>
      <c r="D178" s="11">
        <v>1</v>
      </c>
      <c r="E178" s="11">
        <v>1</v>
      </c>
      <c r="F178" s="11">
        <v>1</v>
      </c>
      <c r="G178" s="11">
        <v>5</v>
      </c>
      <c r="H178" s="11">
        <v>1</v>
      </c>
      <c r="I178" s="11">
        <v>1</v>
      </c>
      <c r="J178" s="11">
        <v>1</v>
      </c>
      <c r="K178" s="11">
        <v>1</v>
      </c>
      <c r="L178" s="11">
        <v>1</v>
      </c>
      <c r="M178" s="11">
        <v>1</v>
      </c>
      <c r="N178" s="11">
        <v>2</v>
      </c>
      <c r="O178" s="11">
        <v>4</v>
      </c>
      <c r="P178" s="11">
        <v>5</v>
      </c>
      <c r="Q178" s="11">
        <v>1</v>
      </c>
      <c r="R178" s="11">
        <v>1</v>
      </c>
      <c r="S178" s="11">
        <v>4</v>
      </c>
      <c r="T178" s="11">
        <v>4</v>
      </c>
      <c r="U178" s="10">
        <v>4</v>
      </c>
      <c r="V178" s="6">
        <f t="shared" si="17"/>
        <v>87.301448754913849</v>
      </c>
      <c r="W178" s="6">
        <f t="shared" si="18"/>
        <v>47.026368266459301</v>
      </c>
      <c r="X178" s="6">
        <f t="shared" si="19"/>
        <v>53.120623899674527</v>
      </c>
      <c r="Y178" s="6">
        <f t="shared" si="20"/>
        <v>28.578210956267117</v>
      </c>
      <c r="Z178" s="6">
        <f t="shared" si="21"/>
        <v>38.266279032823668</v>
      </c>
      <c r="AA178" s="6">
        <f t="shared" si="22"/>
        <v>42.230106375054731</v>
      </c>
      <c r="AB178" s="6">
        <f t="shared" si="23"/>
        <v>28.578210956267117</v>
      </c>
      <c r="AC178" s="6">
        <f t="shared" si="24"/>
        <v>4</v>
      </c>
    </row>
    <row r="179" spans="1:29">
      <c r="A179" s="11">
        <v>178</v>
      </c>
      <c r="B179" s="12">
        <v>3</v>
      </c>
      <c r="C179" s="11">
        <v>2</v>
      </c>
      <c r="D179" s="11">
        <v>2</v>
      </c>
      <c r="E179" s="11">
        <v>3</v>
      </c>
      <c r="F179" s="11">
        <v>4</v>
      </c>
      <c r="G179" s="11">
        <v>3</v>
      </c>
      <c r="H179" s="11">
        <v>3</v>
      </c>
      <c r="I179" s="11">
        <v>3</v>
      </c>
      <c r="J179" s="11">
        <v>2</v>
      </c>
      <c r="K179" s="11">
        <v>3</v>
      </c>
      <c r="L179" s="11">
        <v>3</v>
      </c>
      <c r="M179" s="11">
        <v>3</v>
      </c>
      <c r="N179" s="11">
        <v>3</v>
      </c>
      <c r="O179" s="11">
        <v>3</v>
      </c>
      <c r="P179" s="11">
        <v>2</v>
      </c>
      <c r="Q179" s="11">
        <v>2</v>
      </c>
      <c r="R179" s="11">
        <v>4</v>
      </c>
      <c r="S179" s="11">
        <v>4</v>
      </c>
      <c r="T179" s="11">
        <v>3</v>
      </c>
      <c r="U179" s="10">
        <v>2</v>
      </c>
      <c r="V179" s="6">
        <f t="shared" si="17"/>
        <v>16.75612173134737</v>
      </c>
      <c r="W179" s="6">
        <f t="shared" si="18"/>
        <v>14.964966419554285</v>
      </c>
      <c r="X179" s="6">
        <f t="shared" si="19"/>
        <v>10.662311893422453</v>
      </c>
      <c r="Y179" s="6">
        <f t="shared" si="20"/>
        <v>19.245007495740101</v>
      </c>
      <c r="Z179" s="6">
        <f t="shared" si="21"/>
        <v>19.637403524382627</v>
      </c>
      <c r="AA179" s="6">
        <f t="shared" si="22"/>
        <v>16.785760838541918</v>
      </c>
      <c r="AB179" s="6">
        <f t="shared" si="23"/>
        <v>10.662311893422453</v>
      </c>
      <c r="AC179" s="6">
        <f t="shared" si="24"/>
        <v>3</v>
      </c>
    </row>
    <row r="180" spans="1:29">
      <c r="A180" s="11">
        <v>179</v>
      </c>
      <c r="B180" s="12">
        <v>5</v>
      </c>
      <c r="C180" s="11">
        <v>1</v>
      </c>
      <c r="D180" s="11">
        <v>1</v>
      </c>
      <c r="E180" s="11">
        <v>1</v>
      </c>
      <c r="F180" s="11">
        <v>2</v>
      </c>
      <c r="G180" s="11">
        <v>3</v>
      </c>
      <c r="H180" s="11">
        <v>4</v>
      </c>
      <c r="I180" s="11">
        <v>2</v>
      </c>
      <c r="J180" s="11">
        <v>2</v>
      </c>
      <c r="K180" s="11">
        <v>4</v>
      </c>
      <c r="L180" s="11">
        <v>3</v>
      </c>
      <c r="M180" s="11">
        <v>2</v>
      </c>
      <c r="N180" s="11">
        <v>4</v>
      </c>
      <c r="O180" s="11">
        <v>2</v>
      </c>
      <c r="P180" s="11">
        <v>4</v>
      </c>
      <c r="Q180" s="11">
        <v>1</v>
      </c>
      <c r="R180" s="11">
        <v>5</v>
      </c>
      <c r="S180" s="11">
        <v>1</v>
      </c>
      <c r="T180" s="11">
        <v>5</v>
      </c>
      <c r="U180" s="10">
        <v>3</v>
      </c>
      <c r="V180" s="6">
        <f t="shared" si="17"/>
        <v>53.210604784749989</v>
      </c>
      <c r="W180" s="6">
        <f t="shared" si="18"/>
        <v>44.441812928267161</v>
      </c>
      <c r="X180" s="6">
        <f t="shared" si="19"/>
        <v>37.162305767723744</v>
      </c>
      <c r="Y180" s="6">
        <f t="shared" si="20"/>
        <v>32.045150622122222</v>
      </c>
      <c r="Z180" s="6">
        <f t="shared" si="21"/>
        <v>53.265996827161118</v>
      </c>
      <c r="AA180" s="6">
        <f t="shared" si="22"/>
        <v>30.963494905494727</v>
      </c>
      <c r="AB180" s="6">
        <f t="shared" si="23"/>
        <v>30.963494905494727</v>
      </c>
      <c r="AC180" s="6">
        <f t="shared" si="24"/>
        <v>6</v>
      </c>
    </row>
    <row r="181" spans="1:29">
      <c r="A181" s="11">
        <v>180</v>
      </c>
      <c r="B181" s="12">
        <v>3</v>
      </c>
      <c r="C181" s="11">
        <v>2</v>
      </c>
      <c r="D181" s="11">
        <v>2</v>
      </c>
      <c r="E181" s="11">
        <v>2</v>
      </c>
      <c r="F181" s="11">
        <v>3</v>
      </c>
      <c r="G181" s="11">
        <v>4</v>
      </c>
      <c r="H181" s="11">
        <v>3</v>
      </c>
      <c r="I181" s="11">
        <v>2</v>
      </c>
      <c r="J181" s="11">
        <v>2</v>
      </c>
      <c r="K181" s="11">
        <v>3</v>
      </c>
      <c r="L181" s="11">
        <v>2</v>
      </c>
      <c r="M181" s="11">
        <v>2</v>
      </c>
      <c r="N181" s="11">
        <v>3</v>
      </c>
      <c r="O181" s="11">
        <v>4</v>
      </c>
      <c r="P181" s="11">
        <v>4</v>
      </c>
      <c r="Q181" s="11">
        <v>3</v>
      </c>
      <c r="R181" s="11">
        <v>3</v>
      </c>
      <c r="S181" s="11">
        <v>2</v>
      </c>
      <c r="T181" s="11">
        <v>2</v>
      </c>
      <c r="U181" s="10">
        <v>4</v>
      </c>
      <c r="V181" s="6">
        <f t="shared" si="17"/>
        <v>24.665137162779533</v>
      </c>
      <c r="W181" s="6">
        <f t="shared" si="18"/>
        <v>7.6418813087640185</v>
      </c>
      <c r="X181" s="6">
        <f t="shared" si="19"/>
        <v>12.453972186820762</v>
      </c>
      <c r="Y181" s="6">
        <f t="shared" si="20"/>
        <v>11.067310268255859</v>
      </c>
      <c r="Z181" s="6">
        <f t="shared" si="21"/>
        <v>8.1232308401851565</v>
      </c>
      <c r="AA181" s="6">
        <f t="shared" si="22"/>
        <v>8.1190810794155013</v>
      </c>
      <c r="AB181" s="6">
        <f t="shared" si="23"/>
        <v>7.6418813087640185</v>
      </c>
      <c r="AC181" s="6">
        <f t="shared" si="24"/>
        <v>2</v>
      </c>
    </row>
    <row r="182" spans="1:29">
      <c r="A182" s="11">
        <v>181</v>
      </c>
      <c r="B182" s="12">
        <v>2</v>
      </c>
      <c r="C182" s="11">
        <v>3</v>
      </c>
      <c r="D182" s="11">
        <v>1</v>
      </c>
      <c r="E182" s="11">
        <v>3</v>
      </c>
      <c r="F182" s="11">
        <v>5</v>
      </c>
      <c r="G182" s="11">
        <v>4</v>
      </c>
      <c r="H182" s="11">
        <v>3</v>
      </c>
      <c r="I182" s="11">
        <v>2</v>
      </c>
      <c r="J182" s="11">
        <v>1</v>
      </c>
      <c r="K182" s="11">
        <v>3</v>
      </c>
      <c r="L182" s="11">
        <v>2</v>
      </c>
      <c r="M182" s="11">
        <v>2</v>
      </c>
      <c r="N182" s="11">
        <v>2</v>
      </c>
      <c r="O182" s="11">
        <v>4</v>
      </c>
      <c r="P182" s="11">
        <v>4</v>
      </c>
      <c r="Q182" s="11">
        <v>2</v>
      </c>
      <c r="R182" s="11">
        <v>1</v>
      </c>
      <c r="S182" s="11">
        <v>3</v>
      </c>
      <c r="T182" s="11">
        <v>2</v>
      </c>
      <c r="U182" s="10">
        <v>4</v>
      </c>
      <c r="V182" s="6">
        <f t="shared" si="17"/>
        <v>35.574298716553535</v>
      </c>
      <c r="W182" s="6">
        <f t="shared" si="18"/>
        <v>17.457258133767528</v>
      </c>
      <c r="X182" s="6">
        <f t="shared" si="19"/>
        <v>22.412231035882908</v>
      </c>
      <c r="Y182" s="6">
        <f t="shared" si="20"/>
        <v>24.845141935874658</v>
      </c>
      <c r="Z182" s="6">
        <f t="shared" si="21"/>
        <v>6.6947189433413534</v>
      </c>
      <c r="AA182" s="6">
        <f t="shared" si="22"/>
        <v>19.230162902296232</v>
      </c>
      <c r="AB182" s="6">
        <f t="shared" si="23"/>
        <v>6.6947189433413534</v>
      </c>
      <c r="AC182" s="6">
        <f t="shared" si="24"/>
        <v>5</v>
      </c>
    </row>
    <row r="183" spans="1:29">
      <c r="A183" s="11">
        <v>182</v>
      </c>
      <c r="B183" s="12">
        <v>3</v>
      </c>
      <c r="C183" s="11">
        <v>2</v>
      </c>
      <c r="D183" s="11">
        <v>2</v>
      </c>
      <c r="E183" s="11">
        <v>3</v>
      </c>
      <c r="F183" s="11">
        <v>1</v>
      </c>
      <c r="G183" s="11">
        <v>3</v>
      </c>
      <c r="H183" s="11">
        <v>1</v>
      </c>
      <c r="I183" s="11">
        <v>4</v>
      </c>
      <c r="J183" s="11">
        <v>1</v>
      </c>
      <c r="K183" s="11">
        <v>4</v>
      </c>
      <c r="L183" s="11">
        <v>1</v>
      </c>
      <c r="M183" s="11">
        <v>1</v>
      </c>
      <c r="N183" s="11">
        <v>2</v>
      </c>
      <c r="O183" s="11">
        <v>2</v>
      </c>
      <c r="P183" s="11">
        <v>4</v>
      </c>
      <c r="Q183" s="11">
        <v>1</v>
      </c>
      <c r="R183" s="11">
        <v>2</v>
      </c>
      <c r="S183" s="11">
        <v>5</v>
      </c>
      <c r="T183" s="11">
        <v>2</v>
      </c>
      <c r="U183" s="10">
        <v>5</v>
      </c>
      <c r="V183" s="6">
        <f t="shared" si="17"/>
        <v>56.028606003629811</v>
      </c>
      <c r="W183" s="6">
        <f t="shared" si="18"/>
        <v>31.672633882969219</v>
      </c>
      <c r="X183" s="6">
        <f t="shared" si="19"/>
        <v>32.203989539832506</v>
      </c>
      <c r="Y183" s="6">
        <f t="shared" si="20"/>
        <v>31.956160199611784</v>
      </c>
      <c r="Z183" s="6">
        <f t="shared" si="21"/>
        <v>29.751740410682839</v>
      </c>
      <c r="AA183" s="6">
        <f t="shared" si="22"/>
        <v>40.252465453076908</v>
      </c>
      <c r="AB183" s="6">
        <f t="shared" si="23"/>
        <v>29.751740410682839</v>
      </c>
      <c r="AC183" s="6">
        <f t="shared" si="24"/>
        <v>5</v>
      </c>
    </row>
    <row r="184" spans="1:29">
      <c r="A184" s="11">
        <v>183</v>
      </c>
      <c r="B184" s="12">
        <v>3</v>
      </c>
      <c r="C184" s="11">
        <v>3</v>
      </c>
      <c r="D184" s="11">
        <v>1</v>
      </c>
      <c r="E184" s="11">
        <v>2</v>
      </c>
      <c r="F184" s="11">
        <v>2</v>
      </c>
      <c r="G184" s="11">
        <v>3</v>
      </c>
      <c r="H184" s="11">
        <v>3</v>
      </c>
      <c r="I184" s="11">
        <v>3</v>
      </c>
      <c r="J184" s="11">
        <v>1</v>
      </c>
      <c r="K184" s="11">
        <v>3</v>
      </c>
      <c r="L184" s="11">
        <v>1</v>
      </c>
      <c r="M184" s="11">
        <v>1</v>
      </c>
      <c r="N184" s="11">
        <v>3</v>
      </c>
      <c r="O184" s="11">
        <v>4</v>
      </c>
      <c r="P184" s="11">
        <v>3</v>
      </c>
      <c r="Q184" s="11">
        <v>2</v>
      </c>
      <c r="R184" s="11">
        <v>2</v>
      </c>
      <c r="S184" s="11">
        <v>2</v>
      </c>
      <c r="T184" s="11">
        <v>1</v>
      </c>
      <c r="U184" s="10">
        <v>1</v>
      </c>
      <c r="V184" s="6">
        <f t="shared" si="17"/>
        <v>54.392323481377915</v>
      </c>
      <c r="W184" s="6">
        <f t="shared" si="18"/>
        <v>23.041737657049026</v>
      </c>
      <c r="X184" s="6">
        <f t="shared" si="19"/>
        <v>29.370600912837943</v>
      </c>
      <c r="Y184" s="6">
        <f t="shared" si="20"/>
        <v>24.956269291063325</v>
      </c>
      <c r="Z184" s="6">
        <f t="shared" si="21"/>
        <v>21.437549409835324</v>
      </c>
      <c r="AA184" s="6">
        <f t="shared" si="22"/>
        <v>11.541231946496607</v>
      </c>
      <c r="AB184" s="6">
        <f t="shared" si="23"/>
        <v>11.541231946496607</v>
      </c>
      <c r="AC184" s="6">
        <f t="shared" si="24"/>
        <v>6</v>
      </c>
    </row>
    <row r="185" spans="1:29">
      <c r="A185" s="11">
        <v>184</v>
      </c>
      <c r="B185" s="12">
        <v>2</v>
      </c>
      <c r="C185" s="11">
        <v>3</v>
      </c>
      <c r="D185" s="11">
        <v>4</v>
      </c>
      <c r="E185" s="11">
        <v>3</v>
      </c>
      <c r="F185" s="11">
        <v>2</v>
      </c>
      <c r="G185" s="11">
        <v>3</v>
      </c>
      <c r="H185" s="11">
        <v>3</v>
      </c>
      <c r="I185" s="11">
        <v>2</v>
      </c>
      <c r="J185" s="11">
        <v>2</v>
      </c>
      <c r="K185" s="11">
        <v>2</v>
      </c>
      <c r="L185" s="11">
        <v>4</v>
      </c>
      <c r="M185" s="11">
        <v>3</v>
      </c>
      <c r="N185" s="11">
        <v>2</v>
      </c>
      <c r="O185" s="11">
        <v>2</v>
      </c>
      <c r="P185" s="11">
        <v>2</v>
      </c>
      <c r="Q185" s="11">
        <v>3</v>
      </c>
      <c r="R185" s="11">
        <v>2</v>
      </c>
      <c r="S185" s="11">
        <v>3</v>
      </c>
      <c r="T185" s="11">
        <v>2</v>
      </c>
      <c r="U185" s="10">
        <v>4</v>
      </c>
      <c r="V185" s="6">
        <f t="shared" si="17"/>
        <v>24.665162712503164</v>
      </c>
      <c r="W185" s="6">
        <f t="shared" si="18"/>
        <v>10.349625502205438</v>
      </c>
      <c r="X185" s="6">
        <f t="shared" si="19"/>
        <v>20.537262217696227</v>
      </c>
      <c r="Y185" s="6">
        <f t="shared" si="20"/>
        <v>22.978355827531182</v>
      </c>
      <c r="Z185" s="6">
        <f t="shared" si="21"/>
        <v>25.665938881754872</v>
      </c>
      <c r="AA185" s="6">
        <f t="shared" si="22"/>
        <v>31.341388310809077</v>
      </c>
      <c r="AB185" s="6">
        <f t="shared" si="23"/>
        <v>10.349625502205438</v>
      </c>
      <c r="AC185" s="6">
        <f t="shared" si="24"/>
        <v>2</v>
      </c>
    </row>
    <row r="186" spans="1:29">
      <c r="A186" s="11">
        <v>185</v>
      </c>
      <c r="B186" s="12">
        <v>5</v>
      </c>
      <c r="C186" s="11">
        <v>2</v>
      </c>
      <c r="D186" s="11">
        <v>4</v>
      </c>
      <c r="E186" s="11">
        <v>4</v>
      </c>
      <c r="F186" s="11">
        <v>4</v>
      </c>
      <c r="G186" s="11">
        <v>5</v>
      </c>
      <c r="H186" s="11">
        <v>3</v>
      </c>
      <c r="I186" s="11">
        <v>4</v>
      </c>
      <c r="J186" s="11">
        <v>5</v>
      </c>
      <c r="K186" s="11">
        <v>4</v>
      </c>
      <c r="L186" s="11">
        <v>1</v>
      </c>
      <c r="M186" s="11">
        <v>4</v>
      </c>
      <c r="N186" s="11">
        <v>4</v>
      </c>
      <c r="O186" s="11">
        <v>1</v>
      </c>
      <c r="P186" s="11">
        <v>5</v>
      </c>
      <c r="Q186" s="11">
        <v>1</v>
      </c>
      <c r="R186" s="11">
        <v>5</v>
      </c>
      <c r="S186" s="11">
        <v>4</v>
      </c>
      <c r="T186" s="11">
        <v>2</v>
      </c>
      <c r="U186" s="10">
        <v>4</v>
      </c>
      <c r="V186" s="6">
        <f t="shared" si="17"/>
        <v>30.301517149949881</v>
      </c>
      <c r="W186" s="6">
        <f t="shared" si="18"/>
        <v>55.057401022775018</v>
      </c>
      <c r="X186" s="6">
        <f t="shared" si="19"/>
        <v>46.370716967221867</v>
      </c>
      <c r="Y186" s="6">
        <f t="shared" si="20"/>
        <v>65.867108744660356</v>
      </c>
      <c r="Z186" s="6">
        <f t="shared" si="21"/>
        <v>64.208563944115383</v>
      </c>
      <c r="AA186" s="6">
        <f t="shared" si="22"/>
        <v>63.985961851124394</v>
      </c>
      <c r="AB186" s="6">
        <f t="shared" si="23"/>
        <v>30.301517149949881</v>
      </c>
      <c r="AC186" s="6">
        <f t="shared" si="24"/>
        <v>1</v>
      </c>
    </row>
    <row r="187" spans="1:29">
      <c r="A187" s="11">
        <v>186</v>
      </c>
      <c r="B187" s="12">
        <v>2</v>
      </c>
      <c r="C187" s="11">
        <v>2</v>
      </c>
      <c r="D187" s="11">
        <v>2</v>
      </c>
      <c r="E187" s="11">
        <v>4</v>
      </c>
      <c r="F187" s="11">
        <v>4</v>
      </c>
      <c r="G187" s="11">
        <v>3</v>
      </c>
      <c r="H187" s="11">
        <v>4</v>
      </c>
      <c r="I187" s="11">
        <v>3</v>
      </c>
      <c r="J187" s="11">
        <v>2</v>
      </c>
      <c r="K187" s="11">
        <v>3</v>
      </c>
      <c r="L187" s="11">
        <v>2</v>
      </c>
      <c r="M187" s="11">
        <v>1</v>
      </c>
      <c r="N187" s="11">
        <v>2</v>
      </c>
      <c r="O187" s="11">
        <v>4</v>
      </c>
      <c r="P187" s="11">
        <v>4</v>
      </c>
      <c r="Q187" s="11">
        <v>5</v>
      </c>
      <c r="R187" s="11">
        <v>3</v>
      </c>
      <c r="S187" s="11">
        <v>2</v>
      </c>
      <c r="T187" s="11">
        <v>2</v>
      </c>
      <c r="U187" s="10">
        <v>3</v>
      </c>
      <c r="V187" s="6">
        <f t="shared" si="17"/>
        <v>30.028783031028532</v>
      </c>
      <c r="W187" s="6">
        <f t="shared" si="18"/>
        <v>19.611161290738728</v>
      </c>
      <c r="X187" s="6">
        <f t="shared" si="19"/>
        <v>18.578979631767499</v>
      </c>
      <c r="Y187" s="6">
        <f t="shared" si="20"/>
        <v>32.044874165171343</v>
      </c>
      <c r="Z187" s="6">
        <f t="shared" si="21"/>
        <v>15.808952130372905</v>
      </c>
      <c r="AA187" s="6">
        <f t="shared" si="22"/>
        <v>19.207972411006441</v>
      </c>
      <c r="AB187" s="6">
        <f t="shared" si="23"/>
        <v>15.808952130372905</v>
      </c>
      <c r="AC187" s="6">
        <f t="shared" si="24"/>
        <v>5</v>
      </c>
    </row>
    <row r="188" spans="1:29">
      <c r="A188" s="11">
        <v>187</v>
      </c>
      <c r="B188" s="12">
        <v>4</v>
      </c>
      <c r="C188" s="11">
        <v>2</v>
      </c>
      <c r="D188" s="11">
        <v>2</v>
      </c>
      <c r="E188" s="11">
        <v>4</v>
      </c>
      <c r="F188" s="11">
        <v>4</v>
      </c>
      <c r="G188" s="11">
        <v>2</v>
      </c>
      <c r="H188" s="11">
        <v>3</v>
      </c>
      <c r="I188" s="11">
        <v>1</v>
      </c>
      <c r="J188" s="11">
        <v>1</v>
      </c>
      <c r="K188" s="11">
        <v>2</v>
      </c>
      <c r="L188" s="11">
        <v>2</v>
      </c>
      <c r="M188" s="11">
        <v>4</v>
      </c>
      <c r="N188" s="11">
        <v>2</v>
      </c>
      <c r="O188" s="11">
        <v>4</v>
      </c>
      <c r="P188" s="11">
        <v>4</v>
      </c>
      <c r="Q188" s="11">
        <v>1</v>
      </c>
      <c r="R188" s="11">
        <v>2</v>
      </c>
      <c r="S188" s="11">
        <v>1</v>
      </c>
      <c r="T188" s="11">
        <v>3</v>
      </c>
      <c r="U188" s="10">
        <v>1</v>
      </c>
      <c r="V188" s="6">
        <f t="shared" si="17"/>
        <v>48.210647307958681</v>
      </c>
      <c r="W188" s="6">
        <f t="shared" si="18"/>
        <v>26.349451070811206</v>
      </c>
      <c r="X188" s="6">
        <f t="shared" si="19"/>
        <v>35.162184535979648</v>
      </c>
      <c r="Y188" s="6">
        <f t="shared" si="20"/>
        <v>30.26701648910996</v>
      </c>
      <c r="Z188" s="6">
        <f t="shared" si="21"/>
        <v>28.665982155961455</v>
      </c>
      <c r="AA188" s="6">
        <f t="shared" si="22"/>
        <v>16.118954649733762</v>
      </c>
      <c r="AB188" s="6">
        <f t="shared" si="23"/>
        <v>16.118954649733762</v>
      </c>
      <c r="AC188" s="6">
        <f t="shared" si="24"/>
        <v>6</v>
      </c>
    </row>
    <row r="189" spans="1:29">
      <c r="A189" s="11">
        <v>188</v>
      </c>
      <c r="B189" s="12">
        <v>2</v>
      </c>
      <c r="C189" s="11">
        <v>2</v>
      </c>
      <c r="D189" s="11">
        <v>2</v>
      </c>
      <c r="E189" s="11">
        <v>1</v>
      </c>
      <c r="F189" s="11">
        <v>2</v>
      </c>
      <c r="G189" s="11">
        <v>2</v>
      </c>
      <c r="H189" s="11">
        <v>1</v>
      </c>
      <c r="I189" s="11">
        <v>2</v>
      </c>
      <c r="J189" s="11">
        <v>3</v>
      </c>
      <c r="K189" s="11">
        <v>2</v>
      </c>
      <c r="L189" s="11">
        <v>1</v>
      </c>
      <c r="M189" s="11">
        <v>2</v>
      </c>
      <c r="N189" s="11">
        <v>3</v>
      </c>
      <c r="O189" s="11">
        <v>1</v>
      </c>
      <c r="P189" s="11">
        <v>3</v>
      </c>
      <c r="Q189" s="11">
        <v>2</v>
      </c>
      <c r="R189" s="11">
        <v>1</v>
      </c>
      <c r="S189" s="11">
        <v>3</v>
      </c>
      <c r="T189" s="11">
        <v>2</v>
      </c>
      <c r="U189" s="10">
        <v>1</v>
      </c>
      <c r="V189" s="6">
        <f t="shared" si="17"/>
        <v>59.30144518845966</v>
      </c>
      <c r="W189" s="6">
        <f t="shared" si="18"/>
        <v>26.272537429195861</v>
      </c>
      <c r="X189" s="6">
        <f t="shared" si="19"/>
        <v>32.037243291793651</v>
      </c>
      <c r="Y189" s="6">
        <f t="shared" si="20"/>
        <v>24.644943018503341</v>
      </c>
      <c r="Z189" s="6">
        <f t="shared" si="21"/>
        <v>40.637343776399334</v>
      </c>
      <c r="AA189" s="6">
        <f t="shared" si="22"/>
        <v>26.607948432241844</v>
      </c>
      <c r="AB189" s="6">
        <f t="shared" si="23"/>
        <v>24.644943018503341</v>
      </c>
      <c r="AC189" s="6">
        <f t="shared" si="24"/>
        <v>4</v>
      </c>
    </row>
    <row r="190" spans="1:29">
      <c r="A190" s="11">
        <v>189</v>
      </c>
      <c r="B190" s="12">
        <v>2</v>
      </c>
      <c r="C190" s="11">
        <v>1</v>
      </c>
      <c r="D190" s="11">
        <v>1</v>
      </c>
      <c r="E190" s="11">
        <v>2</v>
      </c>
      <c r="F190" s="11">
        <v>1</v>
      </c>
      <c r="G190" s="11">
        <v>4</v>
      </c>
      <c r="H190" s="11">
        <v>3</v>
      </c>
      <c r="I190" s="11">
        <v>3</v>
      </c>
      <c r="J190" s="11">
        <v>2</v>
      </c>
      <c r="K190" s="11">
        <v>4</v>
      </c>
      <c r="L190" s="11">
        <v>2</v>
      </c>
      <c r="M190" s="11">
        <v>3</v>
      </c>
      <c r="N190" s="11">
        <v>3</v>
      </c>
      <c r="O190" s="11">
        <v>4</v>
      </c>
      <c r="P190" s="11">
        <v>5</v>
      </c>
      <c r="Q190" s="11">
        <v>1</v>
      </c>
      <c r="R190" s="11">
        <v>2</v>
      </c>
      <c r="S190" s="11">
        <v>2</v>
      </c>
      <c r="T190" s="11">
        <v>3</v>
      </c>
      <c r="U190" s="10">
        <v>1</v>
      </c>
      <c r="V190" s="6">
        <f t="shared" si="17"/>
        <v>53.937821660777445</v>
      </c>
      <c r="W190" s="6">
        <f t="shared" si="18"/>
        <v>34.318643806324587</v>
      </c>
      <c r="X190" s="6">
        <f t="shared" si="19"/>
        <v>27.495650153223913</v>
      </c>
      <c r="Y190" s="6">
        <f t="shared" si="20"/>
        <v>19.91151447952101</v>
      </c>
      <c r="Z190" s="6">
        <f t="shared" si="21"/>
        <v>30.237613492478488</v>
      </c>
      <c r="AA190" s="6">
        <f t="shared" si="22"/>
        <v>13.918988379418263</v>
      </c>
      <c r="AB190" s="6">
        <f t="shared" si="23"/>
        <v>13.918988379418263</v>
      </c>
      <c r="AC190" s="6">
        <f t="shared" si="24"/>
        <v>6</v>
      </c>
    </row>
    <row r="191" spans="1:29">
      <c r="A191" s="11">
        <v>190</v>
      </c>
      <c r="B191" s="12">
        <v>2</v>
      </c>
      <c r="C191" s="11">
        <v>2</v>
      </c>
      <c r="D191" s="11">
        <v>4</v>
      </c>
      <c r="E191" s="11">
        <v>2</v>
      </c>
      <c r="F191" s="11">
        <v>5</v>
      </c>
      <c r="G191" s="11">
        <v>3</v>
      </c>
      <c r="H191" s="11">
        <v>3</v>
      </c>
      <c r="I191" s="11">
        <v>2</v>
      </c>
      <c r="J191" s="11">
        <v>2</v>
      </c>
      <c r="K191" s="11">
        <v>2</v>
      </c>
      <c r="L191" s="11">
        <v>2</v>
      </c>
      <c r="M191" s="11">
        <v>3</v>
      </c>
      <c r="N191" s="11">
        <v>4</v>
      </c>
      <c r="O191" s="11">
        <v>3</v>
      </c>
      <c r="P191" s="11">
        <v>2</v>
      </c>
      <c r="Q191" s="11">
        <v>2</v>
      </c>
      <c r="R191" s="11">
        <v>3</v>
      </c>
      <c r="S191" s="11">
        <v>3</v>
      </c>
      <c r="T191" s="11">
        <v>3</v>
      </c>
      <c r="U191" s="10">
        <v>4</v>
      </c>
      <c r="V191" s="6">
        <f t="shared" si="17"/>
        <v>19.57426319902536</v>
      </c>
      <c r="W191" s="6">
        <f t="shared" si="18"/>
        <v>12.611147672913624</v>
      </c>
      <c r="X191" s="6">
        <f t="shared" si="19"/>
        <v>19.078935929559105</v>
      </c>
      <c r="Y191" s="6">
        <f t="shared" si="20"/>
        <v>18.955985903610962</v>
      </c>
      <c r="Z191" s="6">
        <f t="shared" si="21"/>
        <v>23.008800061312339</v>
      </c>
      <c r="AA191" s="6">
        <f t="shared" si="22"/>
        <v>28.363593439102949</v>
      </c>
      <c r="AB191" s="6">
        <f t="shared" si="23"/>
        <v>12.611147672913624</v>
      </c>
      <c r="AC191" s="6">
        <f t="shared" si="24"/>
        <v>2</v>
      </c>
    </row>
    <row r="192" spans="1:29">
      <c r="A192" s="11">
        <v>191</v>
      </c>
      <c r="B192" s="12">
        <v>2</v>
      </c>
      <c r="C192" s="11">
        <v>3</v>
      </c>
      <c r="D192" s="11">
        <v>3</v>
      </c>
      <c r="E192" s="11">
        <v>2</v>
      </c>
      <c r="F192" s="11">
        <v>3</v>
      </c>
      <c r="G192" s="11">
        <v>3</v>
      </c>
      <c r="H192" s="11">
        <v>2</v>
      </c>
      <c r="I192" s="11">
        <v>2</v>
      </c>
      <c r="J192" s="11">
        <v>2</v>
      </c>
      <c r="K192" s="11">
        <v>1</v>
      </c>
      <c r="L192" s="11">
        <v>2</v>
      </c>
      <c r="M192" s="11">
        <v>2</v>
      </c>
      <c r="N192" s="11">
        <v>2</v>
      </c>
      <c r="O192" s="11">
        <v>4</v>
      </c>
      <c r="P192" s="11">
        <v>4</v>
      </c>
      <c r="Q192" s="11">
        <v>3</v>
      </c>
      <c r="R192" s="11">
        <v>2</v>
      </c>
      <c r="S192" s="11">
        <v>3</v>
      </c>
      <c r="T192" s="11">
        <v>2</v>
      </c>
      <c r="U192" s="10">
        <v>5</v>
      </c>
      <c r="V192" s="6">
        <f t="shared" si="17"/>
        <v>33.210574696382608</v>
      </c>
      <c r="W192" s="6">
        <f t="shared" si="18"/>
        <v>9.1034552637255732</v>
      </c>
      <c r="X192" s="6">
        <f t="shared" si="19"/>
        <v>18.870620782322909</v>
      </c>
      <c r="Y192" s="6">
        <f t="shared" si="20"/>
        <v>15.889530868410434</v>
      </c>
      <c r="Z192" s="6">
        <f t="shared" si="21"/>
        <v>13.151798892881471</v>
      </c>
      <c r="AA192" s="6">
        <f t="shared" si="22"/>
        <v>23.563503383111538</v>
      </c>
      <c r="AB192" s="6">
        <f t="shared" si="23"/>
        <v>9.1034552637255732</v>
      </c>
      <c r="AC192" s="6">
        <f t="shared" si="24"/>
        <v>2</v>
      </c>
    </row>
    <row r="193" spans="1:29">
      <c r="A193" s="11">
        <v>192</v>
      </c>
      <c r="B193" s="12">
        <v>3</v>
      </c>
      <c r="C193" s="11">
        <v>4</v>
      </c>
      <c r="D193" s="11">
        <v>5</v>
      </c>
      <c r="E193" s="11">
        <v>2</v>
      </c>
      <c r="F193" s="11">
        <v>3</v>
      </c>
      <c r="G193" s="11">
        <v>2</v>
      </c>
      <c r="H193" s="11">
        <v>2</v>
      </c>
      <c r="I193" s="11">
        <v>1</v>
      </c>
      <c r="J193" s="11">
        <v>1</v>
      </c>
      <c r="K193" s="11">
        <v>4</v>
      </c>
      <c r="L193" s="11">
        <v>1</v>
      </c>
      <c r="M193" s="11">
        <v>4</v>
      </c>
      <c r="N193" s="11">
        <v>5</v>
      </c>
      <c r="O193" s="11">
        <v>5</v>
      </c>
      <c r="P193" s="11">
        <v>5</v>
      </c>
      <c r="Q193" s="11">
        <v>1</v>
      </c>
      <c r="R193" s="11">
        <v>1</v>
      </c>
      <c r="S193" s="11">
        <v>5</v>
      </c>
      <c r="T193" s="11">
        <v>1</v>
      </c>
      <c r="U193" s="10">
        <v>4</v>
      </c>
      <c r="V193" s="6">
        <f t="shared" si="17"/>
        <v>58.574382799824058</v>
      </c>
      <c r="W193" s="6">
        <f t="shared" si="18"/>
        <v>45.36499363005229</v>
      </c>
      <c r="X193" s="6">
        <f t="shared" si="19"/>
        <v>53.578961706817843</v>
      </c>
      <c r="Y193" s="6">
        <f t="shared" si="20"/>
        <v>51.245113812430262</v>
      </c>
      <c r="Z193" s="6">
        <f t="shared" si="21"/>
        <v>42.894655775290012</v>
      </c>
      <c r="AA193" s="6">
        <f t="shared" si="22"/>
        <v>55.252376551528371</v>
      </c>
      <c r="AB193" s="6">
        <f t="shared" si="23"/>
        <v>42.894655775290012</v>
      </c>
      <c r="AC193" s="6">
        <f t="shared" si="24"/>
        <v>5</v>
      </c>
    </row>
    <row r="194" spans="1:29">
      <c r="A194" s="11">
        <v>193</v>
      </c>
      <c r="B194" s="12">
        <v>5</v>
      </c>
      <c r="C194" s="11">
        <v>4</v>
      </c>
      <c r="D194" s="11">
        <v>4</v>
      </c>
      <c r="E194" s="11">
        <v>4</v>
      </c>
      <c r="F194" s="11">
        <v>4</v>
      </c>
      <c r="G194" s="11">
        <v>4</v>
      </c>
      <c r="H194" s="11">
        <v>4</v>
      </c>
      <c r="I194" s="11">
        <v>5</v>
      </c>
      <c r="J194" s="11">
        <v>4</v>
      </c>
      <c r="K194" s="11">
        <v>4</v>
      </c>
      <c r="L194" s="11">
        <v>3</v>
      </c>
      <c r="M194" s="11">
        <v>4</v>
      </c>
      <c r="N194" s="11">
        <v>4</v>
      </c>
      <c r="O194" s="11">
        <v>3</v>
      </c>
      <c r="P194" s="11">
        <v>4</v>
      </c>
      <c r="Q194" s="11">
        <v>4</v>
      </c>
      <c r="R194" s="11">
        <v>3</v>
      </c>
      <c r="S194" s="11">
        <v>5</v>
      </c>
      <c r="T194" s="11">
        <v>3</v>
      </c>
      <c r="U194" s="10">
        <v>4</v>
      </c>
      <c r="V194" s="6">
        <f t="shared" si="17"/>
        <v>13.210777017106563</v>
      </c>
      <c r="W194" s="6">
        <f t="shared" si="18"/>
        <v>45.703661243746524</v>
      </c>
      <c r="X194" s="6">
        <f t="shared" si="19"/>
        <v>32.079045421055717</v>
      </c>
      <c r="Y194" s="6">
        <f t="shared" si="20"/>
        <v>64.711930500658823</v>
      </c>
      <c r="Z194" s="6">
        <f t="shared" si="21"/>
        <v>47.465913147141826</v>
      </c>
      <c r="AA194" s="6">
        <f t="shared" si="22"/>
        <v>58.519209148253282</v>
      </c>
      <c r="AB194" s="6">
        <f t="shared" si="23"/>
        <v>13.210777017106563</v>
      </c>
      <c r="AC194" s="6">
        <f t="shared" si="24"/>
        <v>1</v>
      </c>
    </row>
    <row r="195" spans="1:29">
      <c r="A195" s="11">
        <v>194</v>
      </c>
      <c r="B195" s="12">
        <v>4</v>
      </c>
      <c r="C195" s="11">
        <v>4</v>
      </c>
      <c r="D195" s="11">
        <v>5</v>
      </c>
      <c r="E195" s="11">
        <v>4</v>
      </c>
      <c r="F195" s="11">
        <v>5</v>
      </c>
      <c r="G195" s="11">
        <v>3</v>
      </c>
      <c r="H195" s="11">
        <v>5</v>
      </c>
      <c r="I195" s="11">
        <v>3</v>
      </c>
      <c r="J195" s="11">
        <v>5</v>
      </c>
      <c r="K195" s="11">
        <v>4</v>
      </c>
      <c r="L195" s="11">
        <v>3</v>
      </c>
      <c r="M195" s="11">
        <v>4</v>
      </c>
      <c r="N195" s="11">
        <v>3</v>
      </c>
      <c r="O195" s="11">
        <v>4</v>
      </c>
      <c r="P195" s="11">
        <v>5</v>
      </c>
      <c r="Q195" s="11">
        <v>3</v>
      </c>
      <c r="R195" s="11">
        <v>4</v>
      </c>
      <c r="S195" s="11">
        <v>4</v>
      </c>
      <c r="T195" s="11">
        <v>5</v>
      </c>
      <c r="U195" s="10">
        <v>5</v>
      </c>
      <c r="V195" s="6">
        <f t="shared" ref="V195:V258" si="25">SUMXMY2($B195:$U195,AG$2:AG$21)</f>
        <v>17.301787391358754</v>
      </c>
      <c r="W195" s="6">
        <f t="shared" ref="W195:W258" si="26">SUMXMY2($B195:$U195,AH$2:AH$21)</f>
        <v>56.703710896800878</v>
      </c>
      <c r="X195" s="6">
        <f t="shared" ref="X195:X258" si="27">SUMXMY2($B195:$U195,AI$2:AI$21)</f>
        <v>38.162364263051273</v>
      </c>
      <c r="Y195" s="6">
        <f t="shared" ref="Y195:Y258" si="28">SUMXMY2($B195:$U195,AJ$2:AJ$21)</f>
        <v>69.267305576480339</v>
      </c>
      <c r="Z195" s="6">
        <f t="shared" ref="Z195:Z258" si="29">SUMXMY2($B195:$U195,AK$2:AK$21)</f>
        <v>55.665955465220954</v>
      </c>
      <c r="AA195" s="6">
        <f t="shared" ref="AA195:AA258" si="30">SUMXMY2($B195:$U195,AL$2:AL$21)</f>
        <v>69.074689717024469</v>
      </c>
      <c r="AB195" s="6">
        <f t="shared" ref="AB195:AB258" si="31">MIN(V195:AA195)</f>
        <v>17.301787391358754</v>
      </c>
      <c r="AC195" s="6">
        <f t="shared" ref="AC195:AC258" si="32">IF(AB195=V195,1,IF(AB195=W195,2,IF(AB195=X195,3,IF(AB195=Y195,4,IF(AB195=Z195,5,6)))))</f>
        <v>1</v>
      </c>
    </row>
    <row r="196" spans="1:29">
      <c r="A196" s="11">
        <v>195</v>
      </c>
      <c r="B196" s="12">
        <v>1</v>
      </c>
      <c r="C196" s="11">
        <v>5</v>
      </c>
      <c r="D196" s="11">
        <v>1</v>
      </c>
      <c r="E196" s="11">
        <v>5</v>
      </c>
      <c r="F196" s="11">
        <v>5</v>
      </c>
      <c r="G196" s="11">
        <v>2</v>
      </c>
      <c r="H196" s="11">
        <v>1</v>
      </c>
      <c r="I196" s="11">
        <v>1</v>
      </c>
      <c r="J196" s="11">
        <v>1</v>
      </c>
      <c r="K196" s="11">
        <v>3</v>
      </c>
      <c r="L196" s="11">
        <v>2</v>
      </c>
      <c r="M196" s="11">
        <v>1</v>
      </c>
      <c r="N196" s="11">
        <v>4</v>
      </c>
      <c r="O196" s="11">
        <v>3</v>
      </c>
      <c r="P196" s="11">
        <v>3</v>
      </c>
      <c r="Q196" s="11">
        <v>1</v>
      </c>
      <c r="R196" s="11">
        <v>3</v>
      </c>
      <c r="S196" s="11">
        <v>1</v>
      </c>
      <c r="T196" s="11">
        <v>3</v>
      </c>
      <c r="U196" s="10">
        <v>1</v>
      </c>
      <c r="V196" s="6">
        <f t="shared" si="25"/>
        <v>64.665223023745156</v>
      </c>
      <c r="W196" s="6">
        <f t="shared" si="26"/>
        <v>48.841763331712329</v>
      </c>
      <c r="X196" s="6">
        <f t="shared" si="27"/>
        <v>48.620575559558766</v>
      </c>
      <c r="Y196" s="6">
        <f t="shared" si="28"/>
        <v>55.867357128123103</v>
      </c>
      <c r="Z196" s="6">
        <f t="shared" si="29"/>
        <v>46.837402887162803</v>
      </c>
      <c r="AA196" s="6">
        <f t="shared" si="30"/>
        <v>38.319000582814425</v>
      </c>
      <c r="AB196" s="6">
        <f t="shared" si="31"/>
        <v>38.319000582814425</v>
      </c>
      <c r="AC196" s="6">
        <f t="shared" si="32"/>
        <v>6</v>
      </c>
    </row>
    <row r="197" spans="1:29">
      <c r="A197" s="11">
        <v>196</v>
      </c>
      <c r="B197" s="12">
        <v>2</v>
      </c>
      <c r="C197" s="11">
        <v>2</v>
      </c>
      <c r="D197" s="11">
        <v>4</v>
      </c>
      <c r="E197" s="11">
        <v>4</v>
      </c>
      <c r="F197" s="11">
        <v>2</v>
      </c>
      <c r="G197" s="11">
        <v>5</v>
      </c>
      <c r="H197" s="11">
        <v>2</v>
      </c>
      <c r="I197" s="11">
        <v>2</v>
      </c>
      <c r="J197" s="11">
        <v>2</v>
      </c>
      <c r="K197" s="11">
        <v>4</v>
      </c>
      <c r="L197" s="11">
        <v>2</v>
      </c>
      <c r="M197" s="11">
        <v>2</v>
      </c>
      <c r="N197" s="11">
        <v>2</v>
      </c>
      <c r="O197" s="11">
        <v>4</v>
      </c>
      <c r="P197" s="11">
        <v>2</v>
      </c>
      <c r="Q197" s="11">
        <v>2</v>
      </c>
      <c r="R197" s="11">
        <v>2</v>
      </c>
      <c r="S197" s="11">
        <v>4</v>
      </c>
      <c r="T197" s="11">
        <v>4</v>
      </c>
      <c r="U197" s="10">
        <v>4</v>
      </c>
      <c r="V197" s="6">
        <f t="shared" si="25"/>
        <v>27.392435759937904</v>
      </c>
      <c r="W197" s="6">
        <f t="shared" si="26"/>
        <v>23.180389585555517</v>
      </c>
      <c r="X197" s="6">
        <f t="shared" si="27"/>
        <v>23.870640337812894</v>
      </c>
      <c r="Y197" s="6">
        <f t="shared" si="28"/>
        <v>26.755908439306811</v>
      </c>
      <c r="Z197" s="6">
        <f t="shared" si="29"/>
        <v>17.637488172236111</v>
      </c>
      <c r="AA197" s="6">
        <f t="shared" si="30"/>
        <v>31.008051348642613</v>
      </c>
      <c r="AB197" s="6">
        <f t="shared" si="31"/>
        <v>17.637488172236111</v>
      </c>
      <c r="AC197" s="6">
        <f t="shared" si="32"/>
        <v>5</v>
      </c>
    </row>
    <row r="198" spans="1:29">
      <c r="A198" s="11">
        <v>197</v>
      </c>
      <c r="B198" s="12">
        <v>5</v>
      </c>
      <c r="C198" s="11">
        <v>2</v>
      </c>
      <c r="D198" s="11">
        <v>1</v>
      </c>
      <c r="E198" s="11">
        <v>3</v>
      </c>
      <c r="F198" s="11">
        <v>3</v>
      </c>
      <c r="G198" s="11">
        <v>5</v>
      </c>
      <c r="H198" s="11">
        <v>3</v>
      </c>
      <c r="I198" s="11">
        <v>2</v>
      </c>
      <c r="J198" s="11">
        <v>2</v>
      </c>
      <c r="K198" s="11">
        <v>2</v>
      </c>
      <c r="L198" s="11">
        <v>1</v>
      </c>
      <c r="M198" s="11">
        <v>3</v>
      </c>
      <c r="N198" s="11">
        <v>5</v>
      </c>
      <c r="O198" s="11">
        <v>4</v>
      </c>
      <c r="P198" s="11">
        <v>5</v>
      </c>
      <c r="Q198" s="11">
        <v>2</v>
      </c>
      <c r="R198" s="11">
        <v>2</v>
      </c>
      <c r="S198" s="11">
        <v>4</v>
      </c>
      <c r="T198" s="11">
        <v>3</v>
      </c>
      <c r="U198" s="10">
        <v>2</v>
      </c>
      <c r="V198" s="6">
        <f t="shared" si="25"/>
        <v>39.57435507590538</v>
      </c>
      <c r="W198" s="6">
        <f t="shared" si="26"/>
        <v>32.657229042350572</v>
      </c>
      <c r="X198" s="6">
        <f t="shared" si="27"/>
        <v>33.828958256624134</v>
      </c>
      <c r="Y198" s="6">
        <f t="shared" si="28"/>
        <v>30.533953591724401</v>
      </c>
      <c r="Z198" s="6">
        <f t="shared" si="29"/>
        <v>25.608935917138105</v>
      </c>
      <c r="AA198" s="6">
        <f t="shared" si="30"/>
        <v>20.319053425599904</v>
      </c>
      <c r="AB198" s="6">
        <f t="shared" si="31"/>
        <v>20.319053425599904</v>
      </c>
      <c r="AC198" s="6">
        <f t="shared" si="32"/>
        <v>6</v>
      </c>
    </row>
    <row r="199" spans="1:29">
      <c r="A199" s="11">
        <v>198</v>
      </c>
      <c r="B199" s="12">
        <v>2</v>
      </c>
      <c r="C199" s="11">
        <v>1</v>
      </c>
      <c r="D199" s="11">
        <v>1</v>
      </c>
      <c r="E199" s="11">
        <v>4</v>
      </c>
      <c r="F199" s="11">
        <v>3</v>
      </c>
      <c r="G199" s="11">
        <v>2</v>
      </c>
      <c r="H199" s="11">
        <v>3</v>
      </c>
      <c r="I199" s="11">
        <v>2</v>
      </c>
      <c r="J199" s="11">
        <v>1</v>
      </c>
      <c r="K199" s="11">
        <v>4</v>
      </c>
      <c r="L199" s="11">
        <v>1</v>
      </c>
      <c r="M199" s="11">
        <v>1</v>
      </c>
      <c r="N199" s="11">
        <v>2</v>
      </c>
      <c r="O199" s="11">
        <v>3</v>
      </c>
      <c r="P199" s="11">
        <v>5</v>
      </c>
      <c r="Q199" s="11">
        <v>2</v>
      </c>
      <c r="R199" s="11">
        <v>2</v>
      </c>
      <c r="S199" s="11">
        <v>2</v>
      </c>
      <c r="T199" s="11">
        <v>4</v>
      </c>
      <c r="U199" s="10">
        <v>3</v>
      </c>
      <c r="V199" s="6">
        <f t="shared" si="25"/>
        <v>48.574191812020366</v>
      </c>
      <c r="W199" s="6">
        <f t="shared" si="26"/>
        <v>25.534116717584066</v>
      </c>
      <c r="X199" s="6">
        <f t="shared" si="27"/>
        <v>21.703920329962294</v>
      </c>
      <c r="Y199" s="6">
        <f t="shared" si="28"/>
        <v>20.866938016842848</v>
      </c>
      <c r="Z199" s="6">
        <f t="shared" si="29"/>
        <v>17.637538516195836</v>
      </c>
      <c r="AA199" s="6">
        <f t="shared" si="30"/>
        <v>14.763448126521704</v>
      </c>
      <c r="AB199" s="6">
        <f t="shared" si="31"/>
        <v>14.763448126521704</v>
      </c>
      <c r="AC199" s="6">
        <f t="shared" si="32"/>
        <v>6</v>
      </c>
    </row>
    <row r="200" spans="1:29">
      <c r="A200" s="11">
        <v>199</v>
      </c>
      <c r="B200" s="12">
        <v>4</v>
      </c>
      <c r="C200" s="11">
        <v>2</v>
      </c>
      <c r="D200" s="11">
        <v>2</v>
      </c>
      <c r="E200" s="11">
        <v>3</v>
      </c>
      <c r="F200" s="11">
        <v>5</v>
      </c>
      <c r="G200" s="11">
        <v>4</v>
      </c>
      <c r="H200" s="11">
        <v>4</v>
      </c>
      <c r="I200" s="11">
        <v>3</v>
      </c>
      <c r="J200" s="11">
        <v>2</v>
      </c>
      <c r="K200" s="11">
        <v>4</v>
      </c>
      <c r="L200" s="11">
        <v>2</v>
      </c>
      <c r="M200" s="11">
        <v>3</v>
      </c>
      <c r="N200" s="11">
        <v>2</v>
      </c>
      <c r="O200" s="11">
        <v>4</v>
      </c>
      <c r="P200" s="11">
        <v>4</v>
      </c>
      <c r="Q200" s="11">
        <v>2</v>
      </c>
      <c r="R200" s="11">
        <v>3</v>
      </c>
      <c r="S200" s="11">
        <v>3</v>
      </c>
      <c r="T200" s="11">
        <v>3</v>
      </c>
      <c r="U200" s="10">
        <v>2</v>
      </c>
      <c r="V200" s="6">
        <f t="shared" si="25"/>
        <v>19.483423942461595</v>
      </c>
      <c r="W200" s="6">
        <f t="shared" si="26"/>
        <v>21.518819223782806</v>
      </c>
      <c r="X200" s="6">
        <f t="shared" si="27"/>
        <v>15.828957570228793</v>
      </c>
      <c r="Y200" s="6">
        <f t="shared" si="28"/>
        <v>27.867200900855536</v>
      </c>
      <c r="Z200" s="6">
        <f t="shared" si="29"/>
        <v>14.008905329884938</v>
      </c>
      <c r="AA200" s="6">
        <f t="shared" si="30"/>
        <v>13.585736232203162</v>
      </c>
      <c r="AB200" s="6">
        <f t="shared" si="31"/>
        <v>13.585736232203162</v>
      </c>
      <c r="AC200" s="6">
        <f t="shared" si="32"/>
        <v>6</v>
      </c>
    </row>
    <row r="201" spans="1:29">
      <c r="A201" s="11">
        <v>200</v>
      </c>
      <c r="B201" s="12">
        <v>2</v>
      </c>
      <c r="C201" s="11">
        <v>1</v>
      </c>
      <c r="D201" s="11">
        <v>3</v>
      </c>
      <c r="E201" s="11">
        <v>2</v>
      </c>
      <c r="F201" s="11">
        <v>2</v>
      </c>
      <c r="G201" s="11">
        <v>1</v>
      </c>
      <c r="H201" s="11">
        <v>2</v>
      </c>
      <c r="I201" s="11">
        <v>3</v>
      </c>
      <c r="J201" s="11">
        <v>2</v>
      </c>
      <c r="K201" s="11">
        <v>1</v>
      </c>
      <c r="L201" s="11">
        <v>2</v>
      </c>
      <c r="M201" s="11">
        <v>3</v>
      </c>
      <c r="N201" s="11">
        <v>2</v>
      </c>
      <c r="O201" s="11">
        <v>2</v>
      </c>
      <c r="P201" s="11">
        <v>3</v>
      </c>
      <c r="Q201" s="11">
        <v>2</v>
      </c>
      <c r="R201" s="11">
        <v>3</v>
      </c>
      <c r="S201" s="11">
        <v>2</v>
      </c>
      <c r="T201" s="11">
        <v>3</v>
      </c>
      <c r="U201" s="10">
        <v>1</v>
      </c>
      <c r="V201" s="6">
        <f t="shared" si="25"/>
        <v>50.210460516272221</v>
      </c>
      <c r="W201" s="6">
        <f t="shared" si="26"/>
        <v>21.472527946227366</v>
      </c>
      <c r="X201" s="6">
        <f t="shared" si="27"/>
        <v>25.3289437532964</v>
      </c>
      <c r="Y201" s="6">
        <f t="shared" si="28"/>
        <v>18.733546455093773</v>
      </c>
      <c r="Z201" s="6">
        <f t="shared" si="29"/>
        <v>40.751637970050716</v>
      </c>
      <c r="AA201" s="6">
        <f t="shared" si="30"/>
        <v>22.963468502480289</v>
      </c>
      <c r="AB201" s="6">
        <f t="shared" si="31"/>
        <v>18.733546455093773</v>
      </c>
      <c r="AC201" s="6">
        <f t="shared" si="32"/>
        <v>4</v>
      </c>
    </row>
    <row r="202" spans="1:29">
      <c r="A202" s="11">
        <v>201</v>
      </c>
      <c r="B202" s="12">
        <v>4</v>
      </c>
      <c r="C202" s="11">
        <v>1</v>
      </c>
      <c r="D202" s="11">
        <v>2</v>
      </c>
      <c r="E202" s="11">
        <v>2</v>
      </c>
      <c r="F202" s="11">
        <v>4</v>
      </c>
      <c r="G202" s="11">
        <v>3</v>
      </c>
      <c r="H202" s="11">
        <v>3</v>
      </c>
      <c r="I202" s="11">
        <v>2</v>
      </c>
      <c r="J202" s="11">
        <v>2</v>
      </c>
      <c r="K202" s="11">
        <v>3</v>
      </c>
      <c r="L202" s="11">
        <v>1</v>
      </c>
      <c r="M202" s="11">
        <v>3</v>
      </c>
      <c r="N202" s="11">
        <v>1</v>
      </c>
      <c r="O202" s="11">
        <v>2</v>
      </c>
      <c r="P202" s="11">
        <v>3</v>
      </c>
      <c r="Q202" s="11">
        <v>2</v>
      </c>
      <c r="R202" s="11">
        <v>3</v>
      </c>
      <c r="S202" s="11">
        <v>5</v>
      </c>
      <c r="T202" s="11">
        <v>1</v>
      </c>
      <c r="U202" s="10">
        <v>5</v>
      </c>
      <c r="V202" s="6">
        <f t="shared" si="25"/>
        <v>40.301487945760201</v>
      </c>
      <c r="W202" s="6">
        <f t="shared" si="26"/>
        <v>19.288105881667597</v>
      </c>
      <c r="X202" s="6">
        <f t="shared" si="27"/>
        <v>29.703924222680527</v>
      </c>
      <c r="Y202" s="6">
        <f t="shared" si="28"/>
        <v>28.378327095411848</v>
      </c>
      <c r="Z202" s="6">
        <f t="shared" si="29"/>
        <v>24.608789162276803</v>
      </c>
      <c r="AA202" s="6">
        <f t="shared" si="30"/>
        <v>36.296925121474196</v>
      </c>
      <c r="AB202" s="6">
        <f t="shared" si="31"/>
        <v>19.288105881667597</v>
      </c>
      <c r="AC202" s="6">
        <f t="shared" si="32"/>
        <v>2</v>
      </c>
    </row>
    <row r="203" spans="1:29">
      <c r="A203" s="11">
        <v>202</v>
      </c>
      <c r="B203" s="12">
        <v>3</v>
      </c>
      <c r="C203" s="11">
        <v>3</v>
      </c>
      <c r="D203" s="11">
        <v>3</v>
      </c>
      <c r="E203" s="11">
        <v>4</v>
      </c>
      <c r="F203" s="11">
        <v>3</v>
      </c>
      <c r="G203" s="11">
        <v>2</v>
      </c>
      <c r="H203" s="11">
        <v>3</v>
      </c>
      <c r="I203" s="11">
        <v>2</v>
      </c>
      <c r="J203" s="11">
        <v>2</v>
      </c>
      <c r="K203" s="11">
        <v>3</v>
      </c>
      <c r="L203" s="11">
        <v>4</v>
      </c>
      <c r="M203" s="11">
        <v>2</v>
      </c>
      <c r="N203" s="11">
        <v>2</v>
      </c>
      <c r="O203" s="11">
        <v>2</v>
      </c>
      <c r="P203" s="11">
        <v>4</v>
      </c>
      <c r="Q203" s="11">
        <v>3</v>
      </c>
      <c r="R203" s="11">
        <v>5</v>
      </c>
      <c r="S203" s="11">
        <v>3</v>
      </c>
      <c r="T203" s="11">
        <v>3</v>
      </c>
      <c r="U203" s="10">
        <v>3</v>
      </c>
      <c r="V203" s="6">
        <f t="shared" si="25"/>
        <v>19.756152744323312</v>
      </c>
      <c r="W203" s="6">
        <f t="shared" si="26"/>
        <v>18.411181554616388</v>
      </c>
      <c r="X203" s="6">
        <f t="shared" si="27"/>
        <v>13.620677479961874</v>
      </c>
      <c r="Y203" s="6">
        <f t="shared" si="28"/>
        <v>28.489480495139762</v>
      </c>
      <c r="Z203" s="6">
        <f t="shared" si="29"/>
        <v>27.180208200478017</v>
      </c>
      <c r="AA203" s="6">
        <f t="shared" si="30"/>
        <v>23.741327516222675</v>
      </c>
      <c r="AB203" s="6">
        <f t="shared" si="31"/>
        <v>13.620677479961874</v>
      </c>
      <c r="AC203" s="6">
        <f t="shared" si="32"/>
        <v>3</v>
      </c>
    </row>
    <row r="204" spans="1:29">
      <c r="A204" s="11">
        <v>203</v>
      </c>
      <c r="B204" s="12">
        <v>2</v>
      </c>
      <c r="C204" s="11">
        <v>3</v>
      </c>
      <c r="D204" s="11">
        <v>4</v>
      </c>
      <c r="E204" s="11">
        <v>2</v>
      </c>
      <c r="F204" s="11">
        <v>4</v>
      </c>
      <c r="G204" s="11">
        <v>1</v>
      </c>
      <c r="H204" s="11">
        <v>2</v>
      </c>
      <c r="I204" s="11">
        <v>4</v>
      </c>
      <c r="J204" s="11">
        <v>5</v>
      </c>
      <c r="K204" s="11">
        <v>3</v>
      </c>
      <c r="L204" s="11">
        <v>2</v>
      </c>
      <c r="M204" s="11">
        <v>1</v>
      </c>
      <c r="N204" s="11">
        <v>3</v>
      </c>
      <c r="O204" s="11">
        <v>4</v>
      </c>
      <c r="P204" s="11">
        <v>3</v>
      </c>
      <c r="Q204" s="11">
        <v>4</v>
      </c>
      <c r="R204" s="11">
        <v>5</v>
      </c>
      <c r="S204" s="11">
        <v>4</v>
      </c>
      <c r="T204" s="11">
        <v>5</v>
      </c>
      <c r="U204" s="10">
        <v>5</v>
      </c>
      <c r="V204" s="6">
        <f t="shared" si="25"/>
        <v>34.210638196421797</v>
      </c>
      <c r="W204" s="6">
        <f t="shared" si="26"/>
        <v>46.795933788814338</v>
      </c>
      <c r="X204" s="6">
        <f t="shared" si="27"/>
        <v>27.662414834543355</v>
      </c>
      <c r="Y204" s="6">
        <f t="shared" si="28"/>
        <v>50.77841987402298</v>
      </c>
      <c r="Z204" s="6">
        <f t="shared" si="29"/>
        <v>52.980278136018342</v>
      </c>
      <c r="AA204" s="6">
        <f t="shared" si="30"/>
        <v>61.163513219125115</v>
      </c>
      <c r="AB204" s="6">
        <f t="shared" si="31"/>
        <v>27.662414834543355</v>
      </c>
      <c r="AC204" s="6">
        <f t="shared" si="32"/>
        <v>3</v>
      </c>
    </row>
    <row r="205" spans="1:29">
      <c r="A205" s="11">
        <v>204</v>
      </c>
      <c r="B205" s="12">
        <v>4</v>
      </c>
      <c r="C205" s="11">
        <v>3</v>
      </c>
      <c r="D205" s="11">
        <v>2</v>
      </c>
      <c r="E205" s="11">
        <v>4</v>
      </c>
      <c r="F205" s="11">
        <v>4</v>
      </c>
      <c r="G205" s="11">
        <v>4</v>
      </c>
      <c r="H205" s="11">
        <v>3</v>
      </c>
      <c r="I205" s="11">
        <v>2</v>
      </c>
      <c r="J205" s="11">
        <v>1</v>
      </c>
      <c r="K205" s="11">
        <v>3</v>
      </c>
      <c r="L205" s="11">
        <v>1</v>
      </c>
      <c r="M205" s="11">
        <v>2</v>
      </c>
      <c r="N205" s="11">
        <v>3</v>
      </c>
      <c r="O205" s="11">
        <v>4</v>
      </c>
      <c r="P205" s="11">
        <v>3</v>
      </c>
      <c r="Q205" s="11">
        <v>2</v>
      </c>
      <c r="R205" s="11">
        <v>2</v>
      </c>
      <c r="S205" s="11">
        <v>4</v>
      </c>
      <c r="T205" s="11">
        <v>3</v>
      </c>
      <c r="U205" s="10">
        <v>3</v>
      </c>
      <c r="V205" s="6">
        <f t="shared" si="25"/>
        <v>23.574320805273636</v>
      </c>
      <c r="W205" s="6">
        <f t="shared" si="26"/>
        <v>14.995742737605294</v>
      </c>
      <c r="X205" s="6">
        <f t="shared" si="27"/>
        <v>19.37058806782267</v>
      </c>
      <c r="Y205" s="6">
        <f t="shared" si="28"/>
        <v>23.37839368069028</v>
      </c>
      <c r="Z205" s="6">
        <f t="shared" si="29"/>
        <v>6.0089117043134905</v>
      </c>
      <c r="AA205" s="6">
        <f t="shared" si="30"/>
        <v>14.56353050158123</v>
      </c>
      <c r="AB205" s="6">
        <f t="shared" si="31"/>
        <v>6.0089117043134905</v>
      </c>
      <c r="AC205" s="6">
        <f t="shared" si="32"/>
        <v>5</v>
      </c>
    </row>
    <row r="206" spans="1:29">
      <c r="A206" s="11">
        <v>205</v>
      </c>
      <c r="B206" s="12">
        <v>1</v>
      </c>
      <c r="C206" s="11">
        <v>5</v>
      </c>
      <c r="D206" s="11">
        <v>1</v>
      </c>
      <c r="E206" s="11">
        <v>5</v>
      </c>
      <c r="F206" s="11">
        <v>5</v>
      </c>
      <c r="G206" s="11">
        <v>2</v>
      </c>
      <c r="H206" s="11">
        <v>1</v>
      </c>
      <c r="I206" s="11">
        <v>1</v>
      </c>
      <c r="J206" s="11">
        <v>1</v>
      </c>
      <c r="K206" s="11">
        <v>3</v>
      </c>
      <c r="L206" s="11">
        <v>2</v>
      </c>
      <c r="M206" s="11">
        <v>1</v>
      </c>
      <c r="N206" s="11">
        <v>4</v>
      </c>
      <c r="O206" s="11">
        <v>3</v>
      </c>
      <c r="P206" s="11">
        <v>3</v>
      </c>
      <c r="Q206" s="11">
        <v>3</v>
      </c>
      <c r="R206" s="11">
        <v>1</v>
      </c>
      <c r="S206" s="11">
        <v>1</v>
      </c>
      <c r="T206" s="11">
        <v>3</v>
      </c>
      <c r="U206" s="10">
        <v>1</v>
      </c>
      <c r="V206" s="6">
        <f t="shared" si="25"/>
        <v>66.301626331170482</v>
      </c>
      <c r="W206" s="6">
        <f t="shared" si="26"/>
        <v>47.67256836937765</v>
      </c>
      <c r="X206" s="6">
        <f t="shared" si="27"/>
        <v>49.953876515319948</v>
      </c>
      <c r="Y206" s="6">
        <f t="shared" si="28"/>
        <v>59.867374965505014</v>
      </c>
      <c r="Z206" s="6">
        <f t="shared" si="29"/>
        <v>44.094580957886819</v>
      </c>
      <c r="AA206" s="6">
        <f t="shared" si="30"/>
        <v>39.207890450453455</v>
      </c>
      <c r="AB206" s="6">
        <f t="shared" si="31"/>
        <v>39.207890450453455</v>
      </c>
      <c r="AC206" s="6">
        <f t="shared" si="32"/>
        <v>6</v>
      </c>
    </row>
    <row r="207" spans="1:29">
      <c r="A207" s="11">
        <v>206</v>
      </c>
      <c r="B207" s="12">
        <v>1</v>
      </c>
      <c r="C207" s="11">
        <v>1</v>
      </c>
      <c r="D207" s="11">
        <v>1</v>
      </c>
      <c r="E207" s="11">
        <v>1</v>
      </c>
      <c r="F207" s="11">
        <v>1</v>
      </c>
      <c r="G207" s="11">
        <v>1</v>
      </c>
      <c r="H207" s="11">
        <v>5</v>
      </c>
      <c r="I207" s="11">
        <v>1</v>
      </c>
      <c r="J207" s="11">
        <v>1</v>
      </c>
      <c r="K207" s="11">
        <v>3</v>
      </c>
      <c r="L207" s="11">
        <v>1</v>
      </c>
      <c r="M207" s="11">
        <v>3</v>
      </c>
      <c r="N207" s="11">
        <v>1</v>
      </c>
      <c r="O207" s="11">
        <v>2</v>
      </c>
      <c r="P207" s="11">
        <v>5</v>
      </c>
      <c r="Q207" s="11">
        <v>1</v>
      </c>
      <c r="R207" s="11">
        <v>5</v>
      </c>
      <c r="S207" s="11">
        <v>3</v>
      </c>
      <c r="T207" s="11">
        <v>3</v>
      </c>
      <c r="U207" s="10">
        <v>5</v>
      </c>
      <c r="V207" s="6">
        <f t="shared" si="25"/>
        <v>82.392338965257323</v>
      </c>
      <c r="W207" s="6">
        <f t="shared" si="26"/>
        <v>45.826456959327771</v>
      </c>
      <c r="X207" s="6">
        <f t="shared" si="27"/>
        <v>48.620641013139121</v>
      </c>
      <c r="Y207" s="6">
        <f t="shared" si="28"/>
        <v>29.111538551714926</v>
      </c>
      <c r="Z207" s="6">
        <f t="shared" si="29"/>
        <v>56.037587598487853</v>
      </c>
      <c r="AA207" s="6">
        <f t="shared" si="30"/>
        <v>50.87454747028525</v>
      </c>
      <c r="AB207" s="6">
        <f t="shared" si="31"/>
        <v>29.111538551714926</v>
      </c>
      <c r="AC207" s="6">
        <f t="shared" si="32"/>
        <v>4</v>
      </c>
    </row>
    <row r="208" spans="1:29">
      <c r="A208" s="11">
        <v>207</v>
      </c>
      <c r="B208" s="12">
        <v>2</v>
      </c>
      <c r="C208" s="11">
        <v>2</v>
      </c>
      <c r="D208" s="11">
        <v>2</v>
      </c>
      <c r="E208" s="11">
        <v>4</v>
      </c>
      <c r="F208" s="11">
        <v>2</v>
      </c>
      <c r="G208" s="11">
        <v>2</v>
      </c>
      <c r="H208" s="11">
        <v>1</v>
      </c>
      <c r="I208" s="11">
        <v>2</v>
      </c>
      <c r="J208" s="11">
        <v>2</v>
      </c>
      <c r="K208" s="11">
        <v>1</v>
      </c>
      <c r="L208" s="11">
        <v>3</v>
      </c>
      <c r="M208" s="11">
        <v>3</v>
      </c>
      <c r="N208" s="11">
        <v>4</v>
      </c>
      <c r="O208" s="11">
        <v>5</v>
      </c>
      <c r="P208" s="11">
        <v>5</v>
      </c>
      <c r="Q208" s="11">
        <v>3</v>
      </c>
      <c r="R208" s="11">
        <v>2</v>
      </c>
      <c r="S208" s="11">
        <v>2</v>
      </c>
      <c r="T208" s="11">
        <v>4</v>
      </c>
      <c r="U208" s="10">
        <v>2</v>
      </c>
      <c r="V208" s="6">
        <f t="shared" si="25"/>
        <v>47.483363892615117</v>
      </c>
      <c r="W208" s="6">
        <f t="shared" si="26"/>
        <v>29.518726869786409</v>
      </c>
      <c r="X208" s="6">
        <f t="shared" si="27"/>
        <v>27.370640325551438</v>
      </c>
      <c r="Y208" s="6">
        <f t="shared" si="28"/>
        <v>25.067050299369395</v>
      </c>
      <c r="Z208" s="6">
        <f t="shared" si="29"/>
        <v>31.094685618821789</v>
      </c>
      <c r="AA208" s="6">
        <f t="shared" si="30"/>
        <v>20.963370420670323</v>
      </c>
      <c r="AB208" s="6">
        <f t="shared" si="31"/>
        <v>20.963370420670323</v>
      </c>
      <c r="AC208" s="6">
        <f t="shared" si="32"/>
        <v>6</v>
      </c>
    </row>
    <row r="209" spans="1:29">
      <c r="A209" s="11">
        <v>208</v>
      </c>
      <c r="B209" s="12">
        <v>2</v>
      </c>
      <c r="C209" s="11">
        <v>2</v>
      </c>
      <c r="D209" s="11">
        <v>3</v>
      </c>
      <c r="E209" s="11">
        <v>4</v>
      </c>
      <c r="F209" s="11">
        <v>4</v>
      </c>
      <c r="G209" s="11">
        <v>3</v>
      </c>
      <c r="H209" s="11">
        <v>3</v>
      </c>
      <c r="I209" s="11">
        <v>2</v>
      </c>
      <c r="J209" s="11">
        <v>2</v>
      </c>
      <c r="K209" s="11">
        <v>4</v>
      </c>
      <c r="L209" s="11">
        <v>2</v>
      </c>
      <c r="M209" s="11">
        <v>1</v>
      </c>
      <c r="N209" s="11">
        <v>2</v>
      </c>
      <c r="O209" s="11">
        <v>4</v>
      </c>
      <c r="P209" s="11">
        <v>4</v>
      </c>
      <c r="Q209" s="11">
        <v>3</v>
      </c>
      <c r="R209" s="11">
        <v>4</v>
      </c>
      <c r="S209" s="11">
        <v>3</v>
      </c>
      <c r="T209" s="11">
        <v>3</v>
      </c>
      <c r="U209" s="10">
        <v>3</v>
      </c>
      <c r="V209" s="6">
        <f t="shared" si="25"/>
        <v>20.756112959747821</v>
      </c>
      <c r="W209" s="6">
        <f t="shared" si="26"/>
        <v>17.134236791066169</v>
      </c>
      <c r="X209" s="6">
        <f t="shared" si="27"/>
        <v>11.495672592873897</v>
      </c>
      <c r="Y209" s="6">
        <f t="shared" si="28"/>
        <v>24.067027773719087</v>
      </c>
      <c r="Z209" s="6">
        <f t="shared" si="29"/>
        <v>10.780342101926967</v>
      </c>
      <c r="AA209" s="6">
        <f t="shared" si="30"/>
        <v>15.385754150801404</v>
      </c>
      <c r="AB209" s="6">
        <f t="shared" si="31"/>
        <v>10.780342101926967</v>
      </c>
      <c r="AC209" s="6">
        <f t="shared" si="32"/>
        <v>5</v>
      </c>
    </row>
    <row r="210" spans="1:29">
      <c r="A210" s="11">
        <v>209</v>
      </c>
      <c r="B210" s="12">
        <v>4</v>
      </c>
      <c r="C210" s="11">
        <v>2</v>
      </c>
      <c r="D210" s="11">
        <v>2</v>
      </c>
      <c r="E210" s="11">
        <v>2</v>
      </c>
      <c r="F210" s="11">
        <v>2</v>
      </c>
      <c r="G210" s="11">
        <v>3</v>
      </c>
      <c r="H210" s="11">
        <v>3</v>
      </c>
      <c r="I210" s="11">
        <v>2</v>
      </c>
      <c r="J210" s="11">
        <v>2</v>
      </c>
      <c r="K210" s="11">
        <v>4</v>
      </c>
      <c r="L210" s="11">
        <v>2</v>
      </c>
      <c r="M210" s="11">
        <v>2</v>
      </c>
      <c r="N210" s="11">
        <v>4</v>
      </c>
      <c r="O210" s="11">
        <v>4</v>
      </c>
      <c r="P210" s="11">
        <v>4</v>
      </c>
      <c r="Q210" s="11">
        <v>3</v>
      </c>
      <c r="R210" s="11">
        <v>2</v>
      </c>
      <c r="S210" s="11">
        <v>2</v>
      </c>
      <c r="T210" s="11">
        <v>4</v>
      </c>
      <c r="U210" s="10">
        <v>4</v>
      </c>
      <c r="V210" s="6">
        <f t="shared" si="25"/>
        <v>29.028817106604137</v>
      </c>
      <c r="W210" s="6">
        <f t="shared" si="26"/>
        <v>16.103427712826704</v>
      </c>
      <c r="X210" s="6">
        <f t="shared" si="27"/>
        <v>14.828951731054302</v>
      </c>
      <c r="Y210" s="6">
        <f t="shared" si="28"/>
        <v>13.689586604273654</v>
      </c>
      <c r="Z210" s="6">
        <f t="shared" si="29"/>
        <v>15.123251031925353</v>
      </c>
      <c r="AA210" s="6">
        <f t="shared" si="30"/>
        <v>11.585700240862401</v>
      </c>
      <c r="AB210" s="6">
        <f t="shared" si="31"/>
        <v>11.585700240862401</v>
      </c>
      <c r="AC210" s="6">
        <f t="shared" si="32"/>
        <v>6</v>
      </c>
    </row>
    <row r="211" spans="1:29">
      <c r="A211" s="11">
        <v>210</v>
      </c>
      <c r="B211" s="12">
        <v>2</v>
      </c>
      <c r="C211" s="11">
        <v>2</v>
      </c>
      <c r="D211" s="11">
        <v>2</v>
      </c>
      <c r="E211" s="11">
        <v>4</v>
      </c>
      <c r="F211" s="11">
        <v>2</v>
      </c>
      <c r="G211" s="11">
        <v>4</v>
      </c>
      <c r="H211" s="11">
        <v>3</v>
      </c>
      <c r="I211" s="11">
        <v>1</v>
      </c>
      <c r="J211" s="11">
        <v>1</v>
      </c>
      <c r="K211" s="11">
        <v>3</v>
      </c>
      <c r="L211" s="11">
        <v>1</v>
      </c>
      <c r="M211" s="11">
        <v>1</v>
      </c>
      <c r="N211" s="11">
        <v>3</v>
      </c>
      <c r="O211" s="11">
        <v>4</v>
      </c>
      <c r="P211" s="11">
        <v>3</v>
      </c>
      <c r="Q211" s="11">
        <v>4</v>
      </c>
      <c r="R211" s="11">
        <v>1</v>
      </c>
      <c r="S211" s="11">
        <v>2</v>
      </c>
      <c r="T211" s="11">
        <v>3</v>
      </c>
      <c r="U211" s="10">
        <v>1</v>
      </c>
      <c r="V211" s="6">
        <f t="shared" si="25"/>
        <v>50.937908045289475</v>
      </c>
      <c r="W211" s="6">
        <f t="shared" si="26"/>
        <v>26.411030552291738</v>
      </c>
      <c r="X211" s="6">
        <f t="shared" si="27"/>
        <v>33.703915596510392</v>
      </c>
      <c r="Y211" s="6">
        <f t="shared" si="28"/>
        <v>29.955881559844663</v>
      </c>
      <c r="Z211" s="6">
        <f t="shared" si="29"/>
        <v>19.980420397573084</v>
      </c>
      <c r="AA211" s="6">
        <f t="shared" si="30"/>
        <v>15.319054197989475</v>
      </c>
      <c r="AB211" s="6">
        <f t="shared" si="31"/>
        <v>15.319054197989475</v>
      </c>
      <c r="AC211" s="6">
        <f t="shared" si="32"/>
        <v>6</v>
      </c>
    </row>
    <row r="212" spans="1:29">
      <c r="A212" s="11">
        <v>211</v>
      </c>
      <c r="B212" s="12">
        <v>3</v>
      </c>
      <c r="C212" s="11">
        <v>2</v>
      </c>
      <c r="D212" s="11">
        <v>4</v>
      </c>
      <c r="E212" s="11">
        <v>5</v>
      </c>
      <c r="F212" s="11">
        <v>4</v>
      </c>
      <c r="G212" s="11">
        <v>3</v>
      </c>
      <c r="H212" s="11">
        <v>3</v>
      </c>
      <c r="I212" s="11">
        <v>5</v>
      </c>
      <c r="J212" s="11">
        <v>4</v>
      </c>
      <c r="K212" s="11">
        <v>3</v>
      </c>
      <c r="L212" s="11">
        <v>4</v>
      </c>
      <c r="M212" s="11">
        <v>3</v>
      </c>
      <c r="N212" s="11">
        <v>4</v>
      </c>
      <c r="O212" s="11">
        <v>4</v>
      </c>
      <c r="P212" s="11">
        <v>2</v>
      </c>
      <c r="Q212" s="11">
        <v>2</v>
      </c>
      <c r="R212" s="11">
        <v>3</v>
      </c>
      <c r="S212" s="11">
        <v>1</v>
      </c>
      <c r="T212" s="11">
        <v>4</v>
      </c>
      <c r="U212" s="10">
        <v>5</v>
      </c>
      <c r="V212" s="6">
        <f t="shared" si="25"/>
        <v>21.937782558723118</v>
      </c>
      <c r="W212" s="6">
        <f t="shared" si="26"/>
        <v>38.857353268785204</v>
      </c>
      <c r="X212" s="6">
        <f t="shared" si="27"/>
        <v>30.912294561246792</v>
      </c>
      <c r="Y212" s="6">
        <f t="shared" si="28"/>
        <v>49.978200143663777</v>
      </c>
      <c r="Z212" s="6">
        <f t="shared" si="29"/>
        <v>47.323019089360535</v>
      </c>
      <c r="AA212" s="6">
        <f t="shared" si="30"/>
        <v>52.052496620273324</v>
      </c>
      <c r="AB212" s="6">
        <f t="shared" si="31"/>
        <v>21.937782558723118</v>
      </c>
      <c r="AC212" s="6">
        <f t="shared" si="32"/>
        <v>1</v>
      </c>
    </row>
    <row r="213" spans="1:29">
      <c r="A213" s="11">
        <v>212</v>
      </c>
      <c r="B213" s="12">
        <v>3</v>
      </c>
      <c r="C213" s="11">
        <v>2</v>
      </c>
      <c r="D213" s="11">
        <v>3</v>
      </c>
      <c r="E213" s="11">
        <v>3</v>
      </c>
      <c r="F213" s="11">
        <v>2</v>
      </c>
      <c r="G213" s="11">
        <v>3</v>
      </c>
      <c r="H213" s="11">
        <v>3</v>
      </c>
      <c r="I213" s="11">
        <v>2</v>
      </c>
      <c r="J213" s="11">
        <v>1</v>
      </c>
      <c r="K213" s="11">
        <v>1</v>
      </c>
      <c r="L213" s="11">
        <v>2</v>
      </c>
      <c r="M213" s="11">
        <v>3</v>
      </c>
      <c r="N213" s="11">
        <v>3</v>
      </c>
      <c r="O213" s="11">
        <v>4</v>
      </c>
      <c r="P213" s="11">
        <v>3</v>
      </c>
      <c r="Q213" s="11">
        <v>3</v>
      </c>
      <c r="R213" s="11">
        <v>3</v>
      </c>
      <c r="S213" s="11">
        <v>3</v>
      </c>
      <c r="T213" s="11">
        <v>3</v>
      </c>
      <c r="U213" s="10">
        <v>2</v>
      </c>
      <c r="V213" s="6">
        <f t="shared" si="25"/>
        <v>29.846968955641838</v>
      </c>
      <c r="W213" s="6">
        <f t="shared" si="26"/>
        <v>10.118759603717269</v>
      </c>
      <c r="X213" s="6">
        <f t="shared" si="27"/>
        <v>18.370628729699881</v>
      </c>
      <c r="Y213" s="6">
        <f t="shared" si="28"/>
        <v>12.155953041379345</v>
      </c>
      <c r="Z213" s="6">
        <f t="shared" si="29"/>
        <v>17.066059417182597</v>
      </c>
      <c r="AA213" s="6">
        <f t="shared" si="30"/>
        <v>11.630156005649317</v>
      </c>
      <c r="AB213" s="6">
        <f t="shared" si="31"/>
        <v>10.118759603717269</v>
      </c>
      <c r="AC213" s="6">
        <f t="shared" si="32"/>
        <v>2</v>
      </c>
    </row>
    <row r="214" spans="1:29">
      <c r="A214" s="11">
        <v>213</v>
      </c>
      <c r="B214" s="12">
        <v>5</v>
      </c>
      <c r="C214" s="11">
        <v>3</v>
      </c>
      <c r="D214" s="11">
        <v>2</v>
      </c>
      <c r="E214" s="11">
        <v>3</v>
      </c>
      <c r="F214" s="11">
        <v>4</v>
      </c>
      <c r="G214" s="11">
        <v>2</v>
      </c>
      <c r="H214" s="11">
        <v>3</v>
      </c>
      <c r="I214" s="11">
        <v>4</v>
      </c>
      <c r="J214" s="11">
        <v>1</v>
      </c>
      <c r="K214" s="11">
        <v>3</v>
      </c>
      <c r="L214" s="11">
        <v>2</v>
      </c>
      <c r="M214" s="11">
        <v>1</v>
      </c>
      <c r="N214" s="11">
        <v>1</v>
      </c>
      <c r="O214" s="11">
        <v>5</v>
      </c>
      <c r="P214" s="11">
        <v>4</v>
      </c>
      <c r="Q214" s="11">
        <v>3</v>
      </c>
      <c r="R214" s="11">
        <v>2</v>
      </c>
      <c r="S214" s="11">
        <v>4</v>
      </c>
      <c r="T214" s="11">
        <v>5</v>
      </c>
      <c r="U214" s="10">
        <v>5</v>
      </c>
      <c r="V214" s="6">
        <f t="shared" si="25"/>
        <v>40.846998629459577</v>
      </c>
      <c r="W214" s="6">
        <f t="shared" si="26"/>
        <v>35.011214575608065</v>
      </c>
      <c r="X214" s="6">
        <f t="shared" si="27"/>
        <v>27.953950694384062</v>
      </c>
      <c r="Y214" s="6">
        <f t="shared" si="28"/>
        <v>41.934133272668198</v>
      </c>
      <c r="Z214" s="6">
        <f t="shared" si="29"/>
        <v>22.351873916587021</v>
      </c>
      <c r="AA214" s="6">
        <f t="shared" si="30"/>
        <v>37.896762891919494</v>
      </c>
      <c r="AB214" s="6">
        <f t="shared" si="31"/>
        <v>22.351873916587021</v>
      </c>
      <c r="AC214" s="6">
        <f t="shared" si="32"/>
        <v>5</v>
      </c>
    </row>
    <row r="215" spans="1:29">
      <c r="A215" s="11">
        <v>214</v>
      </c>
      <c r="B215" s="12">
        <v>3</v>
      </c>
      <c r="C215" s="11">
        <v>2</v>
      </c>
      <c r="D215" s="11">
        <v>1</v>
      </c>
      <c r="E215" s="11">
        <v>2</v>
      </c>
      <c r="F215" s="11">
        <v>3</v>
      </c>
      <c r="G215" s="11">
        <v>3</v>
      </c>
      <c r="H215" s="11">
        <v>3</v>
      </c>
      <c r="I215" s="11">
        <v>3</v>
      </c>
      <c r="J215" s="11">
        <v>1</v>
      </c>
      <c r="K215" s="11">
        <v>2</v>
      </c>
      <c r="L215" s="11">
        <v>2</v>
      </c>
      <c r="M215" s="11">
        <v>1</v>
      </c>
      <c r="N215" s="11">
        <v>3</v>
      </c>
      <c r="O215" s="11">
        <v>4</v>
      </c>
      <c r="P215" s="11">
        <v>3</v>
      </c>
      <c r="Q215" s="11">
        <v>2</v>
      </c>
      <c r="R215" s="11">
        <v>2</v>
      </c>
      <c r="S215" s="11">
        <v>1</v>
      </c>
      <c r="T215" s="11">
        <v>1</v>
      </c>
      <c r="U215" s="10">
        <v>1</v>
      </c>
      <c r="V215" s="6">
        <f t="shared" si="25"/>
        <v>55.028662349349538</v>
      </c>
      <c r="W215" s="6">
        <f t="shared" si="26"/>
        <v>22.564786424799294</v>
      </c>
      <c r="X215" s="6">
        <f t="shared" si="27"/>
        <v>31.162240829813996</v>
      </c>
      <c r="Y215" s="6">
        <f t="shared" si="28"/>
        <v>25.645036713312717</v>
      </c>
      <c r="Z215" s="6">
        <f t="shared" si="29"/>
        <v>24.037511286256059</v>
      </c>
      <c r="AA215" s="6">
        <f t="shared" si="30"/>
        <v>11.45234425251032</v>
      </c>
      <c r="AB215" s="6">
        <f t="shared" si="31"/>
        <v>11.45234425251032</v>
      </c>
      <c r="AC215" s="6">
        <f t="shared" si="32"/>
        <v>6</v>
      </c>
    </row>
    <row r="216" spans="1:29">
      <c r="A216" s="11">
        <v>215</v>
      </c>
      <c r="B216" s="12">
        <v>1</v>
      </c>
      <c r="C216" s="11">
        <v>1</v>
      </c>
      <c r="D216" s="11">
        <v>4</v>
      </c>
      <c r="E216" s="11">
        <v>1</v>
      </c>
      <c r="F216" s="11">
        <v>1</v>
      </c>
      <c r="G216" s="11">
        <v>3</v>
      </c>
      <c r="H216" s="11">
        <v>3</v>
      </c>
      <c r="I216" s="11">
        <v>1</v>
      </c>
      <c r="J216" s="11">
        <v>1</v>
      </c>
      <c r="K216" s="11">
        <v>2</v>
      </c>
      <c r="L216" s="11">
        <v>1</v>
      </c>
      <c r="M216" s="11">
        <v>4</v>
      </c>
      <c r="N216" s="11">
        <v>3</v>
      </c>
      <c r="O216" s="11">
        <v>2</v>
      </c>
      <c r="P216" s="11">
        <v>4</v>
      </c>
      <c r="Q216" s="11">
        <v>2</v>
      </c>
      <c r="R216" s="11">
        <v>5</v>
      </c>
      <c r="S216" s="11">
        <v>1</v>
      </c>
      <c r="T216" s="11">
        <v>4</v>
      </c>
      <c r="U216" s="10">
        <v>2</v>
      </c>
      <c r="V216" s="6">
        <f t="shared" si="25"/>
        <v>64.301419824668784</v>
      </c>
      <c r="W216" s="6">
        <f t="shared" si="26"/>
        <v>37.503301665315782</v>
      </c>
      <c r="X216" s="6">
        <f t="shared" si="27"/>
        <v>44.412347374412064</v>
      </c>
      <c r="Y216" s="6">
        <f t="shared" si="28"/>
        <v>24.911253176953078</v>
      </c>
      <c r="Z216" s="6">
        <f t="shared" si="29"/>
        <v>58.180296905708872</v>
      </c>
      <c r="AA216" s="6">
        <f t="shared" si="30"/>
        <v>36.763525633370222</v>
      </c>
      <c r="AB216" s="6">
        <f t="shared" si="31"/>
        <v>24.911253176953078</v>
      </c>
      <c r="AC216" s="6">
        <f t="shared" si="32"/>
        <v>4</v>
      </c>
    </row>
    <row r="217" spans="1:29">
      <c r="A217" s="11">
        <v>216</v>
      </c>
      <c r="B217" s="12">
        <v>4</v>
      </c>
      <c r="C217" s="11">
        <v>4</v>
      </c>
      <c r="D217" s="11">
        <v>4</v>
      </c>
      <c r="E217" s="11">
        <v>3</v>
      </c>
      <c r="F217" s="11">
        <v>3</v>
      </c>
      <c r="G217" s="11">
        <v>2</v>
      </c>
      <c r="H217" s="11">
        <v>4</v>
      </c>
      <c r="I217" s="11">
        <v>3</v>
      </c>
      <c r="J217" s="11">
        <v>2</v>
      </c>
      <c r="K217" s="11">
        <v>2</v>
      </c>
      <c r="L217" s="11">
        <v>3</v>
      </c>
      <c r="M217" s="11">
        <v>2</v>
      </c>
      <c r="N217" s="11">
        <v>3</v>
      </c>
      <c r="O217" s="11">
        <v>4</v>
      </c>
      <c r="P217" s="11">
        <v>3</v>
      </c>
      <c r="Q217" s="11">
        <v>4</v>
      </c>
      <c r="R217" s="11">
        <v>3</v>
      </c>
      <c r="S217" s="11">
        <v>2</v>
      </c>
      <c r="T217" s="11">
        <v>3</v>
      </c>
      <c r="U217" s="10">
        <v>3</v>
      </c>
      <c r="V217" s="6">
        <f t="shared" si="25"/>
        <v>18.756111755399392</v>
      </c>
      <c r="W217" s="6">
        <f t="shared" si="26"/>
        <v>15.518879413755306</v>
      </c>
      <c r="X217" s="6">
        <f t="shared" si="27"/>
        <v>17.662296332802235</v>
      </c>
      <c r="Y217" s="6">
        <f t="shared" si="28"/>
        <v>30.222947369810566</v>
      </c>
      <c r="Z217" s="6">
        <f t="shared" si="29"/>
        <v>23.351717226687825</v>
      </c>
      <c r="AA217" s="6">
        <f t="shared" si="30"/>
        <v>23.007959706421428</v>
      </c>
      <c r="AB217" s="6">
        <f t="shared" si="31"/>
        <v>15.518879413755306</v>
      </c>
      <c r="AC217" s="6">
        <f t="shared" si="32"/>
        <v>2</v>
      </c>
    </row>
    <row r="218" spans="1:29">
      <c r="A218" s="11">
        <v>217</v>
      </c>
      <c r="B218" s="12">
        <v>3</v>
      </c>
      <c r="C218" s="11">
        <v>4</v>
      </c>
      <c r="D218" s="11">
        <v>2</v>
      </c>
      <c r="E218" s="11">
        <v>1</v>
      </c>
      <c r="F218" s="11">
        <v>5</v>
      </c>
      <c r="G218" s="11">
        <v>4</v>
      </c>
      <c r="H218" s="11">
        <v>2</v>
      </c>
      <c r="I218" s="11">
        <v>2</v>
      </c>
      <c r="J218" s="11">
        <v>2</v>
      </c>
      <c r="K218" s="11">
        <v>3</v>
      </c>
      <c r="L218" s="11">
        <v>2</v>
      </c>
      <c r="M218" s="11">
        <v>3</v>
      </c>
      <c r="N218" s="11">
        <v>4</v>
      </c>
      <c r="O218" s="11">
        <v>4</v>
      </c>
      <c r="P218" s="11">
        <v>4</v>
      </c>
      <c r="Q218" s="11">
        <v>2</v>
      </c>
      <c r="R218" s="11">
        <v>3</v>
      </c>
      <c r="S218" s="11">
        <v>5</v>
      </c>
      <c r="T218" s="11">
        <v>1</v>
      </c>
      <c r="U218" s="10">
        <v>5</v>
      </c>
      <c r="V218" s="6">
        <f t="shared" si="25"/>
        <v>34.938015895584392</v>
      </c>
      <c r="W218" s="6">
        <f t="shared" si="26"/>
        <v>27.58043113423599</v>
      </c>
      <c r="X218" s="6">
        <f t="shared" si="27"/>
        <v>30.78733080920281</v>
      </c>
      <c r="Y218" s="6">
        <f t="shared" si="28"/>
        <v>35.645486113619967</v>
      </c>
      <c r="Z218" s="6">
        <f t="shared" si="29"/>
        <v>25.294649872786923</v>
      </c>
      <c r="AA218" s="6">
        <f t="shared" si="30"/>
        <v>39.385762296267906</v>
      </c>
      <c r="AB218" s="6">
        <f t="shared" si="31"/>
        <v>25.294649872786923</v>
      </c>
      <c r="AC218" s="6">
        <f t="shared" si="32"/>
        <v>5</v>
      </c>
    </row>
    <row r="219" spans="1:29">
      <c r="A219" s="11">
        <v>218</v>
      </c>
      <c r="B219" s="12">
        <v>3</v>
      </c>
      <c r="C219" s="11">
        <v>2</v>
      </c>
      <c r="D219" s="11">
        <v>2</v>
      </c>
      <c r="E219" s="11">
        <v>2</v>
      </c>
      <c r="F219" s="11">
        <v>2</v>
      </c>
      <c r="G219" s="11">
        <v>3</v>
      </c>
      <c r="H219" s="11">
        <v>5</v>
      </c>
      <c r="I219" s="11">
        <v>1</v>
      </c>
      <c r="J219" s="11">
        <v>1</v>
      </c>
      <c r="K219" s="11">
        <v>3</v>
      </c>
      <c r="L219" s="11">
        <v>3</v>
      </c>
      <c r="M219" s="11">
        <v>2</v>
      </c>
      <c r="N219" s="11">
        <v>2</v>
      </c>
      <c r="O219" s="11">
        <v>5</v>
      </c>
      <c r="P219" s="11">
        <v>4</v>
      </c>
      <c r="Q219" s="11">
        <v>2</v>
      </c>
      <c r="R219" s="11">
        <v>2</v>
      </c>
      <c r="S219" s="11">
        <v>2</v>
      </c>
      <c r="T219" s="11">
        <v>2</v>
      </c>
      <c r="U219" s="10">
        <v>3</v>
      </c>
      <c r="V219" s="6">
        <f t="shared" si="25"/>
        <v>44.301563732461425</v>
      </c>
      <c r="W219" s="6">
        <f t="shared" si="26"/>
        <v>19.118748460209229</v>
      </c>
      <c r="X219" s="6">
        <f t="shared" si="27"/>
        <v>26.787241405526462</v>
      </c>
      <c r="Y219" s="6">
        <f t="shared" si="28"/>
        <v>18.445032942300969</v>
      </c>
      <c r="Z219" s="6">
        <f t="shared" si="29"/>
        <v>15.151926129647462</v>
      </c>
      <c r="AA219" s="6">
        <f t="shared" si="30"/>
        <v>13.963432131969888</v>
      </c>
      <c r="AB219" s="6">
        <f t="shared" si="31"/>
        <v>13.963432131969888</v>
      </c>
      <c r="AC219" s="6">
        <f t="shared" si="32"/>
        <v>6</v>
      </c>
    </row>
    <row r="220" spans="1:29">
      <c r="A220" s="11">
        <v>219</v>
      </c>
      <c r="B220" s="12">
        <v>2</v>
      </c>
      <c r="C220" s="11">
        <v>3</v>
      </c>
      <c r="D220" s="11">
        <v>4</v>
      </c>
      <c r="E220" s="11">
        <v>4</v>
      </c>
      <c r="F220" s="11">
        <v>5</v>
      </c>
      <c r="G220" s="11">
        <v>4</v>
      </c>
      <c r="H220" s="11">
        <v>4</v>
      </c>
      <c r="I220" s="11">
        <v>3</v>
      </c>
      <c r="J220" s="11">
        <v>4</v>
      </c>
      <c r="K220" s="11">
        <v>3</v>
      </c>
      <c r="L220" s="11">
        <v>4</v>
      </c>
      <c r="M220" s="11">
        <v>1</v>
      </c>
      <c r="N220" s="11">
        <v>5</v>
      </c>
      <c r="O220" s="11">
        <v>3</v>
      </c>
      <c r="P220" s="11">
        <v>5</v>
      </c>
      <c r="Q220" s="11">
        <v>3</v>
      </c>
      <c r="R220" s="11">
        <v>1</v>
      </c>
      <c r="S220" s="11">
        <v>3</v>
      </c>
      <c r="T220" s="11">
        <v>4</v>
      </c>
      <c r="U220" s="10">
        <v>5</v>
      </c>
      <c r="V220" s="6">
        <f t="shared" si="25"/>
        <v>20.756224621777466</v>
      </c>
      <c r="W220" s="6">
        <f t="shared" si="26"/>
        <v>42.334346040951857</v>
      </c>
      <c r="X220" s="6">
        <f t="shared" si="27"/>
        <v>30.662295313648791</v>
      </c>
      <c r="Y220" s="6">
        <f t="shared" si="28"/>
        <v>53.133870789954813</v>
      </c>
      <c r="Z220" s="6">
        <f t="shared" si="29"/>
        <v>37.580288078232016</v>
      </c>
      <c r="AA220" s="6">
        <f t="shared" si="30"/>
        <v>52.16363397167288</v>
      </c>
      <c r="AB220" s="6">
        <f t="shared" si="31"/>
        <v>20.756224621777466</v>
      </c>
      <c r="AC220" s="6">
        <f t="shared" si="32"/>
        <v>1</v>
      </c>
    </row>
    <row r="221" spans="1:29">
      <c r="A221" s="11">
        <v>220</v>
      </c>
      <c r="B221" s="12">
        <v>2</v>
      </c>
      <c r="C221" s="11">
        <v>1</v>
      </c>
      <c r="D221" s="11">
        <v>1</v>
      </c>
      <c r="E221" s="11">
        <v>3</v>
      </c>
      <c r="F221" s="11">
        <v>2</v>
      </c>
      <c r="G221" s="11">
        <v>3</v>
      </c>
      <c r="H221" s="11">
        <v>3</v>
      </c>
      <c r="I221" s="11">
        <v>4</v>
      </c>
      <c r="J221" s="11">
        <v>1</v>
      </c>
      <c r="K221" s="11">
        <v>3</v>
      </c>
      <c r="L221" s="11">
        <v>1</v>
      </c>
      <c r="M221" s="11">
        <v>2</v>
      </c>
      <c r="N221" s="11">
        <v>3</v>
      </c>
      <c r="O221" s="11">
        <v>4</v>
      </c>
      <c r="P221" s="11">
        <v>3</v>
      </c>
      <c r="Q221" s="11">
        <v>1</v>
      </c>
      <c r="R221" s="11">
        <v>3</v>
      </c>
      <c r="S221" s="11">
        <v>1</v>
      </c>
      <c r="T221" s="11">
        <v>3</v>
      </c>
      <c r="U221" s="10">
        <v>1</v>
      </c>
      <c r="V221" s="6">
        <f t="shared" si="25"/>
        <v>55.2103958747593</v>
      </c>
      <c r="W221" s="6">
        <f t="shared" si="26"/>
        <v>29.672454527549554</v>
      </c>
      <c r="X221" s="6">
        <f t="shared" si="27"/>
        <v>28.495621222248097</v>
      </c>
      <c r="Y221" s="6">
        <f t="shared" si="28"/>
        <v>20.933633135811622</v>
      </c>
      <c r="Z221" s="6">
        <f t="shared" si="29"/>
        <v>30.066108045464933</v>
      </c>
      <c r="AA221" s="6">
        <f t="shared" si="30"/>
        <v>13.874560679605018</v>
      </c>
      <c r="AB221" s="6">
        <f t="shared" si="31"/>
        <v>13.874560679605018</v>
      </c>
      <c r="AC221" s="6">
        <f t="shared" si="32"/>
        <v>6</v>
      </c>
    </row>
    <row r="222" spans="1:29">
      <c r="A222" s="11">
        <v>221</v>
      </c>
      <c r="B222" s="12">
        <v>1</v>
      </c>
      <c r="C222" s="11">
        <v>1</v>
      </c>
      <c r="D222" s="11">
        <v>1</v>
      </c>
      <c r="E222" s="11">
        <v>2</v>
      </c>
      <c r="F222" s="11">
        <v>4</v>
      </c>
      <c r="G222" s="11">
        <v>3</v>
      </c>
      <c r="H222" s="11">
        <v>3</v>
      </c>
      <c r="I222" s="11">
        <v>2</v>
      </c>
      <c r="J222" s="11">
        <v>1</v>
      </c>
      <c r="K222" s="11">
        <v>3</v>
      </c>
      <c r="L222" s="11">
        <v>1</v>
      </c>
      <c r="M222" s="11">
        <v>2</v>
      </c>
      <c r="N222" s="11">
        <v>3</v>
      </c>
      <c r="O222" s="11">
        <v>4</v>
      </c>
      <c r="P222" s="11">
        <v>5</v>
      </c>
      <c r="Q222" s="11">
        <v>4</v>
      </c>
      <c r="R222" s="11">
        <v>3</v>
      </c>
      <c r="S222" s="11">
        <v>1</v>
      </c>
      <c r="T222" s="11">
        <v>3</v>
      </c>
      <c r="U222" s="10">
        <v>2</v>
      </c>
      <c r="V222" s="6">
        <f t="shared" si="25"/>
        <v>53.392399305070313</v>
      </c>
      <c r="W222" s="6">
        <f t="shared" si="26"/>
        <v>27.918714887746582</v>
      </c>
      <c r="X222" s="6">
        <f t="shared" si="27"/>
        <v>27.328979198244838</v>
      </c>
      <c r="Y222" s="6">
        <f t="shared" si="28"/>
        <v>23.689233322226531</v>
      </c>
      <c r="Z222" s="6">
        <f t="shared" si="29"/>
        <v>25.380467617481912</v>
      </c>
      <c r="AA222" s="6">
        <f t="shared" si="30"/>
        <v>14.830103582378321</v>
      </c>
      <c r="AB222" s="6">
        <f t="shared" si="31"/>
        <v>14.830103582378321</v>
      </c>
      <c r="AC222" s="6">
        <f t="shared" si="32"/>
        <v>6</v>
      </c>
    </row>
    <row r="223" spans="1:29">
      <c r="A223" s="11">
        <v>222</v>
      </c>
      <c r="B223" s="12">
        <v>5</v>
      </c>
      <c r="C223" s="11">
        <v>2</v>
      </c>
      <c r="D223" s="11">
        <v>2</v>
      </c>
      <c r="E223" s="11">
        <v>2</v>
      </c>
      <c r="F223" s="11">
        <v>3</v>
      </c>
      <c r="G223" s="11">
        <v>4</v>
      </c>
      <c r="H223" s="11">
        <v>4</v>
      </c>
      <c r="I223" s="11">
        <v>1</v>
      </c>
      <c r="J223" s="11">
        <v>1</v>
      </c>
      <c r="K223" s="11">
        <v>4</v>
      </c>
      <c r="L223" s="11">
        <v>2</v>
      </c>
      <c r="M223" s="11">
        <v>1</v>
      </c>
      <c r="N223" s="11">
        <v>2</v>
      </c>
      <c r="O223" s="11">
        <v>4</v>
      </c>
      <c r="P223" s="11">
        <v>4</v>
      </c>
      <c r="Q223" s="11">
        <v>1</v>
      </c>
      <c r="R223" s="11">
        <v>1</v>
      </c>
      <c r="S223" s="11">
        <v>3</v>
      </c>
      <c r="T223" s="11">
        <v>2</v>
      </c>
      <c r="U223" s="10">
        <v>3</v>
      </c>
      <c r="V223" s="6">
        <f t="shared" si="25"/>
        <v>46.210671493140104</v>
      </c>
      <c r="W223" s="6">
        <f t="shared" si="26"/>
        <v>25.241834070651848</v>
      </c>
      <c r="X223" s="6">
        <f t="shared" si="27"/>
        <v>33.453873143458857</v>
      </c>
      <c r="Y223" s="6">
        <f t="shared" si="28"/>
        <v>29.378452856663738</v>
      </c>
      <c r="Z223" s="6">
        <f t="shared" si="29"/>
        <v>14.49467791035554</v>
      </c>
      <c r="AA223" s="6">
        <f t="shared" si="30"/>
        <v>18.052388854378012</v>
      </c>
      <c r="AB223" s="6">
        <f t="shared" si="31"/>
        <v>14.49467791035554</v>
      </c>
      <c r="AC223" s="6">
        <f t="shared" si="32"/>
        <v>5</v>
      </c>
    </row>
    <row r="224" spans="1:29">
      <c r="A224" s="11">
        <v>223</v>
      </c>
      <c r="B224" s="12">
        <v>4</v>
      </c>
      <c r="C224" s="11">
        <v>3</v>
      </c>
      <c r="D224" s="11">
        <v>2</v>
      </c>
      <c r="E224" s="11">
        <v>3</v>
      </c>
      <c r="F224" s="11">
        <v>4</v>
      </c>
      <c r="G224" s="11">
        <v>2</v>
      </c>
      <c r="H224" s="11">
        <v>3</v>
      </c>
      <c r="I224" s="11">
        <v>3</v>
      </c>
      <c r="J224" s="11">
        <v>4</v>
      </c>
      <c r="K224" s="11">
        <v>2</v>
      </c>
      <c r="L224" s="11">
        <v>3</v>
      </c>
      <c r="M224" s="11">
        <v>4</v>
      </c>
      <c r="N224" s="11">
        <v>2</v>
      </c>
      <c r="O224" s="11">
        <v>3</v>
      </c>
      <c r="P224" s="11">
        <v>4</v>
      </c>
      <c r="Q224" s="11">
        <v>3</v>
      </c>
      <c r="R224" s="11">
        <v>3</v>
      </c>
      <c r="S224" s="11">
        <v>4</v>
      </c>
      <c r="T224" s="11">
        <v>2</v>
      </c>
      <c r="U224" s="10">
        <v>3</v>
      </c>
      <c r="V224" s="6">
        <f t="shared" si="25"/>
        <v>17.301627166339891</v>
      </c>
      <c r="W224" s="6">
        <f t="shared" si="26"/>
        <v>16.841984274646851</v>
      </c>
      <c r="X224" s="6">
        <f t="shared" si="27"/>
        <v>13.24562904100828</v>
      </c>
      <c r="Y224" s="6">
        <f t="shared" si="28"/>
        <v>28.267397970329824</v>
      </c>
      <c r="Z224" s="6">
        <f t="shared" si="29"/>
        <v>24.808785250796806</v>
      </c>
      <c r="AA224" s="6">
        <f t="shared" si="30"/>
        <v>25.096823920905571</v>
      </c>
      <c r="AB224" s="6">
        <f t="shared" si="31"/>
        <v>13.24562904100828</v>
      </c>
      <c r="AC224" s="6">
        <f t="shared" si="32"/>
        <v>3</v>
      </c>
    </row>
    <row r="225" spans="1:29">
      <c r="A225" s="11">
        <v>224</v>
      </c>
      <c r="B225" s="12">
        <v>3</v>
      </c>
      <c r="C225" s="11">
        <v>2</v>
      </c>
      <c r="D225" s="11">
        <v>2</v>
      </c>
      <c r="E225" s="11">
        <v>2</v>
      </c>
      <c r="F225" s="11">
        <v>3</v>
      </c>
      <c r="G225" s="11">
        <v>4</v>
      </c>
      <c r="H225" s="11">
        <v>2</v>
      </c>
      <c r="I225" s="11">
        <v>2</v>
      </c>
      <c r="J225" s="11">
        <v>1</v>
      </c>
      <c r="K225" s="11">
        <v>4</v>
      </c>
      <c r="L225" s="11">
        <v>2</v>
      </c>
      <c r="M225" s="11">
        <v>2</v>
      </c>
      <c r="N225" s="11">
        <v>2</v>
      </c>
      <c r="O225" s="11">
        <v>1</v>
      </c>
      <c r="P225" s="11">
        <v>4</v>
      </c>
      <c r="Q225" s="11">
        <v>2</v>
      </c>
      <c r="R225" s="11">
        <v>2</v>
      </c>
      <c r="S225" s="11">
        <v>2</v>
      </c>
      <c r="T225" s="11">
        <v>3</v>
      </c>
      <c r="U225" s="10">
        <v>2</v>
      </c>
      <c r="V225" s="6">
        <f t="shared" si="25"/>
        <v>38.028771583397528</v>
      </c>
      <c r="W225" s="6">
        <f t="shared" si="26"/>
        <v>17.734106811040697</v>
      </c>
      <c r="X225" s="6">
        <f t="shared" si="27"/>
        <v>20.287265953632378</v>
      </c>
      <c r="Y225" s="6">
        <f t="shared" si="28"/>
        <v>20.222774257404044</v>
      </c>
      <c r="Z225" s="6">
        <f t="shared" si="29"/>
        <v>21.608819854263547</v>
      </c>
      <c r="AA225" s="6">
        <f t="shared" si="30"/>
        <v>12.385792552595985</v>
      </c>
      <c r="AB225" s="6">
        <f t="shared" si="31"/>
        <v>12.385792552595985</v>
      </c>
      <c r="AC225" s="6">
        <f t="shared" si="32"/>
        <v>6</v>
      </c>
    </row>
    <row r="226" spans="1:29">
      <c r="A226" s="11">
        <v>225</v>
      </c>
      <c r="B226" s="12">
        <v>2</v>
      </c>
      <c r="C226" s="11">
        <v>2</v>
      </c>
      <c r="D226" s="11">
        <v>2</v>
      </c>
      <c r="E226" s="11">
        <v>2</v>
      </c>
      <c r="F226" s="11">
        <v>2</v>
      </c>
      <c r="G226" s="11">
        <v>5</v>
      </c>
      <c r="H226" s="11">
        <v>2</v>
      </c>
      <c r="I226" s="11">
        <v>2</v>
      </c>
      <c r="J226" s="11">
        <v>2</v>
      </c>
      <c r="K226" s="11">
        <v>2</v>
      </c>
      <c r="L226" s="11">
        <v>2</v>
      </c>
      <c r="M226" s="11">
        <v>2</v>
      </c>
      <c r="N226" s="11">
        <v>2</v>
      </c>
      <c r="O226" s="11">
        <v>5</v>
      </c>
      <c r="P226" s="11">
        <v>5</v>
      </c>
      <c r="Q226" s="11">
        <v>2</v>
      </c>
      <c r="R226" s="11">
        <v>5</v>
      </c>
      <c r="S226" s="11">
        <v>2</v>
      </c>
      <c r="T226" s="11">
        <v>5</v>
      </c>
      <c r="U226" s="10">
        <v>2</v>
      </c>
      <c r="V226" s="6">
        <f t="shared" si="25"/>
        <v>48.301526232247845</v>
      </c>
      <c r="W226" s="6">
        <f t="shared" si="26"/>
        <v>37.703346892253926</v>
      </c>
      <c r="X226" s="6">
        <f t="shared" si="27"/>
        <v>29.620735089696364</v>
      </c>
      <c r="Y226" s="6">
        <f t="shared" si="28"/>
        <v>25.200463487951875</v>
      </c>
      <c r="Z226" s="6">
        <f t="shared" si="29"/>
        <v>33.009054234899018</v>
      </c>
      <c r="AA226" s="6">
        <f t="shared" si="30"/>
        <v>21.674545321259984</v>
      </c>
      <c r="AB226" s="6">
        <f t="shared" si="31"/>
        <v>21.674545321259984</v>
      </c>
      <c r="AC226" s="6">
        <f t="shared" si="32"/>
        <v>6</v>
      </c>
    </row>
    <row r="227" spans="1:29">
      <c r="A227" s="11">
        <v>226</v>
      </c>
      <c r="B227" s="12">
        <v>4</v>
      </c>
      <c r="C227" s="11">
        <v>2</v>
      </c>
      <c r="D227" s="11">
        <v>2</v>
      </c>
      <c r="E227" s="11">
        <v>1</v>
      </c>
      <c r="F227" s="11">
        <v>4</v>
      </c>
      <c r="G227" s="11">
        <v>3</v>
      </c>
      <c r="H227" s="11">
        <v>3</v>
      </c>
      <c r="I227" s="11">
        <v>2</v>
      </c>
      <c r="J227" s="11">
        <v>2</v>
      </c>
      <c r="K227" s="11">
        <v>3</v>
      </c>
      <c r="L227" s="11">
        <v>2</v>
      </c>
      <c r="M227" s="11">
        <v>2</v>
      </c>
      <c r="N227" s="11">
        <v>2</v>
      </c>
      <c r="O227" s="11">
        <v>4</v>
      </c>
      <c r="P227" s="11">
        <v>3</v>
      </c>
      <c r="Q227" s="11">
        <v>2</v>
      </c>
      <c r="R227" s="11">
        <v>3</v>
      </c>
      <c r="S227" s="11">
        <v>5</v>
      </c>
      <c r="T227" s="11">
        <v>3</v>
      </c>
      <c r="U227" s="10">
        <v>5</v>
      </c>
      <c r="V227" s="6">
        <f t="shared" si="25"/>
        <v>29.937954523874026</v>
      </c>
      <c r="W227" s="6">
        <f t="shared" si="26"/>
        <v>17.611196544970962</v>
      </c>
      <c r="X227" s="6">
        <f t="shared" si="27"/>
        <v>18.745622538018363</v>
      </c>
      <c r="Y227" s="6">
        <f t="shared" si="28"/>
        <v>19.734119972064899</v>
      </c>
      <c r="Z227" s="6">
        <f t="shared" si="29"/>
        <v>14.666093634889842</v>
      </c>
      <c r="AA227" s="6">
        <f t="shared" si="30"/>
        <v>27.185723540281522</v>
      </c>
      <c r="AB227" s="6">
        <f t="shared" si="31"/>
        <v>14.666093634889842</v>
      </c>
      <c r="AC227" s="6">
        <f t="shared" si="32"/>
        <v>5</v>
      </c>
    </row>
    <row r="228" spans="1:29">
      <c r="A228" s="11">
        <v>227</v>
      </c>
      <c r="B228" s="12">
        <v>3</v>
      </c>
      <c r="C228" s="11">
        <v>2</v>
      </c>
      <c r="D228" s="11">
        <v>1</v>
      </c>
      <c r="E228" s="11">
        <v>4</v>
      </c>
      <c r="F228" s="11">
        <v>3</v>
      </c>
      <c r="G228" s="11">
        <v>4</v>
      </c>
      <c r="H228" s="11">
        <v>2</v>
      </c>
      <c r="I228" s="11">
        <v>2</v>
      </c>
      <c r="J228" s="11">
        <v>2</v>
      </c>
      <c r="K228" s="11">
        <v>2</v>
      </c>
      <c r="L228" s="11">
        <v>1</v>
      </c>
      <c r="M228" s="11">
        <v>4</v>
      </c>
      <c r="N228" s="11">
        <v>3</v>
      </c>
      <c r="O228" s="11">
        <v>2</v>
      </c>
      <c r="P228" s="11">
        <v>3</v>
      </c>
      <c r="Q228" s="11">
        <v>4</v>
      </c>
      <c r="R228" s="11">
        <v>3</v>
      </c>
      <c r="S228" s="11">
        <v>2</v>
      </c>
      <c r="T228" s="11">
        <v>3</v>
      </c>
      <c r="U228" s="10">
        <v>4</v>
      </c>
      <c r="V228" s="6">
        <f t="shared" si="25"/>
        <v>31.210568539509058</v>
      </c>
      <c r="W228" s="6">
        <f t="shared" si="26"/>
        <v>13.564976773535301</v>
      </c>
      <c r="X228" s="6">
        <f t="shared" si="27"/>
        <v>22.578941123551921</v>
      </c>
      <c r="Y228" s="6">
        <f t="shared" si="28"/>
        <v>20.244983412417067</v>
      </c>
      <c r="Z228" s="6">
        <f t="shared" si="29"/>
        <v>23.980221702191407</v>
      </c>
      <c r="AA228" s="6">
        <f t="shared" si="30"/>
        <v>20.741347536040109</v>
      </c>
      <c r="AB228" s="6">
        <f t="shared" si="31"/>
        <v>13.564976773535301</v>
      </c>
      <c r="AC228" s="6">
        <f t="shared" si="32"/>
        <v>2</v>
      </c>
    </row>
    <row r="229" spans="1:29">
      <c r="A229" s="11">
        <v>228</v>
      </c>
      <c r="B229" s="12">
        <v>2</v>
      </c>
      <c r="C229" s="11">
        <v>2</v>
      </c>
      <c r="D229" s="11">
        <v>3</v>
      </c>
      <c r="E229" s="11">
        <v>3</v>
      </c>
      <c r="F229" s="11">
        <v>5</v>
      </c>
      <c r="G229" s="11">
        <v>4</v>
      </c>
      <c r="H229" s="11">
        <v>3</v>
      </c>
      <c r="I229" s="11">
        <v>2</v>
      </c>
      <c r="J229" s="11">
        <v>2</v>
      </c>
      <c r="K229" s="11">
        <v>3</v>
      </c>
      <c r="L229" s="11">
        <v>2</v>
      </c>
      <c r="M229" s="11">
        <v>2</v>
      </c>
      <c r="N229" s="11">
        <v>2</v>
      </c>
      <c r="O229" s="11">
        <v>4</v>
      </c>
      <c r="P229" s="11">
        <v>4</v>
      </c>
      <c r="Q229" s="11">
        <v>3</v>
      </c>
      <c r="R229" s="11">
        <v>2</v>
      </c>
      <c r="S229" s="11">
        <v>4</v>
      </c>
      <c r="T229" s="11">
        <v>3</v>
      </c>
      <c r="U229" s="10">
        <v>5</v>
      </c>
      <c r="V229" s="6">
        <f t="shared" si="25"/>
        <v>20.210690582369562</v>
      </c>
      <c r="W229" s="6">
        <f t="shared" si="26"/>
        <v>15.288137991296662</v>
      </c>
      <c r="X229" s="6">
        <f t="shared" si="27"/>
        <v>15.912290242165858</v>
      </c>
      <c r="Y229" s="6">
        <f t="shared" si="28"/>
        <v>23.756027693576524</v>
      </c>
      <c r="Z229" s="6">
        <f t="shared" si="29"/>
        <v>7.6660941318876343</v>
      </c>
      <c r="AA229" s="6">
        <f t="shared" si="30"/>
        <v>26.030229988875117</v>
      </c>
      <c r="AB229" s="6">
        <f t="shared" si="31"/>
        <v>7.6660941318876343</v>
      </c>
      <c r="AC229" s="6">
        <f t="shared" si="32"/>
        <v>5</v>
      </c>
    </row>
    <row r="230" spans="1:29">
      <c r="A230" s="11">
        <v>229</v>
      </c>
      <c r="B230" s="12">
        <v>3</v>
      </c>
      <c r="C230" s="11">
        <v>2</v>
      </c>
      <c r="D230" s="11">
        <v>1</v>
      </c>
      <c r="E230" s="11">
        <v>2</v>
      </c>
      <c r="F230" s="11">
        <v>2</v>
      </c>
      <c r="G230" s="11">
        <v>1</v>
      </c>
      <c r="H230" s="11">
        <v>3</v>
      </c>
      <c r="I230" s="11">
        <v>2</v>
      </c>
      <c r="J230" s="11">
        <v>2</v>
      </c>
      <c r="K230" s="11">
        <v>2</v>
      </c>
      <c r="L230" s="11">
        <v>3</v>
      </c>
      <c r="M230" s="11">
        <v>3</v>
      </c>
      <c r="N230" s="11">
        <v>3</v>
      </c>
      <c r="O230" s="11">
        <v>4</v>
      </c>
      <c r="P230" s="11">
        <v>4</v>
      </c>
      <c r="Q230" s="11">
        <v>1</v>
      </c>
      <c r="R230" s="11">
        <v>2</v>
      </c>
      <c r="S230" s="11">
        <v>1</v>
      </c>
      <c r="T230" s="11">
        <v>3</v>
      </c>
      <c r="U230" s="10">
        <v>3</v>
      </c>
      <c r="V230" s="6">
        <f t="shared" si="25"/>
        <v>47.93782732805122</v>
      </c>
      <c r="W230" s="6">
        <f t="shared" si="26"/>
        <v>18.872537118103686</v>
      </c>
      <c r="X230" s="6">
        <f t="shared" si="27"/>
        <v>22.078888778003737</v>
      </c>
      <c r="Y230" s="6">
        <f t="shared" si="28"/>
        <v>11.911745324807319</v>
      </c>
      <c r="Z230" s="6">
        <f t="shared" si="29"/>
        <v>26.523229449336537</v>
      </c>
      <c r="AA230" s="6">
        <f t="shared" si="30"/>
        <v>13.78558190337043</v>
      </c>
      <c r="AB230" s="6">
        <f t="shared" si="31"/>
        <v>11.911745324807319</v>
      </c>
      <c r="AC230" s="6">
        <f t="shared" si="32"/>
        <v>4</v>
      </c>
    </row>
    <row r="231" spans="1:29">
      <c r="A231" s="11">
        <v>230</v>
      </c>
      <c r="B231" s="12">
        <v>2</v>
      </c>
      <c r="C231" s="11">
        <v>4</v>
      </c>
      <c r="D231" s="11">
        <v>1</v>
      </c>
      <c r="E231" s="11">
        <v>3</v>
      </c>
      <c r="F231" s="11">
        <v>5</v>
      </c>
      <c r="G231" s="11">
        <v>2</v>
      </c>
      <c r="H231" s="11">
        <v>3</v>
      </c>
      <c r="I231" s="11">
        <v>1</v>
      </c>
      <c r="J231" s="11">
        <v>1</v>
      </c>
      <c r="K231" s="11">
        <v>3</v>
      </c>
      <c r="L231" s="11">
        <v>1</v>
      </c>
      <c r="M231" s="11">
        <v>1</v>
      </c>
      <c r="N231" s="11">
        <v>5</v>
      </c>
      <c r="O231" s="11">
        <v>5</v>
      </c>
      <c r="P231" s="11">
        <v>4</v>
      </c>
      <c r="Q231" s="11">
        <v>5</v>
      </c>
      <c r="R231" s="11">
        <v>1</v>
      </c>
      <c r="S231" s="11">
        <v>2</v>
      </c>
      <c r="T231" s="11">
        <v>1</v>
      </c>
      <c r="U231" s="10">
        <v>5</v>
      </c>
      <c r="V231" s="6">
        <f t="shared" si="25"/>
        <v>65.028880460698289</v>
      </c>
      <c r="W231" s="6">
        <f t="shared" si="26"/>
        <v>40.103474614960668</v>
      </c>
      <c r="X231" s="6">
        <f t="shared" si="27"/>
        <v>50.912236536316101</v>
      </c>
      <c r="Y231" s="6">
        <f t="shared" si="28"/>
        <v>54.089782610514007</v>
      </c>
      <c r="Z231" s="6">
        <f t="shared" si="29"/>
        <v>33.066176507281867</v>
      </c>
      <c r="AA231" s="6">
        <f t="shared" si="30"/>
        <v>45.474567299066479</v>
      </c>
      <c r="AB231" s="6">
        <f t="shared" si="31"/>
        <v>33.066176507281867</v>
      </c>
      <c r="AC231" s="6">
        <f t="shared" si="32"/>
        <v>5</v>
      </c>
    </row>
    <row r="232" spans="1:29">
      <c r="A232" s="11">
        <v>231</v>
      </c>
      <c r="B232" s="12">
        <v>2</v>
      </c>
      <c r="C232" s="11">
        <v>3</v>
      </c>
      <c r="D232" s="11">
        <v>3</v>
      </c>
      <c r="E232" s="11">
        <v>3</v>
      </c>
      <c r="F232" s="11">
        <v>3</v>
      </c>
      <c r="G232" s="11">
        <v>2</v>
      </c>
      <c r="H232" s="11">
        <v>3</v>
      </c>
      <c r="I232" s="11">
        <v>4</v>
      </c>
      <c r="J232" s="11">
        <v>3</v>
      </c>
      <c r="K232" s="11">
        <v>5</v>
      </c>
      <c r="L232" s="11">
        <v>3</v>
      </c>
      <c r="M232" s="11">
        <v>2</v>
      </c>
      <c r="N232" s="11">
        <v>3</v>
      </c>
      <c r="O232" s="11">
        <v>3</v>
      </c>
      <c r="P232" s="11">
        <v>4</v>
      </c>
      <c r="Q232" s="11">
        <v>2</v>
      </c>
      <c r="R232" s="11">
        <v>3</v>
      </c>
      <c r="S232" s="11">
        <v>4</v>
      </c>
      <c r="T232" s="11">
        <v>3</v>
      </c>
      <c r="U232" s="10">
        <v>4</v>
      </c>
      <c r="V232" s="6">
        <f t="shared" si="25"/>
        <v>16.21063852223822</v>
      </c>
      <c r="W232" s="6">
        <f t="shared" si="26"/>
        <v>21.534278089826493</v>
      </c>
      <c r="X232" s="6">
        <f t="shared" si="27"/>
        <v>6.7873546729657814</v>
      </c>
      <c r="Y232" s="6">
        <f t="shared" si="28"/>
        <v>25.267322356173249</v>
      </c>
      <c r="Z232" s="6">
        <f t="shared" si="29"/>
        <v>21.123175333363438</v>
      </c>
      <c r="AA232" s="6">
        <f t="shared" si="30"/>
        <v>27.496876910177075</v>
      </c>
      <c r="AB232" s="6">
        <f t="shared" si="31"/>
        <v>6.7873546729657814</v>
      </c>
      <c r="AC232" s="6">
        <f t="shared" si="32"/>
        <v>3</v>
      </c>
    </row>
    <row r="233" spans="1:29">
      <c r="A233" s="11">
        <v>232</v>
      </c>
      <c r="B233" s="12">
        <v>4</v>
      </c>
      <c r="C233" s="11">
        <v>1</v>
      </c>
      <c r="D233" s="11">
        <v>1</v>
      </c>
      <c r="E233" s="11">
        <v>3</v>
      </c>
      <c r="F233" s="11">
        <v>1</v>
      </c>
      <c r="G233" s="11">
        <v>4</v>
      </c>
      <c r="H233" s="11">
        <v>3</v>
      </c>
      <c r="I233" s="11">
        <v>2</v>
      </c>
      <c r="J233" s="11">
        <v>3</v>
      </c>
      <c r="K233" s="11">
        <v>3</v>
      </c>
      <c r="L233" s="11">
        <v>2</v>
      </c>
      <c r="M233" s="11">
        <v>3</v>
      </c>
      <c r="N233" s="11">
        <v>3</v>
      </c>
      <c r="O233" s="11">
        <v>4</v>
      </c>
      <c r="P233" s="11">
        <v>5</v>
      </c>
      <c r="Q233" s="11">
        <v>1</v>
      </c>
      <c r="R233" s="11">
        <v>3</v>
      </c>
      <c r="S233" s="11">
        <v>2</v>
      </c>
      <c r="T233" s="11">
        <v>3</v>
      </c>
      <c r="U233" s="10">
        <v>2</v>
      </c>
      <c r="V233" s="6">
        <f t="shared" si="25"/>
        <v>42.483311663593568</v>
      </c>
      <c r="W233" s="6">
        <f t="shared" si="26"/>
        <v>27.395629544067628</v>
      </c>
      <c r="X233" s="6">
        <f t="shared" si="27"/>
        <v>24.995633310699731</v>
      </c>
      <c r="Y233" s="6">
        <f t="shared" si="28"/>
        <v>17.911565855545106</v>
      </c>
      <c r="Z233" s="6">
        <f t="shared" si="29"/>
        <v>26.437500129386539</v>
      </c>
      <c r="AA233" s="6">
        <f t="shared" si="30"/>
        <v>11.185670301706852</v>
      </c>
      <c r="AB233" s="6">
        <f t="shared" si="31"/>
        <v>11.185670301706852</v>
      </c>
      <c r="AC233" s="6">
        <f t="shared" si="32"/>
        <v>6</v>
      </c>
    </row>
    <row r="234" spans="1:29">
      <c r="A234" s="11">
        <v>233</v>
      </c>
      <c r="B234" s="12">
        <v>3</v>
      </c>
      <c r="C234" s="11">
        <v>1</v>
      </c>
      <c r="D234" s="11">
        <v>1</v>
      </c>
      <c r="E234" s="11">
        <v>4</v>
      </c>
      <c r="F234" s="11">
        <v>5</v>
      </c>
      <c r="G234" s="11">
        <v>5</v>
      </c>
      <c r="H234" s="11">
        <v>4</v>
      </c>
      <c r="I234" s="11">
        <v>1</v>
      </c>
      <c r="J234" s="11">
        <v>1</v>
      </c>
      <c r="K234" s="11">
        <v>2</v>
      </c>
      <c r="L234" s="11">
        <v>2</v>
      </c>
      <c r="M234" s="11">
        <v>2</v>
      </c>
      <c r="N234" s="11">
        <v>3</v>
      </c>
      <c r="O234" s="11">
        <v>4</v>
      </c>
      <c r="P234" s="11">
        <v>4</v>
      </c>
      <c r="Q234" s="11">
        <v>5</v>
      </c>
      <c r="R234" s="11">
        <v>2</v>
      </c>
      <c r="S234" s="11">
        <v>1</v>
      </c>
      <c r="T234" s="11">
        <v>1</v>
      </c>
      <c r="U234" s="10">
        <v>4</v>
      </c>
      <c r="V234" s="6">
        <f t="shared" si="25"/>
        <v>53.11972403714725</v>
      </c>
      <c r="W234" s="6">
        <f t="shared" si="26"/>
        <v>31.672655752218578</v>
      </c>
      <c r="X234" s="6">
        <f t="shared" si="27"/>
        <v>47.703895734183078</v>
      </c>
      <c r="Y234" s="6">
        <f t="shared" si="28"/>
        <v>46.667107855786071</v>
      </c>
      <c r="Z234" s="6">
        <f t="shared" si="29"/>
        <v>27.780363138003413</v>
      </c>
      <c r="AA234" s="6">
        <f t="shared" si="30"/>
        <v>32.474679960478497</v>
      </c>
      <c r="AB234" s="6">
        <f t="shared" si="31"/>
        <v>27.780363138003413</v>
      </c>
      <c r="AC234" s="6">
        <f t="shared" si="32"/>
        <v>5</v>
      </c>
    </row>
    <row r="235" spans="1:29">
      <c r="A235" s="11">
        <v>234</v>
      </c>
      <c r="B235" s="12">
        <v>2</v>
      </c>
      <c r="C235" s="11">
        <v>2</v>
      </c>
      <c r="D235" s="11">
        <v>2</v>
      </c>
      <c r="E235" s="11">
        <v>4</v>
      </c>
      <c r="F235" s="11">
        <v>3</v>
      </c>
      <c r="G235" s="11">
        <v>4</v>
      </c>
      <c r="H235" s="11">
        <v>3</v>
      </c>
      <c r="I235" s="11">
        <v>2</v>
      </c>
      <c r="J235" s="11">
        <v>2</v>
      </c>
      <c r="K235" s="11">
        <v>3</v>
      </c>
      <c r="L235" s="11">
        <v>2</v>
      </c>
      <c r="M235" s="11">
        <v>2</v>
      </c>
      <c r="N235" s="11">
        <v>4</v>
      </c>
      <c r="O235" s="11">
        <v>4</v>
      </c>
      <c r="P235" s="11">
        <v>4</v>
      </c>
      <c r="Q235" s="11">
        <v>2</v>
      </c>
      <c r="R235" s="11">
        <v>2</v>
      </c>
      <c r="S235" s="11">
        <v>3</v>
      </c>
      <c r="T235" s="11">
        <v>2</v>
      </c>
      <c r="U235" s="10">
        <v>2</v>
      </c>
      <c r="V235" s="6">
        <f t="shared" si="25"/>
        <v>25.847009394161688</v>
      </c>
      <c r="W235" s="6">
        <f t="shared" si="26"/>
        <v>15.04182834448252</v>
      </c>
      <c r="X235" s="6">
        <f t="shared" si="27"/>
        <v>15.70395529148202</v>
      </c>
      <c r="Y235" s="6">
        <f t="shared" si="28"/>
        <v>17.089285523680321</v>
      </c>
      <c r="Z235" s="6">
        <f t="shared" si="29"/>
        <v>9.6089369821847548</v>
      </c>
      <c r="AA235" s="6">
        <f t="shared" si="30"/>
        <v>8.4968564219218834</v>
      </c>
      <c r="AB235" s="6">
        <f t="shared" si="31"/>
        <v>8.4968564219218834</v>
      </c>
      <c r="AC235" s="6">
        <f t="shared" si="32"/>
        <v>6</v>
      </c>
    </row>
    <row r="236" spans="1:29">
      <c r="A236" s="11">
        <v>235</v>
      </c>
      <c r="B236" s="12">
        <v>3</v>
      </c>
      <c r="C236" s="11">
        <v>2</v>
      </c>
      <c r="D236" s="11">
        <v>2</v>
      </c>
      <c r="E236" s="11">
        <v>2</v>
      </c>
      <c r="F236" s="11">
        <v>3</v>
      </c>
      <c r="G236" s="11">
        <v>5</v>
      </c>
      <c r="H236" s="11">
        <v>2</v>
      </c>
      <c r="I236" s="11">
        <v>2</v>
      </c>
      <c r="J236" s="11">
        <v>2</v>
      </c>
      <c r="K236" s="11">
        <v>3</v>
      </c>
      <c r="L236" s="11">
        <v>3</v>
      </c>
      <c r="M236" s="11">
        <v>1</v>
      </c>
      <c r="N236" s="11">
        <v>3</v>
      </c>
      <c r="O236" s="11">
        <v>4</v>
      </c>
      <c r="P236" s="11">
        <v>4</v>
      </c>
      <c r="Q236" s="11">
        <v>1</v>
      </c>
      <c r="R236" s="11">
        <v>1</v>
      </c>
      <c r="S236" s="11">
        <v>2</v>
      </c>
      <c r="T236" s="11">
        <v>2</v>
      </c>
      <c r="U236" s="10">
        <v>2</v>
      </c>
      <c r="V236" s="6">
        <f t="shared" si="25"/>
        <v>41.210605542989768</v>
      </c>
      <c r="W236" s="6">
        <f t="shared" si="26"/>
        <v>23.057151479525629</v>
      </c>
      <c r="X236" s="6">
        <f t="shared" si="27"/>
        <v>26.245590133622223</v>
      </c>
      <c r="Y236" s="6">
        <f t="shared" si="28"/>
        <v>23.956157383980518</v>
      </c>
      <c r="Z236" s="6">
        <f t="shared" si="29"/>
        <v>16.437514070402006</v>
      </c>
      <c r="AA236" s="6">
        <f t="shared" si="30"/>
        <v>12.674624583450148</v>
      </c>
      <c r="AB236" s="6">
        <f t="shared" si="31"/>
        <v>12.674624583450148</v>
      </c>
      <c r="AC236" s="6">
        <f t="shared" si="32"/>
        <v>6</v>
      </c>
    </row>
    <row r="237" spans="1:29">
      <c r="A237" s="11">
        <v>236</v>
      </c>
      <c r="B237" s="12">
        <v>2</v>
      </c>
      <c r="C237" s="11">
        <v>2</v>
      </c>
      <c r="D237" s="11">
        <v>1</v>
      </c>
      <c r="E237" s="11">
        <v>2</v>
      </c>
      <c r="F237" s="11">
        <v>2</v>
      </c>
      <c r="G237" s="11">
        <v>2</v>
      </c>
      <c r="H237" s="11">
        <v>1</v>
      </c>
      <c r="I237" s="11">
        <v>1</v>
      </c>
      <c r="J237" s="11">
        <v>1</v>
      </c>
      <c r="K237" s="11">
        <v>1</v>
      </c>
      <c r="L237" s="11">
        <v>2</v>
      </c>
      <c r="M237" s="11">
        <v>2</v>
      </c>
      <c r="N237" s="11">
        <v>3</v>
      </c>
      <c r="O237" s="11">
        <v>2</v>
      </c>
      <c r="P237" s="11">
        <v>1</v>
      </c>
      <c r="Q237" s="11">
        <v>2</v>
      </c>
      <c r="R237" s="11">
        <v>3</v>
      </c>
      <c r="S237" s="11">
        <v>2</v>
      </c>
      <c r="T237" s="11">
        <v>1</v>
      </c>
      <c r="U237" s="10">
        <v>2</v>
      </c>
      <c r="V237" s="6">
        <f t="shared" si="25"/>
        <v>69.483204814209174</v>
      </c>
      <c r="W237" s="6">
        <f t="shared" si="26"/>
        <v>23.33403298682035</v>
      </c>
      <c r="X237" s="6">
        <f t="shared" si="27"/>
        <v>42.162225913297874</v>
      </c>
      <c r="Y237" s="6">
        <f t="shared" si="28"/>
        <v>25.422821157027535</v>
      </c>
      <c r="Z237" s="6">
        <f t="shared" si="29"/>
        <v>41.665934479805401</v>
      </c>
      <c r="AA237" s="6">
        <f t="shared" si="30"/>
        <v>28.830159048814583</v>
      </c>
      <c r="AB237" s="6">
        <f t="shared" si="31"/>
        <v>23.33403298682035</v>
      </c>
      <c r="AC237" s="6">
        <f t="shared" si="32"/>
        <v>2</v>
      </c>
    </row>
    <row r="238" spans="1:29">
      <c r="A238" s="11">
        <v>237</v>
      </c>
      <c r="B238" s="12">
        <v>2</v>
      </c>
      <c r="C238" s="11">
        <v>2</v>
      </c>
      <c r="D238" s="11">
        <v>1</v>
      </c>
      <c r="E238" s="11">
        <v>3</v>
      </c>
      <c r="F238" s="11">
        <v>3</v>
      </c>
      <c r="G238" s="11">
        <v>4</v>
      </c>
      <c r="H238" s="11">
        <v>4</v>
      </c>
      <c r="I238" s="11">
        <v>5</v>
      </c>
      <c r="J238" s="11">
        <v>4</v>
      </c>
      <c r="K238" s="11">
        <v>4</v>
      </c>
      <c r="L238" s="11">
        <v>2</v>
      </c>
      <c r="M238" s="11">
        <v>2</v>
      </c>
      <c r="N238" s="11">
        <v>3</v>
      </c>
      <c r="O238" s="11">
        <v>4</v>
      </c>
      <c r="P238" s="11">
        <v>4</v>
      </c>
      <c r="Q238" s="11">
        <v>3</v>
      </c>
      <c r="R238" s="11">
        <v>3</v>
      </c>
      <c r="S238" s="11">
        <v>3</v>
      </c>
      <c r="T238" s="11">
        <v>2</v>
      </c>
      <c r="U238" s="10">
        <v>2</v>
      </c>
      <c r="V238" s="6">
        <f t="shared" si="25"/>
        <v>28.301480296060078</v>
      </c>
      <c r="W238" s="6">
        <f t="shared" si="26"/>
        <v>30.764972641779426</v>
      </c>
      <c r="X238" s="6">
        <f t="shared" si="27"/>
        <v>16.120697009941157</v>
      </c>
      <c r="Y238" s="6">
        <f t="shared" si="28"/>
        <v>31.889453971443164</v>
      </c>
      <c r="Z238" s="6">
        <f t="shared" si="29"/>
        <v>25.637540021734466</v>
      </c>
      <c r="AA238" s="6">
        <f t="shared" si="30"/>
        <v>22.163524517384271</v>
      </c>
      <c r="AB238" s="6">
        <f t="shared" si="31"/>
        <v>16.120697009941157</v>
      </c>
      <c r="AC238" s="6">
        <f t="shared" si="32"/>
        <v>3</v>
      </c>
    </row>
    <row r="239" spans="1:29">
      <c r="A239" s="11">
        <v>238</v>
      </c>
      <c r="B239" s="12">
        <v>2</v>
      </c>
      <c r="C239" s="11">
        <v>3</v>
      </c>
      <c r="D239" s="11">
        <v>2</v>
      </c>
      <c r="E239" s="11">
        <v>3</v>
      </c>
      <c r="F239" s="11">
        <v>2</v>
      </c>
      <c r="G239" s="11">
        <v>3</v>
      </c>
      <c r="H239" s="11">
        <v>2</v>
      </c>
      <c r="I239" s="11">
        <v>3</v>
      </c>
      <c r="J239" s="11">
        <v>2</v>
      </c>
      <c r="K239" s="11">
        <v>3</v>
      </c>
      <c r="L239" s="11">
        <v>2</v>
      </c>
      <c r="M239" s="11">
        <v>3</v>
      </c>
      <c r="N239" s="11">
        <v>2</v>
      </c>
      <c r="O239" s="11">
        <v>3</v>
      </c>
      <c r="P239" s="11">
        <v>2</v>
      </c>
      <c r="Q239" s="11">
        <v>3</v>
      </c>
      <c r="R239" s="11">
        <v>2</v>
      </c>
      <c r="S239" s="11">
        <v>3</v>
      </c>
      <c r="T239" s="11">
        <v>2</v>
      </c>
      <c r="U239" s="10">
        <v>3</v>
      </c>
      <c r="V239" s="6">
        <f t="shared" si="25"/>
        <v>27.75600234698285</v>
      </c>
      <c r="W239" s="6">
        <f t="shared" si="26"/>
        <v>7.2880271357833299</v>
      </c>
      <c r="X239" s="6">
        <f t="shared" si="27"/>
        <v>12.20394956198299</v>
      </c>
      <c r="Y239" s="6">
        <f t="shared" si="28"/>
        <v>14.245096252214299</v>
      </c>
      <c r="Z239" s="6">
        <f t="shared" si="29"/>
        <v>14.15173763237658</v>
      </c>
      <c r="AA239" s="6">
        <f t="shared" si="30"/>
        <v>15.27463902673942</v>
      </c>
      <c r="AB239" s="6">
        <f t="shared" si="31"/>
        <v>7.2880271357833299</v>
      </c>
      <c r="AC239" s="6">
        <f t="shared" si="32"/>
        <v>2</v>
      </c>
    </row>
    <row r="240" spans="1:29">
      <c r="A240" s="11">
        <v>239</v>
      </c>
      <c r="B240" s="12">
        <v>3</v>
      </c>
      <c r="C240" s="11">
        <v>3</v>
      </c>
      <c r="D240" s="11">
        <v>2</v>
      </c>
      <c r="E240" s="11">
        <v>4</v>
      </c>
      <c r="F240" s="11">
        <v>4</v>
      </c>
      <c r="G240" s="11">
        <v>3</v>
      </c>
      <c r="H240" s="11">
        <v>3</v>
      </c>
      <c r="I240" s="11">
        <v>2</v>
      </c>
      <c r="J240" s="11">
        <v>2</v>
      </c>
      <c r="K240" s="11">
        <v>2</v>
      </c>
      <c r="L240" s="11">
        <v>2</v>
      </c>
      <c r="M240" s="11">
        <v>2</v>
      </c>
      <c r="N240" s="11">
        <v>4</v>
      </c>
      <c r="O240" s="11">
        <v>4</v>
      </c>
      <c r="P240" s="11">
        <v>4</v>
      </c>
      <c r="Q240" s="11">
        <v>2</v>
      </c>
      <c r="R240" s="11">
        <v>2</v>
      </c>
      <c r="S240" s="11">
        <v>3</v>
      </c>
      <c r="T240" s="11">
        <v>4</v>
      </c>
      <c r="U240" s="10">
        <v>4</v>
      </c>
      <c r="V240" s="6">
        <f t="shared" si="25"/>
        <v>18.483415398720151</v>
      </c>
      <c r="W240" s="6">
        <f t="shared" si="26"/>
        <v>13.395757079349549</v>
      </c>
      <c r="X240" s="6">
        <f t="shared" si="27"/>
        <v>12.7455920215581</v>
      </c>
      <c r="Y240" s="6">
        <f t="shared" si="28"/>
        <v>16.578371869658319</v>
      </c>
      <c r="Z240" s="6">
        <f t="shared" si="29"/>
        <v>9.0660620538947487</v>
      </c>
      <c r="AA240" s="6">
        <f t="shared" si="30"/>
        <v>15.141267139757257</v>
      </c>
      <c r="AB240" s="6">
        <f t="shared" si="31"/>
        <v>9.0660620538947487</v>
      </c>
      <c r="AC240" s="6">
        <f t="shared" si="32"/>
        <v>5</v>
      </c>
    </row>
    <row r="241" spans="1:29">
      <c r="A241" s="11">
        <v>240</v>
      </c>
      <c r="B241" s="12">
        <v>3</v>
      </c>
      <c r="C241" s="11">
        <v>1</v>
      </c>
      <c r="D241" s="11">
        <v>1</v>
      </c>
      <c r="E241" s="11">
        <v>4</v>
      </c>
      <c r="F241" s="11">
        <v>3</v>
      </c>
      <c r="G241" s="11">
        <v>3</v>
      </c>
      <c r="H241" s="11">
        <v>1</v>
      </c>
      <c r="I241" s="11">
        <v>2</v>
      </c>
      <c r="J241" s="11">
        <v>2</v>
      </c>
      <c r="K241" s="11">
        <v>5</v>
      </c>
      <c r="L241" s="11">
        <v>2</v>
      </c>
      <c r="M241" s="11">
        <v>1</v>
      </c>
      <c r="N241" s="11">
        <v>4</v>
      </c>
      <c r="O241" s="11">
        <v>4</v>
      </c>
      <c r="P241" s="11">
        <v>5</v>
      </c>
      <c r="Q241" s="11">
        <v>5</v>
      </c>
      <c r="R241" s="11">
        <v>3</v>
      </c>
      <c r="S241" s="11">
        <v>1</v>
      </c>
      <c r="T241" s="11">
        <v>1</v>
      </c>
      <c r="U241" s="10">
        <v>3</v>
      </c>
      <c r="V241" s="6">
        <f t="shared" si="25"/>
        <v>58.574205554259692</v>
      </c>
      <c r="W241" s="6">
        <f t="shared" si="26"/>
        <v>38.857240290263952</v>
      </c>
      <c r="X241" s="6">
        <f t="shared" si="27"/>
        <v>38.579003170152042</v>
      </c>
      <c r="Y241" s="6">
        <f t="shared" si="28"/>
        <v>47.667184826073878</v>
      </c>
      <c r="Z241" s="6">
        <f t="shared" si="29"/>
        <v>34.866036896600974</v>
      </c>
      <c r="AA241" s="6">
        <f t="shared" si="30"/>
        <v>27.185727965875397</v>
      </c>
      <c r="AB241" s="6">
        <f t="shared" si="31"/>
        <v>27.185727965875397</v>
      </c>
      <c r="AC241" s="6">
        <f t="shared" si="32"/>
        <v>6</v>
      </c>
    </row>
    <row r="242" spans="1:29">
      <c r="A242" s="11">
        <v>241</v>
      </c>
      <c r="B242" s="12">
        <v>3</v>
      </c>
      <c r="C242" s="11">
        <v>2</v>
      </c>
      <c r="D242" s="11">
        <v>2</v>
      </c>
      <c r="E242" s="11">
        <v>2</v>
      </c>
      <c r="F242" s="11">
        <v>2</v>
      </c>
      <c r="G242" s="11">
        <v>4</v>
      </c>
      <c r="H242" s="11">
        <v>4</v>
      </c>
      <c r="I242" s="11">
        <v>3</v>
      </c>
      <c r="J242" s="11">
        <v>3</v>
      </c>
      <c r="K242" s="11">
        <v>2</v>
      </c>
      <c r="L242" s="11">
        <v>1</v>
      </c>
      <c r="M242" s="11">
        <v>3</v>
      </c>
      <c r="N242" s="11">
        <v>4</v>
      </c>
      <c r="O242" s="11">
        <v>1</v>
      </c>
      <c r="P242" s="11">
        <v>2</v>
      </c>
      <c r="Q242" s="11">
        <v>2</v>
      </c>
      <c r="R242" s="11">
        <v>2</v>
      </c>
      <c r="S242" s="11">
        <v>2</v>
      </c>
      <c r="T242" s="11">
        <v>4</v>
      </c>
      <c r="U242" s="10">
        <v>2</v>
      </c>
      <c r="V242" s="6">
        <f t="shared" si="25"/>
        <v>33.937812966646256</v>
      </c>
      <c r="W242" s="6">
        <f t="shared" si="26"/>
        <v>22.364904234662486</v>
      </c>
      <c r="X242" s="6">
        <f t="shared" si="27"/>
        <v>25.287243788563234</v>
      </c>
      <c r="Y242" s="6">
        <f t="shared" si="28"/>
        <v>19.311601606591463</v>
      </c>
      <c r="Z242" s="6">
        <f t="shared" si="29"/>
        <v>37.094494756856079</v>
      </c>
      <c r="AA242" s="6">
        <f t="shared" si="30"/>
        <v>23.785818049228499</v>
      </c>
      <c r="AB242" s="6">
        <f t="shared" si="31"/>
        <v>19.311601606591463</v>
      </c>
      <c r="AC242" s="6">
        <f t="shared" si="32"/>
        <v>4</v>
      </c>
    </row>
    <row r="243" spans="1:29">
      <c r="A243" s="11">
        <v>242</v>
      </c>
      <c r="B243" s="12">
        <v>2</v>
      </c>
      <c r="C243" s="11">
        <v>2</v>
      </c>
      <c r="D243" s="11">
        <v>3</v>
      </c>
      <c r="E243" s="11">
        <v>3</v>
      </c>
      <c r="F243" s="11">
        <v>3</v>
      </c>
      <c r="G243" s="11">
        <v>4</v>
      </c>
      <c r="H243" s="11">
        <v>3</v>
      </c>
      <c r="I243" s="11">
        <v>2</v>
      </c>
      <c r="J243" s="11">
        <v>3</v>
      </c>
      <c r="K243" s="11">
        <v>2</v>
      </c>
      <c r="L243" s="11">
        <v>3</v>
      </c>
      <c r="M243" s="11">
        <v>3</v>
      </c>
      <c r="N243" s="11">
        <v>3</v>
      </c>
      <c r="O243" s="11">
        <v>2</v>
      </c>
      <c r="P243" s="11">
        <v>2</v>
      </c>
      <c r="Q243" s="11">
        <v>3</v>
      </c>
      <c r="R243" s="11">
        <v>3</v>
      </c>
      <c r="S243" s="11">
        <v>3</v>
      </c>
      <c r="T243" s="11">
        <v>2</v>
      </c>
      <c r="U243" s="10">
        <v>3</v>
      </c>
      <c r="V243" s="6">
        <f t="shared" si="25"/>
        <v>16.574262618545173</v>
      </c>
      <c r="W243" s="6">
        <f t="shared" si="26"/>
        <v>8.2111436130179793</v>
      </c>
      <c r="X243" s="6">
        <f t="shared" si="27"/>
        <v>14.370620390099203</v>
      </c>
      <c r="Y243" s="6">
        <f t="shared" si="28"/>
        <v>17.044910411724072</v>
      </c>
      <c r="Z243" s="6">
        <f t="shared" si="29"/>
        <v>21.465910864477816</v>
      </c>
      <c r="AA243" s="6">
        <f t="shared" si="30"/>
        <v>20.763627235772482</v>
      </c>
      <c r="AB243" s="6">
        <f t="shared" si="31"/>
        <v>8.2111436130179793</v>
      </c>
      <c r="AC243" s="6">
        <f t="shared" si="32"/>
        <v>2</v>
      </c>
    </row>
    <row r="244" spans="1:29">
      <c r="A244" s="11">
        <v>243</v>
      </c>
      <c r="B244" s="12">
        <v>2</v>
      </c>
      <c r="C244" s="11">
        <v>3</v>
      </c>
      <c r="D244" s="11">
        <v>2</v>
      </c>
      <c r="E244" s="11">
        <v>3</v>
      </c>
      <c r="F244" s="11">
        <v>4</v>
      </c>
      <c r="G244" s="11">
        <v>3</v>
      </c>
      <c r="H244" s="11">
        <v>2</v>
      </c>
      <c r="I244" s="11">
        <v>3</v>
      </c>
      <c r="J244" s="11">
        <v>3</v>
      </c>
      <c r="K244" s="11">
        <v>4</v>
      </c>
      <c r="L244" s="11">
        <v>3</v>
      </c>
      <c r="M244" s="11">
        <v>2</v>
      </c>
      <c r="N244" s="11">
        <v>3</v>
      </c>
      <c r="O244" s="11">
        <v>4</v>
      </c>
      <c r="P244" s="11">
        <v>3</v>
      </c>
      <c r="Q244" s="11">
        <v>2</v>
      </c>
      <c r="R244" s="11">
        <v>3</v>
      </c>
      <c r="S244" s="11">
        <v>3</v>
      </c>
      <c r="T244" s="11">
        <v>2</v>
      </c>
      <c r="U244" s="10">
        <v>3</v>
      </c>
      <c r="V244" s="6">
        <f t="shared" si="25"/>
        <v>17.665187325081465</v>
      </c>
      <c r="W244" s="6">
        <f t="shared" si="26"/>
        <v>14.041900627640581</v>
      </c>
      <c r="X244" s="6">
        <f t="shared" si="27"/>
        <v>7.5789852437537215</v>
      </c>
      <c r="Y244" s="6">
        <f t="shared" si="28"/>
        <v>20.667373103958191</v>
      </c>
      <c r="Z244" s="6">
        <f t="shared" si="29"/>
        <v>12.38031519211944</v>
      </c>
      <c r="AA244" s="6">
        <f t="shared" si="30"/>
        <v>14.896845175310256</v>
      </c>
      <c r="AB244" s="6">
        <f t="shared" si="31"/>
        <v>7.5789852437537215</v>
      </c>
      <c r="AC244" s="6">
        <f t="shared" si="32"/>
        <v>3</v>
      </c>
    </row>
    <row r="245" spans="1:29">
      <c r="A245" s="11">
        <v>244</v>
      </c>
      <c r="B245" s="12">
        <v>4</v>
      </c>
      <c r="C245" s="11">
        <v>3</v>
      </c>
      <c r="D245" s="11">
        <v>2</v>
      </c>
      <c r="E245" s="11">
        <v>3</v>
      </c>
      <c r="F245" s="11">
        <v>3</v>
      </c>
      <c r="G245" s="11">
        <v>1</v>
      </c>
      <c r="H245" s="11">
        <v>1</v>
      </c>
      <c r="I245" s="11">
        <v>1</v>
      </c>
      <c r="J245" s="11">
        <v>2</v>
      </c>
      <c r="K245" s="11">
        <v>3</v>
      </c>
      <c r="L245" s="11">
        <v>2</v>
      </c>
      <c r="M245" s="11">
        <v>1</v>
      </c>
      <c r="N245" s="11">
        <v>1</v>
      </c>
      <c r="O245" s="11">
        <v>3</v>
      </c>
      <c r="P245" s="11">
        <v>3</v>
      </c>
      <c r="Q245" s="11">
        <v>2</v>
      </c>
      <c r="R245" s="11">
        <v>3</v>
      </c>
      <c r="S245" s="11">
        <v>2</v>
      </c>
      <c r="T245" s="11">
        <v>3</v>
      </c>
      <c r="U245" s="10">
        <v>2</v>
      </c>
      <c r="V245" s="6">
        <f t="shared" si="25"/>
        <v>46.665159650375458</v>
      </c>
      <c r="W245" s="6">
        <f t="shared" si="26"/>
        <v>20.749526789612514</v>
      </c>
      <c r="X245" s="6">
        <f t="shared" si="27"/>
        <v>24.412240408560308</v>
      </c>
      <c r="Y245" s="6">
        <f t="shared" si="28"/>
        <v>28.045104886384294</v>
      </c>
      <c r="Z245" s="6">
        <f t="shared" si="29"/>
        <v>24.923074388698222</v>
      </c>
      <c r="AA245" s="6">
        <f t="shared" si="30"/>
        <v>16.896755793857782</v>
      </c>
      <c r="AB245" s="6">
        <f t="shared" si="31"/>
        <v>16.896755793857782</v>
      </c>
      <c r="AC245" s="6">
        <f t="shared" si="32"/>
        <v>6</v>
      </c>
    </row>
    <row r="246" spans="1:29">
      <c r="A246" s="11">
        <v>245</v>
      </c>
      <c r="B246" s="12">
        <v>4</v>
      </c>
      <c r="C246" s="11">
        <v>1</v>
      </c>
      <c r="D246" s="11">
        <v>1</v>
      </c>
      <c r="E246" s="11">
        <v>3</v>
      </c>
      <c r="F246" s="11">
        <v>1</v>
      </c>
      <c r="G246" s="11">
        <v>4</v>
      </c>
      <c r="H246" s="11">
        <v>3</v>
      </c>
      <c r="I246" s="11">
        <v>2</v>
      </c>
      <c r="J246" s="11">
        <v>3</v>
      </c>
      <c r="K246" s="11">
        <v>3</v>
      </c>
      <c r="L246" s="11">
        <v>2</v>
      </c>
      <c r="M246" s="11">
        <v>3</v>
      </c>
      <c r="N246" s="11">
        <v>3</v>
      </c>
      <c r="O246" s="11">
        <v>4</v>
      </c>
      <c r="P246" s="11">
        <v>5</v>
      </c>
      <c r="Q246" s="11">
        <v>1</v>
      </c>
      <c r="R246" s="11">
        <v>3</v>
      </c>
      <c r="S246" s="11">
        <v>2</v>
      </c>
      <c r="T246" s="11">
        <v>3</v>
      </c>
      <c r="U246" s="10">
        <v>2</v>
      </c>
      <c r="V246" s="6">
        <f t="shared" si="25"/>
        <v>42.483311663593568</v>
      </c>
      <c r="W246" s="6">
        <f t="shared" si="26"/>
        <v>27.395629544067628</v>
      </c>
      <c r="X246" s="6">
        <f t="shared" si="27"/>
        <v>24.995633310699731</v>
      </c>
      <c r="Y246" s="6">
        <f t="shared" si="28"/>
        <v>17.911565855545106</v>
      </c>
      <c r="Z246" s="6">
        <f t="shared" si="29"/>
        <v>26.437500129386539</v>
      </c>
      <c r="AA246" s="6">
        <f t="shared" si="30"/>
        <v>11.185670301706852</v>
      </c>
      <c r="AB246" s="6">
        <f t="shared" si="31"/>
        <v>11.185670301706852</v>
      </c>
      <c r="AC246" s="6">
        <f t="shared" si="32"/>
        <v>6</v>
      </c>
    </row>
    <row r="247" spans="1:29">
      <c r="A247" s="11">
        <v>246</v>
      </c>
      <c r="B247" s="12">
        <v>4</v>
      </c>
      <c r="C247" s="11">
        <v>4</v>
      </c>
      <c r="D247" s="11">
        <v>4</v>
      </c>
      <c r="E247" s="11">
        <v>4</v>
      </c>
      <c r="F247" s="11">
        <v>3</v>
      </c>
      <c r="G247" s="11">
        <v>3</v>
      </c>
      <c r="H247" s="11">
        <v>3</v>
      </c>
      <c r="I247" s="11">
        <v>1</v>
      </c>
      <c r="J247" s="11">
        <v>3</v>
      </c>
      <c r="K247" s="11">
        <v>4</v>
      </c>
      <c r="L247" s="11">
        <v>2</v>
      </c>
      <c r="M247" s="11">
        <v>3</v>
      </c>
      <c r="N247" s="11">
        <v>3</v>
      </c>
      <c r="O247" s="11">
        <v>2</v>
      </c>
      <c r="P247" s="11">
        <v>4</v>
      </c>
      <c r="Q247" s="11">
        <v>3</v>
      </c>
      <c r="R247" s="11">
        <v>2</v>
      </c>
      <c r="S247" s="11">
        <v>3</v>
      </c>
      <c r="T247" s="11">
        <v>4</v>
      </c>
      <c r="U247" s="10">
        <v>3</v>
      </c>
      <c r="V247" s="6">
        <f t="shared" si="25"/>
        <v>14.301706576950288</v>
      </c>
      <c r="W247" s="6">
        <f t="shared" si="26"/>
        <v>19.626609376990867</v>
      </c>
      <c r="X247" s="6">
        <f t="shared" si="27"/>
        <v>18.245603795626909</v>
      </c>
      <c r="Y247" s="6">
        <f t="shared" si="28"/>
        <v>31.800625038358067</v>
      </c>
      <c r="Z247" s="6">
        <f t="shared" si="29"/>
        <v>23.723035820877115</v>
      </c>
      <c r="AA247" s="6">
        <f t="shared" si="30"/>
        <v>24.674688040014562</v>
      </c>
      <c r="AB247" s="6">
        <f t="shared" si="31"/>
        <v>14.301706576950288</v>
      </c>
      <c r="AC247" s="6">
        <f t="shared" si="32"/>
        <v>1</v>
      </c>
    </row>
    <row r="248" spans="1:29">
      <c r="A248" s="11">
        <v>247</v>
      </c>
      <c r="B248" s="12">
        <v>5</v>
      </c>
      <c r="C248" s="11">
        <v>2</v>
      </c>
      <c r="D248" s="11">
        <v>2</v>
      </c>
      <c r="E248" s="11">
        <v>2</v>
      </c>
      <c r="F248" s="11">
        <v>5</v>
      </c>
      <c r="G248" s="11">
        <v>4</v>
      </c>
      <c r="H248" s="11">
        <v>3</v>
      </c>
      <c r="I248" s="11">
        <v>2</v>
      </c>
      <c r="J248" s="11">
        <v>2</v>
      </c>
      <c r="K248" s="11">
        <v>2</v>
      </c>
      <c r="L248" s="11">
        <v>1</v>
      </c>
      <c r="M248" s="11">
        <v>1</v>
      </c>
      <c r="N248" s="11">
        <v>1</v>
      </c>
      <c r="O248" s="11">
        <v>4</v>
      </c>
      <c r="P248" s="11">
        <v>3</v>
      </c>
      <c r="Q248" s="11">
        <v>2</v>
      </c>
      <c r="R248" s="11">
        <v>1</v>
      </c>
      <c r="S248" s="11">
        <v>1</v>
      </c>
      <c r="T248" s="11">
        <v>3</v>
      </c>
      <c r="U248" s="10">
        <v>2</v>
      </c>
      <c r="V248" s="6">
        <f t="shared" si="25"/>
        <v>49.392395496219436</v>
      </c>
      <c r="W248" s="6">
        <f t="shared" si="26"/>
        <v>28.026427975691266</v>
      </c>
      <c r="X248" s="6">
        <f t="shared" si="27"/>
        <v>37.787174194287779</v>
      </c>
      <c r="Y248" s="6">
        <f t="shared" si="28"/>
        <v>37.800559014714104</v>
      </c>
      <c r="Z248" s="6">
        <f t="shared" si="29"/>
        <v>23.123145252656396</v>
      </c>
      <c r="AA248" s="6">
        <f t="shared" si="30"/>
        <v>20.563483518351234</v>
      </c>
      <c r="AB248" s="6">
        <f t="shared" si="31"/>
        <v>20.563483518351234</v>
      </c>
      <c r="AC248" s="6">
        <f t="shared" si="32"/>
        <v>6</v>
      </c>
    </row>
    <row r="249" spans="1:29">
      <c r="A249" s="11">
        <v>248</v>
      </c>
      <c r="B249" s="12">
        <v>1</v>
      </c>
      <c r="C249" s="11">
        <v>1</v>
      </c>
      <c r="D249" s="11">
        <v>1</v>
      </c>
      <c r="E249" s="11">
        <v>4</v>
      </c>
      <c r="F249" s="11">
        <v>1</v>
      </c>
      <c r="G249" s="11">
        <v>5</v>
      </c>
      <c r="H249" s="11">
        <v>5</v>
      </c>
      <c r="I249" s="11">
        <v>1</v>
      </c>
      <c r="J249" s="11">
        <v>1</v>
      </c>
      <c r="K249" s="11">
        <v>4</v>
      </c>
      <c r="L249" s="11">
        <v>1</v>
      </c>
      <c r="M249" s="11">
        <v>1</v>
      </c>
      <c r="N249" s="11">
        <v>2</v>
      </c>
      <c r="O249" s="11">
        <v>5</v>
      </c>
      <c r="P249" s="11">
        <v>5</v>
      </c>
      <c r="Q249" s="11">
        <v>5</v>
      </c>
      <c r="R249" s="11">
        <v>1</v>
      </c>
      <c r="S249" s="11">
        <v>1</v>
      </c>
      <c r="T249" s="11">
        <v>3</v>
      </c>
      <c r="U249" s="10">
        <v>1</v>
      </c>
      <c r="V249" s="6">
        <f t="shared" si="25"/>
        <v>86.756091458727809</v>
      </c>
      <c r="W249" s="6">
        <f t="shared" si="26"/>
        <v>60.718711686338047</v>
      </c>
      <c r="X249" s="6">
        <f t="shared" si="27"/>
        <v>62.74561584584756</v>
      </c>
      <c r="Y249" s="6">
        <f t="shared" si="28"/>
        <v>56.933523262338667</v>
      </c>
      <c r="Z249" s="6">
        <f t="shared" si="29"/>
        <v>44.866332793082798</v>
      </c>
      <c r="AA249" s="6">
        <f t="shared" si="30"/>
        <v>37.919012143246619</v>
      </c>
      <c r="AB249" s="6">
        <f t="shared" si="31"/>
        <v>37.919012143246619</v>
      </c>
      <c r="AC249" s="6">
        <f t="shared" si="32"/>
        <v>6</v>
      </c>
    </row>
    <row r="250" spans="1:29">
      <c r="A250" s="11">
        <v>249</v>
      </c>
      <c r="B250" s="12">
        <v>3</v>
      </c>
      <c r="C250" s="11">
        <v>1</v>
      </c>
      <c r="D250" s="11">
        <v>1</v>
      </c>
      <c r="E250" s="11">
        <v>3</v>
      </c>
      <c r="F250" s="11">
        <v>2</v>
      </c>
      <c r="G250" s="11">
        <v>5</v>
      </c>
      <c r="H250" s="11">
        <v>3</v>
      </c>
      <c r="I250" s="11">
        <v>1</v>
      </c>
      <c r="J250" s="11">
        <v>1</v>
      </c>
      <c r="K250" s="11">
        <v>3</v>
      </c>
      <c r="L250" s="11">
        <v>2</v>
      </c>
      <c r="M250" s="11">
        <v>1</v>
      </c>
      <c r="N250" s="11">
        <v>3</v>
      </c>
      <c r="O250" s="11">
        <v>4</v>
      </c>
      <c r="P250" s="11">
        <v>4</v>
      </c>
      <c r="Q250" s="11">
        <v>2</v>
      </c>
      <c r="R250" s="11">
        <v>1</v>
      </c>
      <c r="S250" s="11">
        <v>2</v>
      </c>
      <c r="T250" s="11">
        <v>5</v>
      </c>
      <c r="U250" s="10">
        <v>2</v>
      </c>
      <c r="V250" s="6">
        <f t="shared" si="25"/>
        <v>53.574289100037184</v>
      </c>
      <c r="W250" s="6">
        <f t="shared" si="26"/>
        <v>33.487920901341525</v>
      </c>
      <c r="X250" s="6">
        <f t="shared" si="27"/>
        <v>34.078907419025356</v>
      </c>
      <c r="Y250" s="6">
        <f t="shared" si="28"/>
        <v>24.222623321885759</v>
      </c>
      <c r="Z250" s="6">
        <f t="shared" si="29"/>
        <v>21.837619508892594</v>
      </c>
      <c r="AA250" s="6">
        <f t="shared" si="30"/>
        <v>15.496799724540931</v>
      </c>
      <c r="AB250" s="6">
        <f t="shared" si="31"/>
        <v>15.496799724540931</v>
      </c>
      <c r="AC250" s="6">
        <f t="shared" si="32"/>
        <v>6</v>
      </c>
    </row>
    <row r="251" spans="1:29">
      <c r="A251" s="11">
        <v>250</v>
      </c>
      <c r="B251" s="12">
        <v>3</v>
      </c>
      <c r="C251" s="11">
        <v>2</v>
      </c>
      <c r="D251" s="11">
        <v>2</v>
      </c>
      <c r="E251" s="11">
        <v>4</v>
      </c>
      <c r="F251" s="11">
        <v>5</v>
      </c>
      <c r="G251" s="11">
        <v>2</v>
      </c>
      <c r="H251" s="11">
        <v>3</v>
      </c>
      <c r="I251" s="11">
        <v>2</v>
      </c>
      <c r="J251" s="11">
        <v>2</v>
      </c>
      <c r="K251" s="11">
        <v>4</v>
      </c>
      <c r="L251" s="11">
        <v>1</v>
      </c>
      <c r="M251" s="11">
        <v>2</v>
      </c>
      <c r="N251" s="11">
        <v>4</v>
      </c>
      <c r="O251" s="11">
        <v>5</v>
      </c>
      <c r="P251" s="11">
        <v>3</v>
      </c>
      <c r="Q251" s="11">
        <v>4</v>
      </c>
      <c r="R251" s="11">
        <v>1</v>
      </c>
      <c r="S251" s="11">
        <v>2</v>
      </c>
      <c r="T251" s="11">
        <v>2</v>
      </c>
      <c r="U251" s="10">
        <v>5</v>
      </c>
      <c r="V251" s="6">
        <f t="shared" si="25"/>
        <v>38.483348888731669</v>
      </c>
      <c r="W251" s="6">
        <f t="shared" si="26"/>
        <v>24.334258231710034</v>
      </c>
      <c r="X251" s="6">
        <f t="shared" si="27"/>
        <v>30.703885530417462</v>
      </c>
      <c r="Y251" s="6">
        <f t="shared" si="28"/>
        <v>37.75610380663052</v>
      </c>
      <c r="Z251" s="6">
        <f t="shared" si="29"/>
        <v>18.551775964815345</v>
      </c>
      <c r="AA251" s="6">
        <f t="shared" si="30"/>
        <v>30.941275659147223</v>
      </c>
      <c r="AB251" s="6">
        <f t="shared" si="31"/>
        <v>18.551775964815345</v>
      </c>
      <c r="AC251" s="6">
        <f t="shared" si="32"/>
        <v>5</v>
      </c>
    </row>
    <row r="252" spans="1:29">
      <c r="A252" s="11">
        <v>251</v>
      </c>
      <c r="B252" s="12">
        <v>3</v>
      </c>
      <c r="C252" s="11">
        <v>2</v>
      </c>
      <c r="D252" s="11">
        <v>2</v>
      </c>
      <c r="E252" s="11">
        <v>1</v>
      </c>
      <c r="F252" s="11">
        <v>2</v>
      </c>
      <c r="G252" s="11">
        <v>2</v>
      </c>
      <c r="H252" s="11">
        <v>3</v>
      </c>
      <c r="I252" s="11">
        <v>1</v>
      </c>
      <c r="J252" s="11">
        <v>2</v>
      </c>
      <c r="K252" s="11">
        <v>2</v>
      </c>
      <c r="L252" s="11">
        <v>2</v>
      </c>
      <c r="M252" s="11">
        <v>3</v>
      </c>
      <c r="N252" s="11">
        <v>5</v>
      </c>
      <c r="O252" s="11">
        <v>2</v>
      </c>
      <c r="P252" s="11">
        <v>3</v>
      </c>
      <c r="Q252" s="11">
        <v>2</v>
      </c>
      <c r="R252" s="11">
        <v>2</v>
      </c>
      <c r="S252" s="11">
        <v>4</v>
      </c>
      <c r="T252" s="11">
        <v>4</v>
      </c>
      <c r="U252" s="10">
        <v>2</v>
      </c>
      <c r="V252" s="6">
        <f t="shared" si="25"/>
        <v>41.847080252574841</v>
      </c>
      <c r="W252" s="6">
        <f t="shared" si="26"/>
        <v>22.934144005937512</v>
      </c>
      <c r="X252" s="6">
        <f t="shared" si="27"/>
        <v>25.162257798143393</v>
      </c>
      <c r="Y252" s="6">
        <f t="shared" si="28"/>
        <v>14.533939457865225</v>
      </c>
      <c r="Z252" s="6">
        <f t="shared" si="29"/>
        <v>34.46602027566545</v>
      </c>
      <c r="AA252" s="6">
        <f t="shared" si="30"/>
        <v>23.119033286095934</v>
      </c>
      <c r="AB252" s="6">
        <f t="shared" si="31"/>
        <v>14.533939457865225</v>
      </c>
      <c r="AC252" s="6">
        <f t="shared" si="32"/>
        <v>4</v>
      </c>
    </row>
    <row r="253" spans="1:29">
      <c r="A253" s="11">
        <v>252</v>
      </c>
      <c r="B253" s="12">
        <v>1</v>
      </c>
      <c r="C253" s="11">
        <v>1</v>
      </c>
      <c r="D253" s="11">
        <v>1</v>
      </c>
      <c r="E253" s="11">
        <v>5</v>
      </c>
      <c r="F253" s="11">
        <v>5</v>
      </c>
      <c r="G253" s="11">
        <v>5</v>
      </c>
      <c r="H253" s="11">
        <v>3</v>
      </c>
      <c r="I253" s="11">
        <v>1</v>
      </c>
      <c r="J253" s="11">
        <v>1</v>
      </c>
      <c r="K253" s="11">
        <v>4</v>
      </c>
      <c r="L253" s="11">
        <v>2</v>
      </c>
      <c r="M253" s="11">
        <v>1</v>
      </c>
      <c r="N253" s="11">
        <v>1</v>
      </c>
      <c r="O253" s="11">
        <v>4</v>
      </c>
      <c r="P253" s="11">
        <v>3</v>
      </c>
      <c r="Q253" s="11">
        <v>3</v>
      </c>
      <c r="R253" s="11">
        <v>2</v>
      </c>
      <c r="S253" s="11">
        <v>4</v>
      </c>
      <c r="T253" s="11">
        <v>3</v>
      </c>
      <c r="U253" s="10">
        <v>2</v>
      </c>
      <c r="V253" s="6">
        <f t="shared" si="25"/>
        <v>52.119820774314007</v>
      </c>
      <c r="W253" s="6">
        <f t="shared" si="26"/>
        <v>40.949565191017641</v>
      </c>
      <c r="X253" s="6">
        <f t="shared" si="27"/>
        <v>39.912263068012209</v>
      </c>
      <c r="Y253" s="6">
        <f t="shared" si="28"/>
        <v>47.222452113519289</v>
      </c>
      <c r="Z253" s="6">
        <f t="shared" si="29"/>
        <v>22.009007676098484</v>
      </c>
      <c r="AA253" s="6">
        <f t="shared" si="30"/>
        <v>33.341316442093508</v>
      </c>
      <c r="AB253" s="6">
        <f t="shared" si="31"/>
        <v>22.009007676098484</v>
      </c>
      <c r="AC253" s="6">
        <f t="shared" si="32"/>
        <v>5</v>
      </c>
    </row>
    <row r="254" spans="1:29">
      <c r="A254" s="11">
        <v>253</v>
      </c>
      <c r="B254" s="12">
        <v>5</v>
      </c>
      <c r="C254" s="11">
        <v>1</v>
      </c>
      <c r="D254" s="11">
        <v>3</v>
      </c>
      <c r="E254" s="11">
        <v>5</v>
      </c>
      <c r="F254" s="11">
        <v>1</v>
      </c>
      <c r="G254" s="11">
        <v>3</v>
      </c>
      <c r="H254" s="11">
        <v>3</v>
      </c>
      <c r="I254" s="11">
        <v>3</v>
      </c>
      <c r="J254" s="11">
        <v>3</v>
      </c>
      <c r="K254" s="11">
        <v>2</v>
      </c>
      <c r="L254" s="11">
        <v>1</v>
      </c>
      <c r="M254" s="11">
        <v>5</v>
      </c>
      <c r="N254" s="11">
        <v>3</v>
      </c>
      <c r="O254" s="11">
        <v>1</v>
      </c>
      <c r="P254" s="11">
        <v>3</v>
      </c>
      <c r="Q254" s="11">
        <v>3</v>
      </c>
      <c r="R254" s="11">
        <v>1</v>
      </c>
      <c r="S254" s="11">
        <v>1</v>
      </c>
      <c r="T254" s="11">
        <v>3</v>
      </c>
      <c r="U254" s="10">
        <v>5</v>
      </c>
      <c r="V254" s="6">
        <f t="shared" si="25"/>
        <v>50.119517787667647</v>
      </c>
      <c r="W254" s="6">
        <f t="shared" si="26"/>
        <v>34.041908848623919</v>
      </c>
      <c r="X254" s="6">
        <f t="shared" si="27"/>
        <v>48.870526642186064</v>
      </c>
      <c r="Y254" s="6">
        <f t="shared" si="28"/>
        <v>44.044733788935396</v>
      </c>
      <c r="Z254" s="6">
        <f t="shared" si="29"/>
        <v>54.951479344906389</v>
      </c>
      <c r="AA254" s="6">
        <f t="shared" si="30"/>
        <v>50.474743051956693</v>
      </c>
      <c r="AB254" s="6">
        <f t="shared" si="31"/>
        <v>34.041908848623919</v>
      </c>
      <c r="AC254" s="6">
        <f t="shared" si="32"/>
        <v>2</v>
      </c>
    </row>
    <row r="255" spans="1:29">
      <c r="A255" s="11">
        <v>254</v>
      </c>
      <c r="B255" s="12">
        <v>2</v>
      </c>
      <c r="C255" s="11">
        <v>2</v>
      </c>
      <c r="D255" s="11">
        <v>1</v>
      </c>
      <c r="E255" s="11">
        <v>2</v>
      </c>
      <c r="F255" s="11">
        <v>3</v>
      </c>
      <c r="G255" s="11">
        <v>2</v>
      </c>
      <c r="H255" s="11">
        <v>3</v>
      </c>
      <c r="I255" s="11">
        <v>1</v>
      </c>
      <c r="J255" s="11">
        <v>2</v>
      </c>
      <c r="K255" s="11">
        <v>3</v>
      </c>
      <c r="L255" s="11">
        <v>2</v>
      </c>
      <c r="M255" s="11">
        <v>1</v>
      </c>
      <c r="N255" s="11">
        <v>1</v>
      </c>
      <c r="O255" s="11">
        <v>5</v>
      </c>
      <c r="P255" s="11">
        <v>5</v>
      </c>
      <c r="Q255" s="11">
        <v>2</v>
      </c>
      <c r="R255" s="11">
        <v>2</v>
      </c>
      <c r="S255" s="11">
        <v>2</v>
      </c>
      <c r="T255" s="11">
        <v>2</v>
      </c>
      <c r="U255" s="10">
        <v>3</v>
      </c>
      <c r="V255" s="6">
        <f t="shared" si="25"/>
        <v>54.665164113501355</v>
      </c>
      <c r="W255" s="6">
        <f t="shared" si="26"/>
        <v>22.949507990322857</v>
      </c>
      <c r="X255" s="6">
        <f t="shared" si="27"/>
        <v>25.037253073660363</v>
      </c>
      <c r="Y255" s="6">
        <f t="shared" si="28"/>
        <v>20.60056737167066</v>
      </c>
      <c r="Z255" s="6">
        <f t="shared" si="29"/>
        <v>14.75191960432541</v>
      </c>
      <c r="AA255" s="6">
        <f t="shared" si="30"/>
        <v>14.030029316231472</v>
      </c>
      <c r="AB255" s="6">
        <f t="shared" si="31"/>
        <v>14.030029316231472</v>
      </c>
      <c r="AC255" s="6">
        <f t="shared" si="32"/>
        <v>6</v>
      </c>
    </row>
    <row r="256" spans="1:29">
      <c r="A256" s="11">
        <v>255</v>
      </c>
      <c r="B256" s="12">
        <v>3</v>
      </c>
      <c r="C256" s="11">
        <v>2</v>
      </c>
      <c r="D256" s="11">
        <v>2</v>
      </c>
      <c r="E256" s="11">
        <v>5</v>
      </c>
      <c r="F256" s="11">
        <v>3</v>
      </c>
      <c r="G256" s="11">
        <v>3</v>
      </c>
      <c r="H256" s="11">
        <v>4</v>
      </c>
      <c r="I256" s="11">
        <v>2</v>
      </c>
      <c r="J256" s="11">
        <v>2</v>
      </c>
      <c r="K256" s="11">
        <v>2</v>
      </c>
      <c r="L256" s="11">
        <v>2</v>
      </c>
      <c r="M256" s="11">
        <v>2</v>
      </c>
      <c r="N256" s="11">
        <v>2</v>
      </c>
      <c r="O256" s="11">
        <v>5</v>
      </c>
      <c r="P256" s="11">
        <v>1</v>
      </c>
      <c r="Q256" s="11">
        <v>5</v>
      </c>
      <c r="R256" s="11">
        <v>2</v>
      </c>
      <c r="S256" s="11">
        <v>4</v>
      </c>
      <c r="T256" s="11">
        <v>3</v>
      </c>
      <c r="U256" s="10">
        <v>3</v>
      </c>
      <c r="V256" s="6">
        <f t="shared" si="25"/>
        <v>36.301592324529906</v>
      </c>
      <c r="W256" s="6">
        <f t="shared" si="26"/>
        <v>25.334278413607937</v>
      </c>
      <c r="X256" s="6">
        <f t="shared" si="27"/>
        <v>31.578916182242608</v>
      </c>
      <c r="Y256" s="6">
        <f t="shared" si="28"/>
        <v>38.489326023847241</v>
      </c>
      <c r="Z256" s="6">
        <f t="shared" si="29"/>
        <v>21.580385087630383</v>
      </c>
      <c r="AA256" s="6">
        <f t="shared" si="30"/>
        <v>32.919063796639634</v>
      </c>
      <c r="AB256" s="6">
        <f t="shared" si="31"/>
        <v>21.580385087630383</v>
      </c>
      <c r="AC256" s="6">
        <f t="shared" si="32"/>
        <v>5</v>
      </c>
    </row>
    <row r="257" spans="1:29">
      <c r="A257" s="11">
        <v>256</v>
      </c>
      <c r="B257" s="12">
        <v>4</v>
      </c>
      <c r="C257" s="11">
        <v>2</v>
      </c>
      <c r="D257" s="11">
        <v>3</v>
      </c>
      <c r="E257" s="11">
        <v>4</v>
      </c>
      <c r="F257" s="11">
        <v>2</v>
      </c>
      <c r="G257" s="11">
        <v>3</v>
      </c>
      <c r="H257" s="11">
        <v>3</v>
      </c>
      <c r="I257" s="11">
        <v>4</v>
      </c>
      <c r="J257" s="11">
        <v>3</v>
      </c>
      <c r="K257" s="11">
        <v>3</v>
      </c>
      <c r="L257" s="11">
        <v>2</v>
      </c>
      <c r="M257" s="11">
        <v>3</v>
      </c>
      <c r="N257" s="11">
        <v>3</v>
      </c>
      <c r="O257" s="11">
        <v>2</v>
      </c>
      <c r="P257" s="11">
        <v>2</v>
      </c>
      <c r="Q257" s="11">
        <v>1</v>
      </c>
      <c r="R257" s="11">
        <v>5</v>
      </c>
      <c r="S257" s="11">
        <v>3</v>
      </c>
      <c r="T257" s="11">
        <v>1</v>
      </c>
      <c r="U257" s="10">
        <v>5</v>
      </c>
      <c r="V257" s="6">
        <f t="shared" si="25"/>
        <v>29.664965652222449</v>
      </c>
      <c r="W257" s="6">
        <f t="shared" si="26"/>
        <v>23.872696246500666</v>
      </c>
      <c r="X257" s="6">
        <f t="shared" si="27"/>
        <v>28.912322043457575</v>
      </c>
      <c r="Y257" s="6">
        <f t="shared" si="28"/>
        <v>33.844997576021257</v>
      </c>
      <c r="Z257" s="6">
        <f t="shared" si="29"/>
        <v>40.094374810631173</v>
      </c>
      <c r="AA257" s="6">
        <f t="shared" si="30"/>
        <v>41.674770032765856</v>
      </c>
      <c r="AB257" s="6">
        <f t="shared" si="31"/>
        <v>23.872696246500666</v>
      </c>
      <c r="AC257" s="6">
        <f t="shared" si="32"/>
        <v>2</v>
      </c>
    </row>
    <row r="258" spans="1:29">
      <c r="A258" s="11">
        <v>257</v>
      </c>
      <c r="B258" s="12">
        <v>5</v>
      </c>
      <c r="C258" s="11">
        <v>1</v>
      </c>
      <c r="D258" s="11">
        <v>1</v>
      </c>
      <c r="E258" s="11">
        <v>3</v>
      </c>
      <c r="F258" s="11">
        <v>1</v>
      </c>
      <c r="G258" s="11">
        <v>1</v>
      </c>
      <c r="H258" s="11">
        <v>1</v>
      </c>
      <c r="I258" s="11">
        <v>1</v>
      </c>
      <c r="J258" s="11">
        <v>1</v>
      </c>
      <c r="K258" s="11">
        <v>5</v>
      </c>
      <c r="L258" s="11">
        <v>4</v>
      </c>
      <c r="M258" s="11">
        <v>1</v>
      </c>
      <c r="N258" s="11">
        <v>1</v>
      </c>
      <c r="O258" s="11">
        <v>5</v>
      </c>
      <c r="P258" s="11">
        <v>4</v>
      </c>
      <c r="Q258" s="11">
        <v>1</v>
      </c>
      <c r="R258" s="11">
        <v>1</v>
      </c>
      <c r="S258" s="11">
        <v>5</v>
      </c>
      <c r="T258" s="11">
        <v>1</v>
      </c>
      <c r="U258" s="10">
        <v>1</v>
      </c>
      <c r="V258" s="6">
        <f t="shared" si="25"/>
        <v>97.665238554991447</v>
      </c>
      <c r="W258" s="6">
        <f t="shared" si="26"/>
        <v>64.795619393348886</v>
      </c>
      <c r="X258" s="6">
        <f t="shared" si="27"/>
        <v>64.912244535647943</v>
      </c>
      <c r="Y258" s="6">
        <f t="shared" si="28"/>
        <v>65.489526488889297</v>
      </c>
      <c r="Z258" s="6">
        <f t="shared" si="29"/>
        <v>52.18041168510986</v>
      </c>
      <c r="AA258" s="6">
        <f t="shared" si="30"/>
        <v>48.852228698276413</v>
      </c>
      <c r="AB258" s="6">
        <f t="shared" si="31"/>
        <v>48.852228698276413</v>
      </c>
      <c r="AC258" s="6">
        <f t="shared" si="32"/>
        <v>6</v>
      </c>
    </row>
    <row r="259" spans="1:29">
      <c r="A259" s="11">
        <v>258</v>
      </c>
      <c r="B259" s="12">
        <v>1</v>
      </c>
      <c r="C259" s="11">
        <v>1</v>
      </c>
      <c r="D259" s="11">
        <v>5</v>
      </c>
      <c r="E259" s="11">
        <v>1</v>
      </c>
      <c r="F259" s="11">
        <v>1</v>
      </c>
      <c r="G259" s="11">
        <v>1</v>
      </c>
      <c r="H259" s="11">
        <v>1</v>
      </c>
      <c r="I259" s="11">
        <v>1</v>
      </c>
      <c r="J259" s="11">
        <v>1</v>
      </c>
      <c r="K259" s="11">
        <v>5</v>
      </c>
      <c r="L259" s="11">
        <v>1</v>
      </c>
      <c r="M259" s="11">
        <v>5</v>
      </c>
      <c r="N259" s="11">
        <v>5</v>
      </c>
      <c r="O259" s="11">
        <v>1</v>
      </c>
      <c r="P259" s="11">
        <v>5</v>
      </c>
      <c r="Q259" s="11">
        <v>1</v>
      </c>
      <c r="R259" s="11">
        <v>5</v>
      </c>
      <c r="S259" s="11">
        <v>1</v>
      </c>
      <c r="T259" s="11">
        <v>1</v>
      </c>
      <c r="U259" s="10">
        <v>5</v>
      </c>
      <c r="V259" s="6">
        <f t="shared" ref="V259:V322" si="33">SUMXMY2($B259:$U259,AG$2:AG$21)</f>
        <v>99.755877714424216</v>
      </c>
      <c r="W259" s="6">
        <f t="shared" ref="W259:W322" si="34">SUMXMY2($B259:$U259,AH$2:AH$21)</f>
        <v>69.011036498652075</v>
      </c>
      <c r="X259" s="6">
        <f t="shared" ref="X259:X322" si="35">SUMXMY2($B259:$U259,AI$2:AI$21)</f>
        <v>79.620697672219606</v>
      </c>
      <c r="Y259" s="6">
        <f t="shared" ref="Y259:Y322" si="36">SUMXMY2($B259:$U259,AJ$2:AJ$21)</f>
        <v>62.77805420760707</v>
      </c>
      <c r="Z259" s="6">
        <f t="shared" ref="Z259:Z322" si="37">SUMXMY2($B259:$U259,AK$2:AK$21)</f>
        <v>97.751567382720907</v>
      </c>
      <c r="AA259" s="6">
        <f t="shared" ref="AA259:AA322" si="38">SUMXMY2($B259:$U259,AL$2:AL$21)</f>
        <v>82.808037995577564</v>
      </c>
      <c r="AB259" s="6">
        <f t="shared" ref="AB259:AB322" si="39">MIN(V259:AA259)</f>
        <v>62.77805420760707</v>
      </c>
      <c r="AC259" s="6">
        <f t="shared" ref="AC259:AC322" si="40">IF(AB259=V259,1,IF(AB259=W259,2,IF(AB259=X259,3,IF(AB259=Y259,4,IF(AB259=Z259,5,6)))))</f>
        <v>4</v>
      </c>
    </row>
    <row r="260" spans="1:29">
      <c r="A260" s="11">
        <v>259</v>
      </c>
      <c r="B260" s="12">
        <v>5</v>
      </c>
      <c r="C260" s="11">
        <v>2</v>
      </c>
      <c r="D260" s="11">
        <v>1</v>
      </c>
      <c r="E260" s="11">
        <v>3</v>
      </c>
      <c r="F260" s="11">
        <v>4</v>
      </c>
      <c r="G260" s="11">
        <v>3</v>
      </c>
      <c r="H260" s="11">
        <v>3</v>
      </c>
      <c r="I260" s="11">
        <v>2</v>
      </c>
      <c r="J260" s="11">
        <v>2</v>
      </c>
      <c r="K260" s="11">
        <v>2</v>
      </c>
      <c r="L260" s="11">
        <v>1</v>
      </c>
      <c r="M260" s="11">
        <v>2</v>
      </c>
      <c r="N260" s="11">
        <v>2</v>
      </c>
      <c r="O260" s="11">
        <v>4</v>
      </c>
      <c r="P260" s="11">
        <v>4</v>
      </c>
      <c r="Q260" s="11">
        <v>2</v>
      </c>
      <c r="R260" s="11">
        <v>4</v>
      </c>
      <c r="S260" s="11">
        <v>2</v>
      </c>
      <c r="T260" s="11">
        <v>4</v>
      </c>
      <c r="U260" s="10">
        <v>2</v>
      </c>
      <c r="V260" s="6">
        <f t="shared" si="33"/>
        <v>36.392445207575626</v>
      </c>
      <c r="W260" s="6">
        <f t="shared" si="34"/>
        <v>23.287994242172338</v>
      </c>
      <c r="X260" s="6">
        <f t="shared" si="35"/>
        <v>22.953939116680541</v>
      </c>
      <c r="Y260" s="6">
        <f t="shared" si="36"/>
        <v>24.111680275700859</v>
      </c>
      <c r="Z260" s="6">
        <f t="shared" si="37"/>
        <v>20.980304238295073</v>
      </c>
      <c r="AA260" s="6">
        <f t="shared" si="38"/>
        <v>11.05231905245968</v>
      </c>
      <c r="AB260" s="6">
        <f t="shared" si="39"/>
        <v>11.05231905245968</v>
      </c>
      <c r="AC260" s="6">
        <f t="shared" si="40"/>
        <v>6</v>
      </c>
    </row>
    <row r="261" spans="1:29">
      <c r="A261" s="11">
        <v>260</v>
      </c>
      <c r="B261" s="12">
        <v>2</v>
      </c>
      <c r="C261" s="11">
        <v>1</v>
      </c>
      <c r="D261" s="11">
        <v>1</v>
      </c>
      <c r="E261" s="11">
        <v>4</v>
      </c>
      <c r="F261" s="11">
        <v>2</v>
      </c>
      <c r="G261" s="11">
        <v>3</v>
      </c>
      <c r="H261" s="11">
        <v>3</v>
      </c>
      <c r="I261" s="11">
        <v>2</v>
      </c>
      <c r="J261" s="11">
        <v>3</v>
      </c>
      <c r="K261" s="11">
        <v>2</v>
      </c>
      <c r="L261" s="11">
        <v>2</v>
      </c>
      <c r="M261" s="11">
        <v>2</v>
      </c>
      <c r="N261" s="11">
        <v>3</v>
      </c>
      <c r="O261" s="11">
        <v>4</v>
      </c>
      <c r="P261" s="11">
        <v>4</v>
      </c>
      <c r="Q261" s="11">
        <v>2</v>
      </c>
      <c r="R261" s="11">
        <v>4</v>
      </c>
      <c r="S261" s="11">
        <v>1</v>
      </c>
      <c r="T261" s="11">
        <v>3</v>
      </c>
      <c r="U261" s="10">
        <v>2</v>
      </c>
      <c r="V261" s="6">
        <f t="shared" si="33"/>
        <v>40.57416575513021</v>
      </c>
      <c r="W261" s="6">
        <f t="shared" si="34"/>
        <v>22.611014949182412</v>
      </c>
      <c r="X261" s="6">
        <f t="shared" si="35"/>
        <v>21.037302208566228</v>
      </c>
      <c r="Y261" s="6">
        <f t="shared" si="36"/>
        <v>16.644731171568278</v>
      </c>
      <c r="Z261" s="6">
        <f t="shared" si="37"/>
        <v>25.751765254691467</v>
      </c>
      <c r="AA261" s="6">
        <f t="shared" si="38"/>
        <v>11.00789420151288</v>
      </c>
      <c r="AB261" s="6">
        <f t="shared" si="39"/>
        <v>11.00789420151288</v>
      </c>
      <c r="AC261" s="6">
        <f t="shared" si="40"/>
        <v>6</v>
      </c>
    </row>
    <row r="262" spans="1:29">
      <c r="A262" s="11">
        <v>261</v>
      </c>
      <c r="B262" s="12">
        <v>1</v>
      </c>
      <c r="C262" s="11">
        <v>2</v>
      </c>
      <c r="D262" s="11">
        <v>3</v>
      </c>
      <c r="E262" s="11">
        <v>2</v>
      </c>
      <c r="F262" s="11">
        <v>5</v>
      </c>
      <c r="G262" s="11">
        <v>3</v>
      </c>
      <c r="H262" s="11">
        <v>3</v>
      </c>
      <c r="I262" s="11">
        <v>2</v>
      </c>
      <c r="J262" s="11">
        <v>2</v>
      </c>
      <c r="K262" s="11">
        <v>1</v>
      </c>
      <c r="L262" s="11">
        <v>1</v>
      </c>
      <c r="M262" s="11">
        <v>3</v>
      </c>
      <c r="N262" s="11">
        <v>4</v>
      </c>
      <c r="O262" s="11">
        <v>4</v>
      </c>
      <c r="P262" s="11">
        <v>3</v>
      </c>
      <c r="Q262" s="11">
        <v>2</v>
      </c>
      <c r="R262" s="11">
        <v>3</v>
      </c>
      <c r="S262" s="11">
        <v>3</v>
      </c>
      <c r="T262" s="11">
        <v>4</v>
      </c>
      <c r="U262" s="10">
        <v>3</v>
      </c>
      <c r="V262" s="6">
        <f t="shared" si="33"/>
        <v>30.756092185965684</v>
      </c>
      <c r="W262" s="6">
        <f t="shared" si="34"/>
        <v>20.180329041562779</v>
      </c>
      <c r="X262" s="6">
        <f t="shared" si="35"/>
        <v>22.120620432816757</v>
      </c>
      <c r="Y262" s="6">
        <f t="shared" si="36"/>
        <v>17.489223561731968</v>
      </c>
      <c r="Z262" s="6">
        <f t="shared" si="37"/>
        <v>24.466067767828175</v>
      </c>
      <c r="AA262" s="6">
        <f t="shared" si="38"/>
        <v>25.763497843297273</v>
      </c>
      <c r="AB262" s="6">
        <f t="shared" si="39"/>
        <v>17.489223561731968</v>
      </c>
      <c r="AC262" s="6">
        <f t="shared" si="40"/>
        <v>4</v>
      </c>
    </row>
    <row r="263" spans="1:29">
      <c r="A263" s="11">
        <v>262</v>
      </c>
      <c r="B263" s="12">
        <v>3</v>
      </c>
      <c r="C263" s="11">
        <v>4</v>
      </c>
      <c r="D263" s="11">
        <v>5</v>
      </c>
      <c r="E263" s="11">
        <v>4</v>
      </c>
      <c r="F263" s="11">
        <v>5</v>
      </c>
      <c r="G263" s="11">
        <v>4</v>
      </c>
      <c r="H263" s="11">
        <v>5</v>
      </c>
      <c r="I263" s="11">
        <v>2</v>
      </c>
      <c r="J263" s="11">
        <v>4</v>
      </c>
      <c r="K263" s="11">
        <v>4</v>
      </c>
      <c r="L263" s="11">
        <v>4</v>
      </c>
      <c r="M263" s="11">
        <v>1</v>
      </c>
      <c r="N263" s="11">
        <v>3</v>
      </c>
      <c r="O263" s="11">
        <v>3</v>
      </c>
      <c r="P263" s="11">
        <v>4</v>
      </c>
      <c r="Q263" s="11">
        <v>2</v>
      </c>
      <c r="R263" s="11">
        <v>4</v>
      </c>
      <c r="S263" s="11">
        <v>5</v>
      </c>
      <c r="T263" s="11">
        <v>4</v>
      </c>
      <c r="U263" s="10">
        <v>5</v>
      </c>
      <c r="V263" s="6">
        <f t="shared" si="33"/>
        <v>16.756337088317274</v>
      </c>
      <c r="W263" s="6">
        <f t="shared" si="34"/>
        <v>49.795979871559602</v>
      </c>
      <c r="X263" s="6">
        <f t="shared" si="35"/>
        <v>35.662349026555596</v>
      </c>
      <c r="Y263" s="6">
        <f t="shared" si="36"/>
        <v>64.222876406056614</v>
      </c>
      <c r="Z263" s="6">
        <f t="shared" si="37"/>
        <v>44.123102623286776</v>
      </c>
      <c r="AA263" s="6">
        <f t="shared" si="38"/>
        <v>64.585888538004355</v>
      </c>
      <c r="AB263" s="6">
        <f t="shared" si="39"/>
        <v>16.756337088317274</v>
      </c>
      <c r="AC263" s="6">
        <f t="shared" si="40"/>
        <v>1</v>
      </c>
    </row>
    <row r="264" spans="1:29">
      <c r="A264" s="11">
        <v>263</v>
      </c>
      <c r="B264" s="12">
        <v>5</v>
      </c>
      <c r="C264" s="11">
        <v>5</v>
      </c>
      <c r="D264" s="11">
        <v>5</v>
      </c>
      <c r="E264" s="11">
        <v>4</v>
      </c>
      <c r="F264" s="11">
        <v>4</v>
      </c>
      <c r="G264" s="11">
        <v>5</v>
      </c>
      <c r="H264" s="11">
        <v>3</v>
      </c>
      <c r="I264" s="11">
        <v>3</v>
      </c>
      <c r="J264" s="11">
        <v>4</v>
      </c>
      <c r="K264" s="11">
        <v>2</v>
      </c>
      <c r="L264" s="11">
        <v>3</v>
      </c>
      <c r="M264" s="11">
        <v>2</v>
      </c>
      <c r="N264" s="11">
        <v>3</v>
      </c>
      <c r="O264" s="11">
        <v>4</v>
      </c>
      <c r="P264" s="11">
        <v>2</v>
      </c>
      <c r="Q264" s="11">
        <v>2</v>
      </c>
      <c r="R264" s="11">
        <v>2</v>
      </c>
      <c r="S264" s="11">
        <v>4</v>
      </c>
      <c r="T264" s="11">
        <v>4</v>
      </c>
      <c r="U264" s="10">
        <v>3</v>
      </c>
      <c r="V264" s="6">
        <f t="shared" si="33"/>
        <v>17.938048383176699</v>
      </c>
      <c r="W264" s="6">
        <f t="shared" si="34"/>
        <v>40.47280005381068</v>
      </c>
      <c r="X264" s="6">
        <f t="shared" si="35"/>
        <v>37.787286331967181</v>
      </c>
      <c r="Y264" s="6">
        <f t="shared" si="36"/>
        <v>59.600786063559909</v>
      </c>
      <c r="Z264" s="6">
        <f t="shared" si="37"/>
        <v>39.151610716626898</v>
      </c>
      <c r="AA264" s="6">
        <f t="shared" si="38"/>
        <v>51.341403527595482</v>
      </c>
      <c r="AB264" s="6">
        <f t="shared" si="39"/>
        <v>17.938048383176699</v>
      </c>
      <c r="AC264" s="6">
        <f t="shared" si="40"/>
        <v>1</v>
      </c>
    </row>
    <row r="265" spans="1:29">
      <c r="A265" s="11">
        <v>264</v>
      </c>
      <c r="B265" s="12">
        <v>2</v>
      </c>
      <c r="C265" s="11">
        <v>3</v>
      </c>
      <c r="D265" s="11">
        <v>2</v>
      </c>
      <c r="E265" s="11">
        <v>3</v>
      </c>
      <c r="F265" s="11">
        <v>4</v>
      </c>
      <c r="G265" s="11">
        <v>3</v>
      </c>
      <c r="H265" s="11">
        <v>3</v>
      </c>
      <c r="I265" s="11">
        <v>2</v>
      </c>
      <c r="J265" s="11">
        <v>1</v>
      </c>
      <c r="K265" s="11">
        <v>2</v>
      </c>
      <c r="L265" s="11">
        <v>3</v>
      </c>
      <c r="M265" s="11">
        <v>2</v>
      </c>
      <c r="N265" s="11">
        <v>3</v>
      </c>
      <c r="O265" s="11">
        <v>4</v>
      </c>
      <c r="P265" s="11">
        <v>5</v>
      </c>
      <c r="Q265" s="11">
        <v>4</v>
      </c>
      <c r="R265" s="11">
        <v>3</v>
      </c>
      <c r="S265" s="11">
        <v>2</v>
      </c>
      <c r="T265" s="11">
        <v>4</v>
      </c>
      <c r="U265" s="10">
        <v>2</v>
      </c>
      <c r="V265" s="6">
        <f t="shared" si="33"/>
        <v>29.938002621386705</v>
      </c>
      <c r="W265" s="6">
        <f t="shared" si="34"/>
        <v>20.657255570321638</v>
      </c>
      <c r="X265" s="6">
        <f t="shared" si="35"/>
        <v>16.495655675736636</v>
      </c>
      <c r="Y265" s="6">
        <f t="shared" si="36"/>
        <v>23.689463438094549</v>
      </c>
      <c r="Z265" s="6">
        <f t="shared" si="37"/>
        <v>18.094716554650635</v>
      </c>
      <c r="AA265" s="6">
        <f t="shared" si="38"/>
        <v>12.830112118319358</v>
      </c>
      <c r="AB265" s="6">
        <f t="shared" si="39"/>
        <v>12.830112118319358</v>
      </c>
      <c r="AC265" s="6">
        <f t="shared" si="40"/>
        <v>6</v>
      </c>
    </row>
    <row r="266" spans="1:29">
      <c r="A266" s="11">
        <v>265</v>
      </c>
      <c r="B266" s="12">
        <v>3</v>
      </c>
      <c r="C266" s="11">
        <v>2</v>
      </c>
      <c r="D266" s="11">
        <v>1</v>
      </c>
      <c r="E266" s="11">
        <v>2</v>
      </c>
      <c r="F266" s="11">
        <v>2</v>
      </c>
      <c r="G266" s="11">
        <v>4</v>
      </c>
      <c r="H266" s="11">
        <v>3</v>
      </c>
      <c r="I266" s="11">
        <v>2</v>
      </c>
      <c r="J266" s="11">
        <v>2</v>
      </c>
      <c r="K266" s="11">
        <v>3</v>
      </c>
      <c r="L266" s="11">
        <v>1</v>
      </c>
      <c r="M266" s="11">
        <v>4</v>
      </c>
      <c r="N266" s="11">
        <v>3</v>
      </c>
      <c r="O266" s="11">
        <v>5</v>
      </c>
      <c r="P266" s="11">
        <v>4</v>
      </c>
      <c r="Q266" s="11">
        <v>4</v>
      </c>
      <c r="R266" s="11">
        <v>2</v>
      </c>
      <c r="S266" s="11">
        <v>2</v>
      </c>
      <c r="T266" s="11">
        <v>3</v>
      </c>
      <c r="U266" s="10">
        <v>3</v>
      </c>
      <c r="V266" s="6">
        <f t="shared" si="33"/>
        <v>40.483355763334231</v>
      </c>
      <c r="W266" s="6">
        <f t="shared" si="34"/>
        <v>19.457245189701286</v>
      </c>
      <c r="X266" s="6">
        <f t="shared" si="35"/>
        <v>23.328964812259937</v>
      </c>
      <c r="Y266" s="6">
        <f t="shared" si="36"/>
        <v>16.533972640870875</v>
      </c>
      <c r="Z266" s="6">
        <f t="shared" si="37"/>
        <v>18.123336793198739</v>
      </c>
      <c r="AA266" s="6">
        <f t="shared" si="38"/>
        <v>12.630098822989487</v>
      </c>
      <c r="AB266" s="6">
        <f t="shared" si="39"/>
        <v>12.630098822989487</v>
      </c>
      <c r="AC266" s="6">
        <f t="shared" si="40"/>
        <v>6</v>
      </c>
    </row>
    <row r="267" spans="1:29">
      <c r="A267" s="11">
        <v>266</v>
      </c>
      <c r="B267" s="12">
        <v>2</v>
      </c>
      <c r="C267" s="11">
        <v>4</v>
      </c>
      <c r="D267" s="11">
        <v>2</v>
      </c>
      <c r="E267" s="11">
        <v>4</v>
      </c>
      <c r="F267" s="11">
        <v>5</v>
      </c>
      <c r="G267" s="11">
        <v>3</v>
      </c>
      <c r="H267" s="11">
        <v>3</v>
      </c>
      <c r="I267" s="11">
        <v>2</v>
      </c>
      <c r="J267" s="11">
        <v>2</v>
      </c>
      <c r="K267" s="11">
        <v>2</v>
      </c>
      <c r="L267" s="11">
        <v>1</v>
      </c>
      <c r="M267" s="11">
        <v>2</v>
      </c>
      <c r="N267" s="11">
        <v>3</v>
      </c>
      <c r="O267" s="11">
        <v>5</v>
      </c>
      <c r="P267" s="11">
        <v>5</v>
      </c>
      <c r="Q267" s="11">
        <v>4</v>
      </c>
      <c r="R267" s="11">
        <v>3</v>
      </c>
      <c r="S267" s="11">
        <v>2</v>
      </c>
      <c r="T267" s="11">
        <v>3</v>
      </c>
      <c r="U267" s="10">
        <v>5</v>
      </c>
      <c r="V267" s="6">
        <f t="shared" si="33"/>
        <v>32.847038491162529</v>
      </c>
      <c r="W267" s="6">
        <f t="shared" si="34"/>
        <v>25.195821867708169</v>
      </c>
      <c r="X267" s="6">
        <f t="shared" si="35"/>
        <v>26.412306693757682</v>
      </c>
      <c r="Y267" s="6">
        <f t="shared" si="36"/>
        <v>35.622899438166066</v>
      </c>
      <c r="Z267" s="6">
        <f t="shared" si="37"/>
        <v>18.694700957992247</v>
      </c>
      <c r="AA267" s="6">
        <f t="shared" si="38"/>
        <v>30.185693682279563</v>
      </c>
      <c r="AB267" s="6">
        <f t="shared" si="39"/>
        <v>18.694700957992247</v>
      </c>
      <c r="AC267" s="6">
        <f t="shared" si="40"/>
        <v>5</v>
      </c>
    </row>
    <row r="268" spans="1:29">
      <c r="A268" s="11">
        <v>267</v>
      </c>
      <c r="B268" s="12">
        <v>3</v>
      </c>
      <c r="C268" s="11">
        <v>4</v>
      </c>
      <c r="D268" s="11">
        <v>3</v>
      </c>
      <c r="E268" s="11">
        <v>3</v>
      </c>
      <c r="F268" s="11">
        <v>3</v>
      </c>
      <c r="G268" s="11">
        <v>3</v>
      </c>
      <c r="H268" s="11">
        <v>2</v>
      </c>
      <c r="I268" s="11">
        <v>3</v>
      </c>
      <c r="J268" s="11">
        <v>4</v>
      </c>
      <c r="K268" s="11">
        <v>4</v>
      </c>
      <c r="L268" s="11">
        <v>4</v>
      </c>
      <c r="M268" s="11">
        <v>2</v>
      </c>
      <c r="N268" s="11">
        <v>2</v>
      </c>
      <c r="O268" s="11">
        <v>4</v>
      </c>
      <c r="P268" s="11">
        <v>3</v>
      </c>
      <c r="Q268" s="11">
        <v>3</v>
      </c>
      <c r="R268" s="11">
        <v>3</v>
      </c>
      <c r="S268" s="11">
        <v>4</v>
      </c>
      <c r="T268" s="11">
        <v>3</v>
      </c>
      <c r="U268" s="10">
        <v>3</v>
      </c>
      <c r="V268" s="6">
        <f t="shared" si="33"/>
        <v>14.210748656220753</v>
      </c>
      <c r="W268" s="6">
        <f t="shared" si="34"/>
        <v>22.318924337414781</v>
      </c>
      <c r="X268" s="6">
        <f t="shared" si="35"/>
        <v>10.495683723336823</v>
      </c>
      <c r="Y268" s="6">
        <f t="shared" si="36"/>
        <v>32.889746274121784</v>
      </c>
      <c r="Z268" s="6">
        <f t="shared" si="37"/>
        <v>21.351730051667641</v>
      </c>
      <c r="AA268" s="6">
        <f t="shared" si="38"/>
        <v>26.785737799029459</v>
      </c>
      <c r="AB268" s="6">
        <f t="shared" si="39"/>
        <v>10.495683723336823</v>
      </c>
      <c r="AC268" s="6">
        <f t="shared" si="40"/>
        <v>3</v>
      </c>
    </row>
    <row r="269" spans="1:29">
      <c r="A269" s="11">
        <v>268</v>
      </c>
      <c r="B269" s="12">
        <v>3</v>
      </c>
      <c r="C269" s="11">
        <v>3</v>
      </c>
      <c r="D269" s="11">
        <v>2</v>
      </c>
      <c r="E269" s="11">
        <v>3</v>
      </c>
      <c r="F269" s="11">
        <v>2</v>
      </c>
      <c r="G269" s="11">
        <v>2</v>
      </c>
      <c r="H269" s="11">
        <v>3</v>
      </c>
      <c r="I269" s="11">
        <v>2</v>
      </c>
      <c r="J269" s="11">
        <v>2</v>
      </c>
      <c r="K269" s="11">
        <v>2</v>
      </c>
      <c r="L269" s="11">
        <v>2</v>
      </c>
      <c r="M269" s="11">
        <v>2</v>
      </c>
      <c r="N269" s="11">
        <v>2</v>
      </c>
      <c r="O269" s="11">
        <v>3</v>
      </c>
      <c r="P269" s="11">
        <v>2</v>
      </c>
      <c r="Q269" s="11">
        <v>2</v>
      </c>
      <c r="R269" s="11">
        <v>3</v>
      </c>
      <c r="S269" s="11">
        <v>2</v>
      </c>
      <c r="T269" s="11">
        <v>3</v>
      </c>
      <c r="U269" s="10">
        <v>3</v>
      </c>
      <c r="V269" s="6">
        <f t="shared" si="33"/>
        <v>29.483277017068229</v>
      </c>
      <c r="W269" s="6">
        <f t="shared" si="34"/>
        <v>6.6418479853603998</v>
      </c>
      <c r="X269" s="6">
        <f t="shared" si="35"/>
        <v>13.370577819871468</v>
      </c>
      <c r="Y269" s="6">
        <f t="shared" si="36"/>
        <v>10.245076768059768</v>
      </c>
      <c r="Z269" s="6">
        <f t="shared" si="37"/>
        <v>16.094562061860973</v>
      </c>
      <c r="AA269" s="6">
        <f t="shared" si="38"/>
        <v>11.363482141700722</v>
      </c>
      <c r="AB269" s="6">
        <f t="shared" si="39"/>
        <v>6.6418479853603998</v>
      </c>
      <c r="AC269" s="6">
        <f t="shared" si="40"/>
        <v>2</v>
      </c>
    </row>
    <row r="270" spans="1:29">
      <c r="A270" s="11">
        <v>269</v>
      </c>
      <c r="B270" s="12">
        <v>1</v>
      </c>
      <c r="C270" s="11">
        <v>2</v>
      </c>
      <c r="D270" s="11">
        <v>2</v>
      </c>
      <c r="E270" s="11">
        <v>3</v>
      </c>
      <c r="F270" s="11">
        <v>3</v>
      </c>
      <c r="G270" s="11">
        <v>3</v>
      </c>
      <c r="H270" s="11">
        <v>3</v>
      </c>
      <c r="I270" s="11">
        <v>3</v>
      </c>
      <c r="J270" s="11">
        <v>2</v>
      </c>
      <c r="K270" s="11">
        <v>3</v>
      </c>
      <c r="L270" s="11">
        <v>3</v>
      </c>
      <c r="M270" s="11">
        <v>2</v>
      </c>
      <c r="N270" s="11">
        <v>3</v>
      </c>
      <c r="O270" s="11">
        <v>4</v>
      </c>
      <c r="P270" s="11">
        <v>3</v>
      </c>
      <c r="Q270" s="11">
        <v>2</v>
      </c>
      <c r="R270" s="11">
        <v>2</v>
      </c>
      <c r="S270" s="11">
        <v>2</v>
      </c>
      <c r="T270" s="11">
        <v>2</v>
      </c>
      <c r="U270" s="10">
        <v>3</v>
      </c>
      <c r="V270" s="6">
        <f t="shared" si="33"/>
        <v>27.846909248694963</v>
      </c>
      <c r="W270" s="6">
        <f t="shared" si="34"/>
        <v>11.026439248975432</v>
      </c>
      <c r="X270" s="6">
        <f t="shared" si="35"/>
        <v>11.412277707237289</v>
      </c>
      <c r="Y270" s="6">
        <f t="shared" si="36"/>
        <v>12.71159091890558</v>
      </c>
      <c r="Z270" s="6">
        <f t="shared" si="37"/>
        <v>11.837528031766515</v>
      </c>
      <c r="AA270" s="6">
        <f t="shared" si="38"/>
        <v>11.96350288335262</v>
      </c>
      <c r="AB270" s="6">
        <f t="shared" si="39"/>
        <v>11.026439248975432</v>
      </c>
      <c r="AC270" s="6">
        <f t="shared" si="40"/>
        <v>2</v>
      </c>
    </row>
    <row r="271" spans="1:29">
      <c r="A271" s="11">
        <v>270</v>
      </c>
      <c r="B271" s="12">
        <v>2</v>
      </c>
      <c r="C271" s="11">
        <v>2</v>
      </c>
      <c r="D271" s="11">
        <v>3</v>
      </c>
      <c r="E271" s="11">
        <v>2</v>
      </c>
      <c r="F271" s="11">
        <v>2</v>
      </c>
      <c r="G271" s="11">
        <v>2</v>
      </c>
      <c r="H271" s="11">
        <v>2</v>
      </c>
      <c r="I271" s="11">
        <v>2</v>
      </c>
      <c r="J271" s="11">
        <v>2</v>
      </c>
      <c r="K271" s="11">
        <v>2</v>
      </c>
      <c r="L271" s="11">
        <v>2</v>
      </c>
      <c r="M271" s="11">
        <v>3</v>
      </c>
      <c r="N271" s="11">
        <v>2</v>
      </c>
      <c r="O271" s="11">
        <v>2</v>
      </c>
      <c r="P271" s="11">
        <v>2</v>
      </c>
      <c r="Q271" s="11">
        <v>2</v>
      </c>
      <c r="R271" s="11">
        <v>2</v>
      </c>
      <c r="S271" s="11">
        <v>2</v>
      </c>
      <c r="T271" s="11">
        <v>2</v>
      </c>
      <c r="U271" s="10">
        <v>2</v>
      </c>
      <c r="V271" s="6">
        <f t="shared" si="33"/>
        <v>40.665049965666491</v>
      </c>
      <c r="W271" s="6">
        <f t="shared" si="34"/>
        <v>10.087947104439507</v>
      </c>
      <c r="X271" s="6">
        <f t="shared" si="35"/>
        <v>21.120570062447587</v>
      </c>
      <c r="Y271" s="6">
        <f t="shared" si="36"/>
        <v>13.578199017461721</v>
      </c>
      <c r="Z271" s="6">
        <f t="shared" si="37"/>
        <v>27.123066056711352</v>
      </c>
      <c r="AA271" s="6">
        <f t="shared" si="38"/>
        <v>17.741297474201616</v>
      </c>
      <c r="AB271" s="6">
        <f t="shared" si="39"/>
        <v>10.087947104439507</v>
      </c>
      <c r="AC271" s="6">
        <f t="shared" si="40"/>
        <v>2</v>
      </c>
    </row>
    <row r="272" spans="1:29">
      <c r="A272" s="11">
        <v>271</v>
      </c>
      <c r="B272" s="12">
        <v>3</v>
      </c>
      <c r="C272" s="11">
        <v>2</v>
      </c>
      <c r="D272" s="11">
        <v>2</v>
      </c>
      <c r="E272" s="11">
        <v>3</v>
      </c>
      <c r="F272" s="11">
        <v>3</v>
      </c>
      <c r="G272" s="11">
        <v>4</v>
      </c>
      <c r="H272" s="11">
        <v>3</v>
      </c>
      <c r="I272" s="11">
        <v>2</v>
      </c>
      <c r="J272" s="11">
        <v>3</v>
      </c>
      <c r="K272" s="11">
        <v>4</v>
      </c>
      <c r="L272" s="11">
        <v>2</v>
      </c>
      <c r="M272" s="11">
        <v>3</v>
      </c>
      <c r="N272" s="11">
        <v>2</v>
      </c>
      <c r="O272" s="11">
        <v>4</v>
      </c>
      <c r="P272" s="11">
        <v>2</v>
      </c>
      <c r="Q272" s="11">
        <v>2</v>
      </c>
      <c r="R272" s="11">
        <v>3</v>
      </c>
      <c r="S272" s="11">
        <v>2</v>
      </c>
      <c r="T272" s="11">
        <v>5</v>
      </c>
      <c r="U272" s="10">
        <v>4</v>
      </c>
      <c r="V272" s="6">
        <f t="shared" si="33"/>
        <v>22.119723114327151</v>
      </c>
      <c r="W272" s="6">
        <f t="shared" si="34"/>
        <v>18.764995849335499</v>
      </c>
      <c r="X272" s="6">
        <f t="shared" si="35"/>
        <v>15.203939554856133</v>
      </c>
      <c r="Y272" s="6">
        <f t="shared" si="36"/>
        <v>17.356122777438586</v>
      </c>
      <c r="Z272" s="6">
        <f t="shared" si="37"/>
        <v>18.266049252577819</v>
      </c>
      <c r="AA272" s="6">
        <f t="shared" si="38"/>
        <v>19.252401197483607</v>
      </c>
      <c r="AB272" s="6">
        <f t="shared" si="39"/>
        <v>15.203939554856133</v>
      </c>
      <c r="AC272" s="6">
        <f t="shared" si="40"/>
        <v>3</v>
      </c>
    </row>
    <row r="273" spans="1:29">
      <c r="A273" s="11">
        <v>272</v>
      </c>
      <c r="B273" s="12">
        <v>2</v>
      </c>
      <c r="C273" s="11">
        <v>1</v>
      </c>
      <c r="D273" s="11">
        <v>2</v>
      </c>
      <c r="E273" s="11">
        <v>1</v>
      </c>
      <c r="F273" s="11">
        <v>3</v>
      </c>
      <c r="G273" s="11">
        <v>2</v>
      </c>
      <c r="H273" s="11">
        <v>3</v>
      </c>
      <c r="I273" s="11">
        <v>3</v>
      </c>
      <c r="J273" s="11">
        <v>2</v>
      </c>
      <c r="K273" s="11">
        <v>4</v>
      </c>
      <c r="L273" s="11">
        <v>2</v>
      </c>
      <c r="M273" s="11">
        <v>3</v>
      </c>
      <c r="N273" s="11">
        <v>2</v>
      </c>
      <c r="O273" s="11">
        <v>3</v>
      </c>
      <c r="P273" s="11">
        <v>3</v>
      </c>
      <c r="Q273" s="11">
        <v>4</v>
      </c>
      <c r="R273" s="11">
        <v>3</v>
      </c>
      <c r="S273" s="11">
        <v>3</v>
      </c>
      <c r="T273" s="11">
        <v>2</v>
      </c>
      <c r="U273" s="10">
        <v>2</v>
      </c>
      <c r="V273" s="6">
        <f t="shared" si="33"/>
        <v>37.84694696355276</v>
      </c>
      <c r="W273" s="6">
        <f t="shared" si="34"/>
        <v>17.195714788016453</v>
      </c>
      <c r="X273" s="6">
        <f t="shared" si="35"/>
        <v>15.537320766801914</v>
      </c>
      <c r="Y273" s="6">
        <f t="shared" si="36"/>
        <v>18.689377801575493</v>
      </c>
      <c r="Z273" s="6">
        <f t="shared" si="37"/>
        <v>24.780353345534376</v>
      </c>
      <c r="AA273" s="6">
        <f t="shared" si="38"/>
        <v>17.341269020234478</v>
      </c>
      <c r="AB273" s="6">
        <f t="shared" si="39"/>
        <v>15.537320766801914</v>
      </c>
      <c r="AC273" s="6">
        <f t="shared" si="40"/>
        <v>3</v>
      </c>
    </row>
    <row r="274" spans="1:29">
      <c r="A274" s="11">
        <v>273</v>
      </c>
      <c r="B274" s="12">
        <v>5</v>
      </c>
      <c r="C274" s="11">
        <v>2</v>
      </c>
      <c r="D274" s="11">
        <v>1</v>
      </c>
      <c r="E274" s="11">
        <v>3</v>
      </c>
      <c r="F274" s="11">
        <v>3</v>
      </c>
      <c r="G274" s="11">
        <v>5</v>
      </c>
      <c r="H274" s="11">
        <v>3</v>
      </c>
      <c r="I274" s="11">
        <v>3</v>
      </c>
      <c r="J274" s="11">
        <v>1</v>
      </c>
      <c r="K274" s="11">
        <v>3</v>
      </c>
      <c r="L274" s="11">
        <v>2</v>
      </c>
      <c r="M274" s="11">
        <v>1</v>
      </c>
      <c r="N274" s="11">
        <v>1</v>
      </c>
      <c r="O274" s="11">
        <v>5</v>
      </c>
      <c r="P274" s="11">
        <v>5</v>
      </c>
      <c r="Q274" s="11">
        <v>2</v>
      </c>
      <c r="R274" s="11">
        <v>3</v>
      </c>
      <c r="S274" s="11">
        <v>4</v>
      </c>
      <c r="T274" s="11">
        <v>5</v>
      </c>
      <c r="U274" s="10">
        <v>1</v>
      </c>
      <c r="V274" s="6">
        <f t="shared" si="33"/>
        <v>52.483433357882141</v>
      </c>
      <c r="W274" s="6">
        <f t="shared" si="34"/>
        <v>48.272606505710172</v>
      </c>
      <c r="X274" s="6">
        <f t="shared" si="35"/>
        <v>37.20400133595615</v>
      </c>
      <c r="Y274" s="6">
        <f t="shared" si="36"/>
        <v>44.556150708058254</v>
      </c>
      <c r="Z274" s="6">
        <f t="shared" si="37"/>
        <v>28.351923999627964</v>
      </c>
      <c r="AA274" s="6">
        <f t="shared" si="38"/>
        <v>25.163426564104046</v>
      </c>
      <c r="AB274" s="6">
        <f t="shared" si="39"/>
        <v>25.163426564104046</v>
      </c>
      <c r="AC274" s="6">
        <f t="shared" si="40"/>
        <v>6</v>
      </c>
    </row>
    <row r="275" spans="1:29">
      <c r="A275" s="11">
        <v>274</v>
      </c>
      <c r="B275" s="12">
        <v>4</v>
      </c>
      <c r="C275" s="11">
        <v>2</v>
      </c>
      <c r="D275" s="11">
        <v>2</v>
      </c>
      <c r="E275" s="11">
        <v>4</v>
      </c>
      <c r="F275" s="11">
        <v>2</v>
      </c>
      <c r="G275" s="11">
        <v>2</v>
      </c>
      <c r="H275" s="11">
        <v>3</v>
      </c>
      <c r="I275" s="11">
        <v>2</v>
      </c>
      <c r="J275" s="11">
        <v>2</v>
      </c>
      <c r="K275" s="11">
        <v>2</v>
      </c>
      <c r="L275" s="11">
        <v>2</v>
      </c>
      <c r="M275" s="11">
        <v>2</v>
      </c>
      <c r="N275" s="11">
        <v>2</v>
      </c>
      <c r="O275" s="11">
        <v>4</v>
      </c>
      <c r="P275" s="11">
        <v>4</v>
      </c>
      <c r="Q275" s="11">
        <v>2</v>
      </c>
      <c r="R275" s="11">
        <v>2</v>
      </c>
      <c r="S275" s="11">
        <v>4</v>
      </c>
      <c r="T275" s="11">
        <v>3</v>
      </c>
      <c r="U275" s="10">
        <v>4</v>
      </c>
      <c r="V275" s="6">
        <f t="shared" si="33"/>
        <v>29.574253871711438</v>
      </c>
      <c r="W275" s="6">
        <f t="shared" si="34"/>
        <v>11.780366830187754</v>
      </c>
      <c r="X275" s="6">
        <f t="shared" si="35"/>
        <v>15.120587415074027</v>
      </c>
      <c r="Y275" s="6">
        <f t="shared" si="36"/>
        <v>14.644954983113459</v>
      </c>
      <c r="Z275" s="6">
        <f t="shared" si="37"/>
        <v>9.6089154972231015</v>
      </c>
      <c r="AA275" s="6">
        <f t="shared" si="38"/>
        <v>15.741234587941658</v>
      </c>
      <c r="AB275" s="6">
        <f t="shared" si="39"/>
        <v>9.6089154972231015</v>
      </c>
      <c r="AC275" s="6">
        <f t="shared" si="40"/>
        <v>5</v>
      </c>
    </row>
    <row r="276" spans="1:29">
      <c r="A276" s="11">
        <v>275</v>
      </c>
      <c r="B276" s="12">
        <v>5</v>
      </c>
      <c r="C276" s="11">
        <v>4</v>
      </c>
      <c r="D276" s="11">
        <v>3</v>
      </c>
      <c r="E276" s="11">
        <v>3</v>
      </c>
      <c r="F276" s="11">
        <v>4</v>
      </c>
      <c r="G276" s="11">
        <v>4</v>
      </c>
      <c r="H276" s="11">
        <v>3</v>
      </c>
      <c r="I276" s="11">
        <v>2</v>
      </c>
      <c r="J276" s="11">
        <v>4</v>
      </c>
      <c r="K276" s="11">
        <v>2</v>
      </c>
      <c r="L276" s="11">
        <v>4</v>
      </c>
      <c r="M276" s="11">
        <v>3</v>
      </c>
      <c r="N276" s="11">
        <v>4</v>
      </c>
      <c r="O276" s="11">
        <v>2</v>
      </c>
      <c r="P276" s="11">
        <v>4</v>
      </c>
      <c r="Q276" s="11">
        <v>3</v>
      </c>
      <c r="R276" s="11">
        <v>2</v>
      </c>
      <c r="S276" s="11">
        <v>4</v>
      </c>
      <c r="T276" s="11">
        <v>1</v>
      </c>
      <c r="U276" s="10">
        <v>3</v>
      </c>
      <c r="V276" s="6">
        <f t="shared" si="33"/>
        <v>19.756267641426557</v>
      </c>
      <c r="W276" s="6">
        <f t="shared" si="34"/>
        <v>27.011230881948244</v>
      </c>
      <c r="X276" s="6">
        <f t="shared" si="35"/>
        <v>29.953943941031824</v>
      </c>
      <c r="Y276" s="6">
        <f t="shared" si="36"/>
        <v>46.823138142960019</v>
      </c>
      <c r="Z276" s="6">
        <f t="shared" si="37"/>
        <v>35.380127189362305</v>
      </c>
      <c r="AA276" s="6">
        <f t="shared" si="38"/>
        <v>37.674729850112243</v>
      </c>
      <c r="AB276" s="6">
        <f t="shared" si="39"/>
        <v>19.756267641426557</v>
      </c>
      <c r="AC276" s="6">
        <f t="shared" si="40"/>
        <v>1</v>
      </c>
    </row>
    <row r="277" spans="1:29">
      <c r="A277" s="11">
        <v>276</v>
      </c>
      <c r="B277" s="12">
        <v>1</v>
      </c>
      <c r="C277" s="11">
        <v>1</v>
      </c>
      <c r="D277" s="11">
        <v>3</v>
      </c>
      <c r="E277" s="11">
        <v>3</v>
      </c>
      <c r="F277" s="11">
        <v>3</v>
      </c>
      <c r="G277" s="11">
        <v>3</v>
      </c>
      <c r="H277" s="11">
        <v>2</v>
      </c>
      <c r="I277" s="11">
        <v>5</v>
      </c>
      <c r="J277" s="11">
        <v>2</v>
      </c>
      <c r="K277" s="11">
        <v>3</v>
      </c>
      <c r="L277" s="11">
        <v>4</v>
      </c>
      <c r="M277" s="11">
        <v>1</v>
      </c>
      <c r="N277" s="11">
        <v>2</v>
      </c>
      <c r="O277" s="11">
        <v>3</v>
      </c>
      <c r="P277" s="11">
        <v>4</v>
      </c>
      <c r="Q277" s="11">
        <v>3</v>
      </c>
      <c r="R277" s="11">
        <v>3</v>
      </c>
      <c r="S277" s="11">
        <v>4</v>
      </c>
      <c r="T277" s="11">
        <v>5</v>
      </c>
      <c r="U277" s="10">
        <v>5</v>
      </c>
      <c r="V277" s="6">
        <f t="shared" si="33"/>
        <v>35.210532225972692</v>
      </c>
      <c r="W277" s="6">
        <f t="shared" si="34"/>
        <v>36.026567435508483</v>
      </c>
      <c r="X277" s="6">
        <f t="shared" si="35"/>
        <v>19.954049895851103</v>
      </c>
      <c r="Y277" s="6">
        <f t="shared" si="36"/>
        <v>34.289270663550838</v>
      </c>
      <c r="Z277" s="6">
        <f t="shared" si="37"/>
        <v>34.723245170490038</v>
      </c>
      <c r="AA277" s="6">
        <f t="shared" si="38"/>
        <v>45.385786034663958</v>
      </c>
      <c r="AB277" s="6">
        <f t="shared" si="39"/>
        <v>19.954049895851103</v>
      </c>
      <c r="AC277" s="6">
        <f t="shared" si="40"/>
        <v>3</v>
      </c>
    </row>
    <row r="278" spans="1:29">
      <c r="A278" s="11">
        <v>277</v>
      </c>
      <c r="B278" s="12">
        <v>3</v>
      </c>
      <c r="C278" s="11">
        <v>2</v>
      </c>
      <c r="D278" s="11">
        <v>2</v>
      </c>
      <c r="E278" s="11">
        <v>2</v>
      </c>
      <c r="F278" s="11">
        <v>2</v>
      </c>
      <c r="G278" s="11">
        <v>2</v>
      </c>
      <c r="H278" s="11">
        <v>2</v>
      </c>
      <c r="I278" s="11">
        <v>1</v>
      </c>
      <c r="J278" s="11">
        <v>1</v>
      </c>
      <c r="K278" s="11">
        <v>2</v>
      </c>
      <c r="L278" s="11">
        <v>1</v>
      </c>
      <c r="M278" s="11">
        <v>5</v>
      </c>
      <c r="N278" s="11">
        <v>2</v>
      </c>
      <c r="O278" s="11">
        <v>2</v>
      </c>
      <c r="P278" s="11">
        <v>1</v>
      </c>
      <c r="Q278" s="11">
        <v>1</v>
      </c>
      <c r="R278" s="11">
        <v>1</v>
      </c>
      <c r="S278" s="11">
        <v>5</v>
      </c>
      <c r="T278" s="11">
        <v>2</v>
      </c>
      <c r="U278" s="10">
        <v>5</v>
      </c>
      <c r="V278" s="6">
        <f t="shared" si="33"/>
        <v>65.119658114144556</v>
      </c>
      <c r="W278" s="6">
        <f t="shared" si="34"/>
        <v>28.180337128268977</v>
      </c>
      <c r="X278" s="6">
        <f t="shared" si="35"/>
        <v>48.787177208867682</v>
      </c>
      <c r="Y278" s="6">
        <f t="shared" si="36"/>
        <v>29.978393442617385</v>
      </c>
      <c r="Z278" s="6">
        <f t="shared" si="37"/>
        <v>42.66595901946058</v>
      </c>
      <c r="AA278" s="6">
        <f t="shared" si="38"/>
        <v>52.341302121705702</v>
      </c>
      <c r="AB278" s="6">
        <f t="shared" si="39"/>
        <v>28.180337128268977</v>
      </c>
      <c r="AC278" s="6">
        <f t="shared" si="40"/>
        <v>2</v>
      </c>
    </row>
    <row r="279" spans="1:29">
      <c r="A279" s="11">
        <v>278</v>
      </c>
      <c r="B279" s="12">
        <v>2</v>
      </c>
      <c r="C279" s="11">
        <v>2</v>
      </c>
      <c r="D279" s="11">
        <v>1</v>
      </c>
      <c r="E279" s="11">
        <v>4</v>
      </c>
      <c r="F279" s="11">
        <v>2</v>
      </c>
      <c r="G279" s="11">
        <v>4</v>
      </c>
      <c r="H279" s="11">
        <v>3</v>
      </c>
      <c r="I279" s="11">
        <v>2</v>
      </c>
      <c r="J279" s="11">
        <v>2</v>
      </c>
      <c r="K279" s="11">
        <v>3</v>
      </c>
      <c r="L279" s="11">
        <v>2</v>
      </c>
      <c r="M279" s="11">
        <v>1</v>
      </c>
      <c r="N279" s="11">
        <v>1</v>
      </c>
      <c r="O279" s="11">
        <v>4</v>
      </c>
      <c r="P279" s="11">
        <v>3</v>
      </c>
      <c r="Q279" s="11">
        <v>3</v>
      </c>
      <c r="R279" s="11">
        <v>2</v>
      </c>
      <c r="S279" s="11">
        <v>3</v>
      </c>
      <c r="T279" s="11">
        <v>2</v>
      </c>
      <c r="U279" s="10">
        <v>3</v>
      </c>
      <c r="V279" s="6">
        <f t="shared" si="33"/>
        <v>39.028759241983245</v>
      </c>
      <c r="W279" s="6">
        <f t="shared" si="34"/>
        <v>16.226476285701139</v>
      </c>
      <c r="X279" s="6">
        <f t="shared" si="35"/>
        <v>20.078938074782329</v>
      </c>
      <c r="Y279" s="6">
        <f t="shared" si="36"/>
        <v>20.8893909754701</v>
      </c>
      <c r="Z279" s="6">
        <f t="shared" si="37"/>
        <v>9.0375628472205101</v>
      </c>
      <c r="AA279" s="6">
        <f t="shared" si="38"/>
        <v>14.252393138851444</v>
      </c>
      <c r="AB279" s="6">
        <f t="shared" si="39"/>
        <v>9.0375628472205101</v>
      </c>
      <c r="AC279" s="6">
        <f t="shared" si="40"/>
        <v>5</v>
      </c>
    </row>
    <row r="280" spans="1:29">
      <c r="A280" s="11">
        <v>279</v>
      </c>
      <c r="B280" s="12">
        <v>2</v>
      </c>
      <c r="C280" s="11">
        <v>1</v>
      </c>
      <c r="D280" s="11">
        <v>2</v>
      </c>
      <c r="E280" s="11">
        <v>5</v>
      </c>
      <c r="F280" s="11">
        <v>1</v>
      </c>
      <c r="G280" s="11">
        <v>2</v>
      </c>
      <c r="H280" s="11">
        <v>1</v>
      </c>
      <c r="I280" s="11">
        <v>5</v>
      </c>
      <c r="J280" s="11">
        <v>1</v>
      </c>
      <c r="K280" s="11">
        <v>5</v>
      </c>
      <c r="L280" s="11">
        <v>1</v>
      </c>
      <c r="M280" s="11">
        <v>1</v>
      </c>
      <c r="N280" s="11">
        <v>1</v>
      </c>
      <c r="O280" s="11">
        <v>5</v>
      </c>
      <c r="P280" s="11">
        <v>5</v>
      </c>
      <c r="Q280" s="11">
        <v>1</v>
      </c>
      <c r="R280" s="11">
        <v>1</v>
      </c>
      <c r="S280" s="11">
        <v>1</v>
      </c>
      <c r="T280" s="11">
        <v>1</v>
      </c>
      <c r="U280" s="10">
        <v>5</v>
      </c>
      <c r="V280" s="6">
        <f t="shared" si="33"/>
        <v>92.301139335146104</v>
      </c>
      <c r="W280" s="6">
        <f t="shared" si="34"/>
        <v>58.687920589795695</v>
      </c>
      <c r="X280" s="6">
        <f t="shared" si="35"/>
        <v>59.953951607756984</v>
      </c>
      <c r="Y280" s="6">
        <f t="shared" si="36"/>
        <v>60.933611096489429</v>
      </c>
      <c r="Z280" s="6">
        <f t="shared" si="37"/>
        <v>48.923262227851275</v>
      </c>
      <c r="AA280" s="6">
        <f t="shared" si="38"/>
        <v>55.941242340660082</v>
      </c>
      <c r="AB280" s="6">
        <f t="shared" si="39"/>
        <v>48.923262227851275</v>
      </c>
      <c r="AC280" s="6">
        <f t="shared" si="40"/>
        <v>5</v>
      </c>
    </row>
    <row r="281" spans="1:29">
      <c r="A281" s="11">
        <v>280</v>
      </c>
      <c r="B281" s="12">
        <v>3</v>
      </c>
      <c r="C281" s="11">
        <v>2</v>
      </c>
      <c r="D281" s="11">
        <v>2</v>
      </c>
      <c r="E281" s="11">
        <v>4</v>
      </c>
      <c r="F281" s="11">
        <v>2</v>
      </c>
      <c r="G281" s="11">
        <v>2</v>
      </c>
      <c r="H281" s="11">
        <v>3</v>
      </c>
      <c r="I281" s="11">
        <v>4</v>
      </c>
      <c r="J281" s="11">
        <v>2</v>
      </c>
      <c r="K281" s="11">
        <v>3</v>
      </c>
      <c r="L281" s="11">
        <v>4</v>
      </c>
      <c r="M281" s="11">
        <v>2</v>
      </c>
      <c r="N281" s="11">
        <v>3</v>
      </c>
      <c r="O281" s="11">
        <v>2</v>
      </c>
      <c r="P281" s="11">
        <v>5</v>
      </c>
      <c r="Q281" s="11">
        <v>4</v>
      </c>
      <c r="R281" s="11">
        <v>4</v>
      </c>
      <c r="S281" s="11">
        <v>2</v>
      </c>
      <c r="T281" s="11">
        <v>5</v>
      </c>
      <c r="U281" s="10">
        <v>2</v>
      </c>
      <c r="V281" s="6">
        <f t="shared" si="33"/>
        <v>32.665171694285661</v>
      </c>
      <c r="W281" s="6">
        <f t="shared" si="34"/>
        <v>34.149585484374185</v>
      </c>
      <c r="X281" s="6">
        <f t="shared" si="35"/>
        <v>18.329035090336038</v>
      </c>
      <c r="Y281" s="6">
        <f t="shared" si="36"/>
        <v>34.467154592898012</v>
      </c>
      <c r="Z281" s="6">
        <f t="shared" si="37"/>
        <v>40.923147302119744</v>
      </c>
      <c r="AA281" s="6">
        <f t="shared" si="38"/>
        <v>26.34127741257678</v>
      </c>
      <c r="AB281" s="6">
        <f t="shared" si="39"/>
        <v>18.329035090336038</v>
      </c>
      <c r="AC281" s="6">
        <f t="shared" si="40"/>
        <v>3</v>
      </c>
    </row>
    <row r="282" spans="1:29">
      <c r="A282" s="11">
        <v>281</v>
      </c>
      <c r="B282" s="12">
        <v>2</v>
      </c>
      <c r="C282" s="11">
        <v>2</v>
      </c>
      <c r="D282" s="11">
        <v>2</v>
      </c>
      <c r="E282" s="11">
        <v>2</v>
      </c>
      <c r="F282" s="11">
        <v>5</v>
      </c>
      <c r="G282" s="11">
        <v>4</v>
      </c>
      <c r="H282" s="11">
        <v>3</v>
      </c>
      <c r="I282" s="11">
        <v>2</v>
      </c>
      <c r="J282" s="11">
        <v>1</v>
      </c>
      <c r="K282" s="11">
        <v>2</v>
      </c>
      <c r="L282" s="11">
        <v>1</v>
      </c>
      <c r="M282" s="11">
        <v>1</v>
      </c>
      <c r="N282" s="11">
        <v>2</v>
      </c>
      <c r="O282" s="11">
        <v>5</v>
      </c>
      <c r="P282" s="11">
        <v>5</v>
      </c>
      <c r="Q282" s="11">
        <v>2</v>
      </c>
      <c r="R282" s="11">
        <v>2</v>
      </c>
      <c r="S282" s="11">
        <v>2</v>
      </c>
      <c r="T282" s="11">
        <v>3</v>
      </c>
      <c r="U282" s="10">
        <v>4</v>
      </c>
      <c r="V282" s="6">
        <f t="shared" si="33"/>
        <v>45.028766346542128</v>
      </c>
      <c r="W282" s="6">
        <f t="shared" si="34"/>
        <v>23.657224394639691</v>
      </c>
      <c r="X282" s="6">
        <f t="shared" si="35"/>
        <v>27.870601686184326</v>
      </c>
      <c r="Y282" s="6">
        <f t="shared" si="36"/>
        <v>24.289364417287011</v>
      </c>
      <c r="Z282" s="6">
        <f t="shared" si="37"/>
        <v>12.266194384672112</v>
      </c>
      <c r="AA282" s="6">
        <f t="shared" si="38"/>
        <v>20.207907860548382</v>
      </c>
      <c r="AB282" s="6">
        <f t="shared" si="39"/>
        <v>12.266194384672112</v>
      </c>
      <c r="AC282" s="6">
        <f t="shared" si="40"/>
        <v>5</v>
      </c>
    </row>
    <row r="283" spans="1:29">
      <c r="A283" s="11">
        <v>282</v>
      </c>
      <c r="B283" s="12">
        <v>5</v>
      </c>
      <c r="C283" s="11">
        <v>2</v>
      </c>
      <c r="D283" s="11">
        <v>1</v>
      </c>
      <c r="E283" s="11">
        <v>1</v>
      </c>
      <c r="F283" s="11">
        <v>2</v>
      </c>
      <c r="G283" s="11">
        <v>3</v>
      </c>
      <c r="H283" s="11">
        <v>3</v>
      </c>
      <c r="I283" s="11">
        <v>3</v>
      </c>
      <c r="J283" s="11">
        <v>1</v>
      </c>
      <c r="K283" s="11">
        <v>3</v>
      </c>
      <c r="L283" s="11">
        <v>3</v>
      </c>
      <c r="M283" s="11">
        <v>3</v>
      </c>
      <c r="N283" s="11">
        <v>3</v>
      </c>
      <c r="O283" s="11">
        <v>2</v>
      </c>
      <c r="P283" s="11">
        <v>4</v>
      </c>
      <c r="Q283" s="11">
        <v>3</v>
      </c>
      <c r="R283" s="11">
        <v>4</v>
      </c>
      <c r="S283" s="11">
        <v>2</v>
      </c>
      <c r="T283" s="11">
        <v>3</v>
      </c>
      <c r="U283" s="10">
        <v>3</v>
      </c>
      <c r="V283" s="6">
        <f t="shared" si="33"/>
        <v>39.756036331557162</v>
      </c>
      <c r="W283" s="6">
        <f t="shared" si="34"/>
        <v>21.38030477489443</v>
      </c>
      <c r="X283" s="6">
        <f t="shared" si="35"/>
        <v>22.453984972205028</v>
      </c>
      <c r="Y283" s="6">
        <f t="shared" si="36"/>
        <v>21.000869527059702</v>
      </c>
      <c r="Z283" s="6">
        <f t="shared" si="37"/>
        <v>32.980294678826532</v>
      </c>
      <c r="AA283" s="6">
        <f t="shared" si="38"/>
        <v>17.607948987759865</v>
      </c>
      <c r="AB283" s="6">
        <f t="shared" si="39"/>
        <v>17.607948987759865</v>
      </c>
      <c r="AC283" s="6">
        <f t="shared" si="40"/>
        <v>6</v>
      </c>
    </row>
    <row r="284" spans="1:29">
      <c r="A284" s="11">
        <v>283</v>
      </c>
      <c r="B284" s="12">
        <v>3</v>
      </c>
      <c r="C284" s="11">
        <v>3</v>
      </c>
      <c r="D284" s="11">
        <v>2</v>
      </c>
      <c r="E284" s="11">
        <v>2</v>
      </c>
      <c r="F284" s="11">
        <v>3</v>
      </c>
      <c r="G284" s="11">
        <v>3</v>
      </c>
      <c r="H284" s="11">
        <v>3</v>
      </c>
      <c r="I284" s="11">
        <v>2</v>
      </c>
      <c r="J284" s="11">
        <v>2</v>
      </c>
      <c r="K284" s="11">
        <v>4</v>
      </c>
      <c r="L284" s="11">
        <v>3</v>
      </c>
      <c r="M284" s="11">
        <v>2</v>
      </c>
      <c r="N284" s="11">
        <v>3</v>
      </c>
      <c r="O284" s="11">
        <v>4</v>
      </c>
      <c r="P284" s="11">
        <v>3</v>
      </c>
      <c r="Q284" s="11">
        <v>3</v>
      </c>
      <c r="R284" s="11">
        <v>3</v>
      </c>
      <c r="S284" s="11">
        <v>3</v>
      </c>
      <c r="T284" s="11">
        <v>3</v>
      </c>
      <c r="U284" s="10">
        <v>2</v>
      </c>
      <c r="V284" s="6">
        <f t="shared" si="33"/>
        <v>20.847089213123571</v>
      </c>
      <c r="W284" s="6">
        <f t="shared" si="34"/>
        <v>12.826503778111697</v>
      </c>
      <c r="X284" s="6">
        <f t="shared" si="35"/>
        <v>8.453980055001395</v>
      </c>
      <c r="Y284" s="6">
        <f t="shared" si="36"/>
        <v>15.934105134559436</v>
      </c>
      <c r="Z284" s="6">
        <f t="shared" si="37"/>
        <v>11.580385913908458</v>
      </c>
      <c r="AA284" s="6">
        <f t="shared" si="38"/>
        <v>7.29680892989402</v>
      </c>
      <c r="AB284" s="6">
        <f t="shared" si="39"/>
        <v>7.29680892989402</v>
      </c>
      <c r="AC284" s="6">
        <f t="shared" si="40"/>
        <v>6</v>
      </c>
    </row>
    <row r="285" spans="1:29">
      <c r="A285" s="11">
        <v>284</v>
      </c>
      <c r="B285" s="12">
        <v>2</v>
      </c>
      <c r="C285" s="11">
        <v>5</v>
      </c>
      <c r="D285" s="11">
        <v>5</v>
      </c>
      <c r="E285" s="11">
        <v>2</v>
      </c>
      <c r="F285" s="11">
        <v>5</v>
      </c>
      <c r="G285" s="11">
        <v>2</v>
      </c>
      <c r="H285" s="11">
        <v>2</v>
      </c>
      <c r="I285" s="11">
        <v>3</v>
      </c>
      <c r="J285" s="11">
        <v>2</v>
      </c>
      <c r="K285" s="11">
        <v>2</v>
      </c>
      <c r="L285" s="11">
        <v>1</v>
      </c>
      <c r="M285" s="11">
        <v>1</v>
      </c>
      <c r="N285" s="11">
        <v>2</v>
      </c>
      <c r="O285" s="11">
        <v>3</v>
      </c>
      <c r="P285" s="11">
        <v>5</v>
      </c>
      <c r="Q285" s="11">
        <v>3</v>
      </c>
      <c r="R285" s="11">
        <v>3</v>
      </c>
      <c r="S285" s="11">
        <v>2</v>
      </c>
      <c r="T285" s="11">
        <v>5</v>
      </c>
      <c r="U285" s="10">
        <v>3</v>
      </c>
      <c r="V285" s="6">
        <f t="shared" si="33"/>
        <v>39.028833993543202</v>
      </c>
      <c r="W285" s="6">
        <f t="shared" si="34"/>
        <v>37.934255922156566</v>
      </c>
      <c r="X285" s="6">
        <f t="shared" si="35"/>
        <v>31.204001877292647</v>
      </c>
      <c r="Y285" s="6">
        <f t="shared" si="36"/>
        <v>47.311717803541491</v>
      </c>
      <c r="Z285" s="6">
        <f t="shared" si="37"/>
        <v>40.408856739553777</v>
      </c>
      <c r="AA285" s="6">
        <f t="shared" si="38"/>
        <v>43.163505024878248</v>
      </c>
      <c r="AB285" s="6">
        <f t="shared" si="39"/>
        <v>31.204001877292647</v>
      </c>
      <c r="AC285" s="6">
        <f t="shared" si="40"/>
        <v>3</v>
      </c>
    </row>
    <row r="286" spans="1:29">
      <c r="A286" s="11">
        <v>285</v>
      </c>
      <c r="B286" s="12">
        <v>3</v>
      </c>
      <c r="C286" s="11">
        <v>2</v>
      </c>
      <c r="D286" s="11">
        <v>1</v>
      </c>
      <c r="E286" s="11">
        <v>2</v>
      </c>
      <c r="F286" s="11">
        <v>4</v>
      </c>
      <c r="G286" s="11">
        <v>1</v>
      </c>
      <c r="H286" s="11">
        <v>1</v>
      </c>
      <c r="I286" s="11">
        <v>1</v>
      </c>
      <c r="J286" s="11">
        <v>1</v>
      </c>
      <c r="K286" s="11">
        <v>3</v>
      </c>
      <c r="L286" s="11">
        <v>1</v>
      </c>
      <c r="M286" s="11">
        <v>3</v>
      </c>
      <c r="N286" s="11">
        <v>3</v>
      </c>
      <c r="O286" s="11">
        <v>1</v>
      </c>
      <c r="P286" s="11">
        <v>3</v>
      </c>
      <c r="Q286" s="11">
        <v>3</v>
      </c>
      <c r="R286" s="11">
        <v>2</v>
      </c>
      <c r="S286" s="11">
        <v>2</v>
      </c>
      <c r="T286" s="11">
        <v>1</v>
      </c>
      <c r="U286" s="10">
        <v>1</v>
      </c>
      <c r="V286" s="6">
        <f t="shared" si="33"/>
        <v>66.756045322544878</v>
      </c>
      <c r="W286" s="6">
        <f t="shared" si="34"/>
        <v>28.318689220641748</v>
      </c>
      <c r="X286" s="6">
        <f t="shared" si="35"/>
        <v>40.953876740599156</v>
      </c>
      <c r="Y286" s="6">
        <f t="shared" si="36"/>
        <v>36.356132826585359</v>
      </c>
      <c r="Z286" s="6">
        <f t="shared" si="37"/>
        <v>42.694440460218388</v>
      </c>
      <c r="AA286" s="6">
        <f t="shared" si="38"/>
        <v>26.65236723866278</v>
      </c>
      <c r="AB286" s="6">
        <f t="shared" si="39"/>
        <v>26.65236723866278</v>
      </c>
      <c r="AC286" s="6">
        <f t="shared" si="40"/>
        <v>6</v>
      </c>
    </row>
    <row r="287" spans="1:29">
      <c r="A287" s="11">
        <v>286</v>
      </c>
      <c r="B287" s="12">
        <v>1</v>
      </c>
      <c r="C287" s="11">
        <v>1</v>
      </c>
      <c r="D287" s="11">
        <v>1</v>
      </c>
      <c r="E287" s="11">
        <v>1</v>
      </c>
      <c r="F287" s="11">
        <v>1</v>
      </c>
      <c r="G287" s="11">
        <v>5</v>
      </c>
      <c r="H287" s="11">
        <v>1</v>
      </c>
      <c r="I287" s="11">
        <v>1</v>
      </c>
      <c r="J287" s="11">
        <v>1</v>
      </c>
      <c r="K287" s="11">
        <v>1</v>
      </c>
      <c r="L287" s="11">
        <v>1</v>
      </c>
      <c r="M287" s="11">
        <v>1</v>
      </c>
      <c r="N287" s="11">
        <v>2</v>
      </c>
      <c r="O287" s="11">
        <v>4</v>
      </c>
      <c r="P287" s="11">
        <v>5</v>
      </c>
      <c r="Q287" s="11">
        <v>1</v>
      </c>
      <c r="R287" s="11">
        <v>1</v>
      </c>
      <c r="S287" s="11">
        <v>4</v>
      </c>
      <c r="T287" s="11">
        <v>4</v>
      </c>
      <c r="U287" s="10">
        <v>4</v>
      </c>
      <c r="V287" s="6">
        <f t="shared" si="33"/>
        <v>87.301448754913849</v>
      </c>
      <c r="W287" s="6">
        <f t="shared" si="34"/>
        <v>47.026368266459301</v>
      </c>
      <c r="X287" s="6">
        <f t="shared" si="35"/>
        <v>53.120623899674527</v>
      </c>
      <c r="Y287" s="6">
        <f t="shared" si="36"/>
        <v>28.578210956267117</v>
      </c>
      <c r="Z287" s="6">
        <f t="shared" si="37"/>
        <v>38.266279032823668</v>
      </c>
      <c r="AA287" s="6">
        <f t="shared" si="38"/>
        <v>42.230106375054731</v>
      </c>
      <c r="AB287" s="6">
        <f t="shared" si="39"/>
        <v>28.578210956267117</v>
      </c>
      <c r="AC287" s="6">
        <f t="shared" si="40"/>
        <v>4</v>
      </c>
    </row>
    <row r="288" spans="1:29">
      <c r="A288" s="11">
        <v>287</v>
      </c>
      <c r="B288" s="12">
        <v>5</v>
      </c>
      <c r="C288" s="11">
        <v>1</v>
      </c>
      <c r="D288" s="11">
        <v>1</v>
      </c>
      <c r="E288" s="11">
        <v>1</v>
      </c>
      <c r="F288" s="11">
        <v>1</v>
      </c>
      <c r="G288" s="11">
        <v>1</v>
      </c>
      <c r="H288" s="11">
        <v>1</v>
      </c>
      <c r="I288" s="11">
        <v>1</v>
      </c>
      <c r="J288" s="11">
        <v>1</v>
      </c>
      <c r="K288" s="11">
        <v>1</v>
      </c>
      <c r="L288" s="11">
        <v>1</v>
      </c>
      <c r="M288" s="11">
        <v>1</v>
      </c>
      <c r="N288" s="11">
        <v>5</v>
      </c>
      <c r="O288" s="11">
        <v>5</v>
      </c>
      <c r="P288" s="11">
        <v>5</v>
      </c>
      <c r="Q288" s="11">
        <v>1</v>
      </c>
      <c r="R288" s="11">
        <v>1</v>
      </c>
      <c r="S288" s="11">
        <v>1</v>
      </c>
      <c r="T288" s="11">
        <v>1</v>
      </c>
      <c r="U288" s="10">
        <v>1</v>
      </c>
      <c r="V288" s="6">
        <f t="shared" si="33"/>
        <v>115.39229021217814</v>
      </c>
      <c r="W288" s="6">
        <f t="shared" si="34"/>
        <v>61.995462465842003</v>
      </c>
      <c r="X288" s="6">
        <f t="shared" si="35"/>
        <v>77.787209191982157</v>
      </c>
      <c r="Y288" s="6">
        <f t="shared" si="36"/>
        <v>53.356116759119551</v>
      </c>
      <c r="Z288" s="6">
        <f t="shared" si="37"/>
        <v>65.751799878839662</v>
      </c>
      <c r="AA288" s="6">
        <f t="shared" si="38"/>
        <v>42.185530785720466</v>
      </c>
      <c r="AB288" s="6">
        <f t="shared" si="39"/>
        <v>42.185530785720466</v>
      </c>
      <c r="AC288" s="6">
        <f t="shared" si="40"/>
        <v>6</v>
      </c>
    </row>
    <row r="289" spans="1:29">
      <c r="A289" s="11">
        <v>288</v>
      </c>
      <c r="B289" s="12">
        <v>3</v>
      </c>
      <c r="C289" s="11">
        <v>1</v>
      </c>
      <c r="D289" s="11">
        <v>4</v>
      </c>
      <c r="E289" s="11">
        <v>2</v>
      </c>
      <c r="F289" s="11">
        <v>4</v>
      </c>
      <c r="G289" s="11">
        <v>5</v>
      </c>
      <c r="H289" s="11">
        <v>2</v>
      </c>
      <c r="I289" s="11">
        <v>1</v>
      </c>
      <c r="J289" s="11">
        <v>1</v>
      </c>
      <c r="K289" s="11">
        <v>4</v>
      </c>
      <c r="L289" s="11">
        <v>2</v>
      </c>
      <c r="M289" s="11">
        <v>4</v>
      </c>
      <c r="N289" s="11">
        <v>1</v>
      </c>
      <c r="O289" s="11">
        <v>4</v>
      </c>
      <c r="P289" s="11">
        <v>3</v>
      </c>
      <c r="Q289" s="11">
        <v>1</v>
      </c>
      <c r="R289" s="11">
        <v>3</v>
      </c>
      <c r="S289" s="11">
        <v>2</v>
      </c>
      <c r="T289" s="11">
        <v>1</v>
      </c>
      <c r="U289" s="10">
        <v>1</v>
      </c>
      <c r="V289" s="6">
        <f t="shared" si="33"/>
        <v>54.210606832167301</v>
      </c>
      <c r="W289" s="6">
        <f t="shared" si="34"/>
        <v>34.811004163128608</v>
      </c>
      <c r="X289" s="6">
        <f t="shared" si="35"/>
        <v>46.828942169429176</v>
      </c>
      <c r="Y289" s="6">
        <f t="shared" si="36"/>
        <v>42.089151380572517</v>
      </c>
      <c r="Z289" s="6">
        <f t="shared" si="37"/>
        <v>36.437401466045806</v>
      </c>
      <c r="AA289" s="6">
        <f t="shared" si="38"/>
        <v>30.296892252984453</v>
      </c>
      <c r="AB289" s="6">
        <f t="shared" si="39"/>
        <v>30.296892252984453</v>
      </c>
      <c r="AC289" s="6">
        <f t="shared" si="40"/>
        <v>6</v>
      </c>
    </row>
    <row r="290" spans="1:29">
      <c r="A290" s="11">
        <v>289</v>
      </c>
      <c r="B290" s="12">
        <v>3</v>
      </c>
      <c r="C290" s="11">
        <v>1</v>
      </c>
      <c r="D290" s="11">
        <v>1</v>
      </c>
      <c r="E290" s="11">
        <v>3</v>
      </c>
      <c r="F290" s="11">
        <v>1</v>
      </c>
      <c r="G290" s="11">
        <v>1</v>
      </c>
      <c r="H290" s="11">
        <v>3</v>
      </c>
      <c r="I290" s="11">
        <v>3</v>
      </c>
      <c r="J290" s="11">
        <v>3</v>
      </c>
      <c r="K290" s="11">
        <v>3</v>
      </c>
      <c r="L290" s="11">
        <v>2</v>
      </c>
      <c r="M290" s="11">
        <v>3</v>
      </c>
      <c r="N290" s="11">
        <v>5</v>
      </c>
      <c r="O290" s="11">
        <v>3</v>
      </c>
      <c r="P290" s="11">
        <v>5</v>
      </c>
      <c r="Q290" s="11">
        <v>1</v>
      </c>
      <c r="R290" s="11">
        <v>1</v>
      </c>
      <c r="S290" s="11">
        <v>1</v>
      </c>
      <c r="T290" s="11">
        <v>3</v>
      </c>
      <c r="U290" s="10">
        <v>1</v>
      </c>
      <c r="V290" s="6">
        <f t="shared" si="33"/>
        <v>63.846882819875816</v>
      </c>
      <c r="W290" s="6">
        <f t="shared" si="34"/>
        <v>41.857098680664798</v>
      </c>
      <c r="X290" s="6">
        <f t="shared" si="35"/>
        <v>37.120571513262213</v>
      </c>
      <c r="Y290" s="6">
        <f t="shared" si="36"/>
        <v>30.400360616283944</v>
      </c>
      <c r="Z290" s="6">
        <f t="shared" si="37"/>
        <v>49.123163026939622</v>
      </c>
      <c r="AA290" s="6">
        <f t="shared" si="38"/>
        <v>24.963392913525546</v>
      </c>
      <c r="AB290" s="6">
        <f t="shared" si="39"/>
        <v>24.963392913525546</v>
      </c>
      <c r="AC290" s="6">
        <f t="shared" si="40"/>
        <v>6</v>
      </c>
    </row>
    <row r="291" spans="1:29">
      <c r="A291" s="11">
        <v>290</v>
      </c>
      <c r="B291" s="12">
        <v>3</v>
      </c>
      <c r="C291" s="11">
        <v>3</v>
      </c>
      <c r="D291" s="11">
        <v>1</v>
      </c>
      <c r="E291" s="11">
        <v>2</v>
      </c>
      <c r="F291" s="11">
        <v>2</v>
      </c>
      <c r="G291" s="11">
        <v>4</v>
      </c>
      <c r="H291" s="11">
        <v>3</v>
      </c>
      <c r="I291" s="11">
        <v>2</v>
      </c>
      <c r="J291" s="11">
        <v>2</v>
      </c>
      <c r="K291" s="11">
        <v>3</v>
      </c>
      <c r="L291" s="11">
        <v>2</v>
      </c>
      <c r="M291" s="11">
        <v>3</v>
      </c>
      <c r="N291" s="11">
        <v>3</v>
      </c>
      <c r="O291" s="11">
        <v>3</v>
      </c>
      <c r="P291" s="11">
        <v>4</v>
      </c>
      <c r="Q291" s="11">
        <v>4</v>
      </c>
      <c r="R291" s="11">
        <v>3</v>
      </c>
      <c r="S291" s="11">
        <v>1</v>
      </c>
      <c r="T291" s="11">
        <v>3</v>
      </c>
      <c r="U291" s="10">
        <v>3</v>
      </c>
      <c r="V291" s="6">
        <f t="shared" si="33"/>
        <v>32.665165939789389</v>
      </c>
      <c r="W291" s="6">
        <f t="shared" si="34"/>
        <v>14.518785884593008</v>
      </c>
      <c r="X291" s="6">
        <f t="shared" si="35"/>
        <v>17.328973981511727</v>
      </c>
      <c r="Y291" s="6">
        <f t="shared" si="36"/>
        <v>15.71191182237974</v>
      </c>
      <c r="Z291" s="6">
        <f t="shared" si="37"/>
        <v>20.723227814165799</v>
      </c>
      <c r="AA291" s="6">
        <f t="shared" si="38"/>
        <v>9.6746072886600594</v>
      </c>
      <c r="AB291" s="6">
        <f t="shared" si="39"/>
        <v>9.6746072886600594</v>
      </c>
      <c r="AC291" s="6">
        <f t="shared" si="40"/>
        <v>6</v>
      </c>
    </row>
    <row r="292" spans="1:29">
      <c r="A292" s="11">
        <v>291</v>
      </c>
      <c r="B292" s="12">
        <v>4</v>
      </c>
      <c r="C292" s="11">
        <v>1</v>
      </c>
      <c r="D292" s="11">
        <v>2</v>
      </c>
      <c r="E292" s="11">
        <v>4</v>
      </c>
      <c r="F292" s="11">
        <v>4</v>
      </c>
      <c r="G292" s="11">
        <v>2</v>
      </c>
      <c r="H292" s="11">
        <v>3</v>
      </c>
      <c r="I292" s="11">
        <v>2</v>
      </c>
      <c r="J292" s="11">
        <v>1</v>
      </c>
      <c r="K292" s="11">
        <v>1</v>
      </c>
      <c r="L292" s="11">
        <v>1</v>
      </c>
      <c r="M292" s="11">
        <v>1</v>
      </c>
      <c r="N292" s="11">
        <v>4</v>
      </c>
      <c r="O292" s="11">
        <v>4</v>
      </c>
      <c r="P292" s="11">
        <v>4</v>
      </c>
      <c r="Q292" s="11">
        <v>2</v>
      </c>
      <c r="R292" s="11">
        <v>1</v>
      </c>
      <c r="S292" s="11">
        <v>5</v>
      </c>
      <c r="T292" s="11">
        <v>1</v>
      </c>
      <c r="U292" s="10">
        <v>5</v>
      </c>
      <c r="V292" s="6">
        <f t="shared" si="33"/>
        <v>54.210572996888246</v>
      </c>
      <c r="W292" s="6">
        <f t="shared" si="34"/>
        <v>28.7957415447441</v>
      </c>
      <c r="X292" s="6">
        <f t="shared" si="35"/>
        <v>42.495545407287629</v>
      </c>
      <c r="Y292" s="6">
        <f t="shared" si="36"/>
        <v>37.622621869646707</v>
      </c>
      <c r="Z292" s="6">
        <f t="shared" si="37"/>
        <v>23.866031805955078</v>
      </c>
      <c r="AA292" s="6">
        <f t="shared" si="38"/>
        <v>40.519075769783974</v>
      </c>
      <c r="AB292" s="6">
        <f t="shared" si="39"/>
        <v>23.866031805955078</v>
      </c>
      <c r="AC292" s="6">
        <f t="shared" si="40"/>
        <v>5</v>
      </c>
    </row>
    <row r="293" spans="1:29">
      <c r="A293" s="11">
        <v>292</v>
      </c>
      <c r="B293" s="12">
        <v>3</v>
      </c>
      <c r="C293" s="11">
        <v>2</v>
      </c>
      <c r="D293" s="11">
        <v>2</v>
      </c>
      <c r="E293" s="11">
        <v>3</v>
      </c>
      <c r="F293" s="11">
        <v>2</v>
      </c>
      <c r="G293" s="11">
        <v>2</v>
      </c>
      <c r="H293" s="11">
        <v>3</v>
      </c>
      <c r="I293" s="11">
        <v>3</v>
      </c>
      <c r="J293" s="11">
        <v>5</v>
      </c>
      <c r="K293" s="11">
        <v>5</v>
      </c>
      <c r="L293" s="11">
        <v>1</v>
      </c>
      <c r="M293" s="11">
        <v>1</v>
      </c>
      <c r="N293" s="11">
        <v>2</v>
      </c>
      <c r="O293" s="11">
        <v>5</v>
      </c>
      <c r="P293" s="11">
        <v>5</v>
      </c>
      <c r="Q293" s="11">
        <v>3</v>
      </c>
      <c r="R293" s="11">
        <v>1</v>
      </c>
      <c r="S293" s="11">
        <v>4</v>
      </c>
      <c r="T293" s="11">
        <v>5</v>
      </c>
      <c r="U293" s="10">
        <v>4</v>
      </c>
      <c r="V293" s="6">
        <f t="shared" si="33"/>
        <v>45.119773161799202</v>
      </c>
      <c r="W293" s="6">
        <f t="shared" si="34"/>
        <v>46.288151731005833</v>
      </c>
      <c r="X293" s="6">
        <f t="shared" si="35"/>
        <v>26.870646942549495</v>
      </c>
      <c r="Y293" s="6">
        <f t="shared" si="36"/>
        <v>41.244981136968882</v>
      </c>
      <c r="Z293" s="6">
        <f t="shared" si="37"/>
        <v>31.694745387689441</v>
      </c>
      <c r="AA293" s="6">
        <f t="shared" si="38"/>
        <v>39.452301745383956</v>
      </c>
      <c r="AB293" s="6">
        <f t="shared" si="39"/>
        <v>26.870646942549495</v>
      </c>
      <c r="AC293" s="6">
        <f t="shared" si="40"/>
        <v>3</v>
      </c>
    </row>
    <row r="294" spans="1:29">
      <c r="A294" s="11">
        <v>293</v>
      </c>
      <c r="B294" s="12">
        <v>2</v>
      </c>
      <c r="C294" s="11">
        <v>2</v>
      </c>
      <c r="D294" s="11">
        <v>1</v>
      </c>
      <c r="E294" s="11">
        <v>2</v>
      </c>
      <c r="F294" s="11">
        <v>4</v>
      </c>
      <c r="G294" s="11">
        <v>2</v>
      </c>
      <c r="H294" s="11">
        <v>2</v>
      </c>
      <c r="I294" s="11">
        <v>2</v>
      </c>
      <c r="J294" s="11">
        <v>4</v>
      </c>
      <c r="K294" s="11">
        <v>4</v>
      </c>
      <c r="L294" s="11">
        <v>4</v>
      </c>
      <c r="M294" s="11">
        <v>2</v>
      </c>
      <c r="N294" s="11">
        <v>2</v>
      </c>
      <c r="O294" s="11">
        <v>4</v>
      </c>
      <c r="P294" s="11">
        <v>4</v>
      </c>
      <c r="Q294" s="11">
        <v>2</v>
      </c>
      <c r="R294" s="11">
        <v>2</v>
      </c>
      <c r="S294" s="11">
        <v>2</v>
      </c>
      <c r="T294" s="11">
        <v>2</v>
      </c>
      <c r="U294" s="10">
        <v>1</v>
      </c>
      <c r="V294" s="6">
        <f t="shared" si="33"/>
        <v>43.574340040420324</v>
      </c>
      <c r="W294" s="6">
        <f t="shared" si="34"/>
        <v>31.318749062291001</v>
      </c>
      <c r="X294" s="6">
        <f t="shared" si="35"/>
        <v>21.662271564413928</v>
      </c>
      <c r="Y294" s="6">
        <f t="shared" si="36"/>
        <v>32.511749088826981</v>
      </c>
      <c r="Z294" s="6">
        <f t="shared" si="37"/>
        <v>29.666052839624296</v>
      </c>
      <c r="AA294" s="6">
        <f t="shared" si="38"/>
        <v>18.896731860779276</v>
      </c>
      <c r="AB294" s="6">
        <f t="shared" si="39"/>
        <v>18.896731860779276</v>
      </c>
      <c r="AC294" s="6">
        <f t="shared" si="40"/>
        <v>6</v>
      </c>
    </row>
    <row r="295" spans="1:29">
      <c r="A295" s="11">
        <v>294</v>
      </c>
      <c r="B295" s="12">
        <v>2</v>
      </c>
      <c r="C295" s="11">
        <v>2</v>
      </c>
      <c r="D295" s="11">
        <v>2</v>
      </c>
      <c r="E295" s="11">
        <v>3</v>
      </c>
      <c r="F295" s="11">
        <v>2</v>
      </c>
      <c r="G295" s="11">
        <v>3</v>
      </c>
      <c r="H295" s="11">
        <v>4</v>
      </c>
      <c r="I295" s="11">
        <v>3</v>
      </c>
      <c r="J295" s="11">
        <v>3</v>
      </c>
      <c r="K295" s="11">
        <v>4</v>
      </c>
      <c r="L295" s="11">
        <v>1</v>
      </c>
      <c r="M295" s="11">
        <v>2</v>
      </c>
      <c r="N295" s="11">
        <v>4</v>
      </c>
      <c r="O295" s="11">
        <v>5</v>
      </c>
      <c r="P295" s="11">
        <v>3</v>
      </c>
      <c r="Q295" s="11">
        <v>2</v>
      </c>
      <c r="R295" s="11">
        <v>3</v>
      </c>
      <c r="S295" s="11">
        <v>3</v>
      </c>
      <c r="T295" s="11">
        <v>5</v>
      </c>
      <c r="U295" s="10">
        <v>4</v>
      </c>
      <c r="V295" s="6">
        <f t="shared" si="33"/>
        <v>28.756056321061081</v>
      </c>
      <c r="W295" s="6">
        <f t="shared" si="34"/>
        <v>27.011144574583341</v>
      </c>
      <c r="X295" s="6">
        <f t="shared" si="35"/>
        <v>16.245658582787247</v>
      </c>
      <c r="Y295" s="6">
        <f t="shared" si="36"/>
        <v>17.311601496976316</v>
      </c>
      <c r="Z295" s="6">
        <f t="shared" si="37"/>
        <v>21.237609263864918</v>
      </c>
      <c r="AA295" s="6">
        <f t="shared" si="38"/>
        <v>23.496804183293985</v>
      </c>
      <c r="AB295" s="6">
        <f t="shared" si="39"/>
        <v>16.245658582787247</v>
      </c>
      <c r="AC295" s="6">
        <f t="shared" si="40"/>
        <v>3</v>
      </c>
    </row>
    <row r="296" spans="1:29">
      <c r="A296" s="11">
        <v>295</v>
      </c>
      <c r="B296" s="12">
        <v>2</v>
      </c>
      <c r="C296" s="11">
        <v>3</v>
      </c>
      <c r="D296" s="11">
        <v>3</v>
      </c>
      <c r="E296" s="11">
        <v>2</v>
      </c>
      <c r="F296" s="11">
        <v>3</v>
      </c>
      <c r="G296" s="11">
        <v>4</v>
      </c>
      <c r="H296" s="11">
        <v>1</v>
      </c>
      <c r="I296" s="11">
        <v>5</v>
      </c>
      <c r="J296" s="11">
        <v>3</v>
      </c>
      <c r="K296" s="11">
        <v>4</v>
      </c>
      <c r="L296" s="11">
        <v>1</v>
      </c>
      <c r="M296" s="11">
        <v>1</v>
      </c>
      <c r="N296" s="11">
        <v>1</v>
      </c>
      <c r="O296" s="11">
        <v>1</v>
      </c>
      <c r="P296" s="11">
        <v>5</v>
      </c>
      <c r="Q296" s="11">
        <v>1</v>
      </c>
      <c r="R296" s="11">
        <v>3</v>
      </c>
      <c r="S296" s="11">
        <v>2</v>
      </c>
      <c r="T296" s="11">
        <v>4</v>
      </c>
      <c r="U296" s="10">
        <v>4</v>
      </c>
      <c r="V296" s="6">
        <f t="shared" si="33"/>
        <v>45.937689242908988</v>
      </c>
      <c r="W296" s="6">
        <f t="shared" si="34"/>
        <v>40.411105544305819</v>
      </c>
      <c r="X296" s="6">
        <f t="shared" si="35"/>
        <v>28.495692590809362</v>
      </c>
      <c r="Y296" s="6">
        <f t="shared" si="36"/>
        <v>40.889463583543169</v>
      </c>
      <c r="Z296" s="6">
        <f t="shared" si="37"/>
        <v>43.237362837148936</v>
      </c>
      <c r="AA296" s="6">
        <f t="shared" si="38"/>
        <v>42.563606757557466</v>
      </c>
      <c r="AB296" s="6">
        <f t="shared" si="39"/>
        <v>28.495692590809362</v>
      </c>
      <c r="AC296" s="6">
        <f t="shared" si="40"/>
        <v>3</v>
      </c>
    </row>
    <row r="297" spans="1:29">
      <c r="A297" s="11">
        <v>296</v>
      </c>
      <c r="B297" s="12">
        <v>3</v>
      </c>
      <c r="C297" s="11">
        <v>1</v>
      </c>
      <c r="D297" s="11">
        <v>1</v>
      </c>
      <c r="E297" s="11">
        <v>3</v>
      </c>
      <c r="F297" s="11">
        <v>3</v>
      </c>
      <c r="G297" s="11">
        <v>3</v>
      </c>
      <c r="H297" s="11">
        <v>3</v>
      </c>
      <c r="I297" s="11">
        <v>1</v>
      </c>
      <c r="J297" s="11">
        <v>1</v>
      </c>
      <c r="K297" s="11">
        <v>1</v>
      </c>
      <c r="L297" s="11">
        <v>1</v>
      </c>
      <c r="M297" s="11">
        <v>1</v>
      </c>
      <c r="N297" s="11">
        <v>3</v>
      </c>
      <c r="O297" s="11">
        <v>5</v>
      </c>
      <c r="P297" s="11">
        <v>1</v>
      </c>
      <c r="Q297" s="11">
        <v>1</v>
      </c>
      <c r="R297" s="11">
        <v>5</v>
      </c>
      <c r="S297" s="11">
        <v>3</v>
      </c>
      <c r="T297" s="11">
        <v>2</v>
      </c>
      <c r="U297" s="10">
        <v>1</v>
      </c>
      <c r="V297" s="6">
        <f t="shared" si="33"/>
        <v>69.392359297138228</v>
      </c>
      <c r="W297" s="6">
        <f t="shared" si="34"/>
        <v>38.718657245613883</v>
      </c>
      <c r="X297" s="6">
        <f t="shared" si="35"/>
        <v>49.912268811372684</v>
      </c>
      <c r="Y297" s="6">
        <f t="shared" si="36"/>
        <v>35.422586035997519</v>
      </c>
      <c r="Z297" s="6">
        <f t="shared" si="37"/>
        <v>39.637495303184799</v>
      </c>
      <c r="AA297" s="6">
        <f t="shared" si="38"/>
        <v>30.18566679239089</v>
      </c>
      <c r="AB297" s="6">
        <f t="shared" si="39"/>
        <v>30.18566679239089</v>
      </c>
      <c r="AC297" s="6">
        <f t="shared" si="40"/>
        <v>6</v>
      </c>
    </row>
    <row r="298" spans="1:29">
      <c r="A298" s="11">
        <v>297</v>
      </c>
      <c r="B298" s="12">
        <v>1</v>
      </c>
      <c r="C298" s="11">
        <v>1</v>
      </c>
      <c r="D298" s="11">
        <v>4</v>
      </c>
      <c r="E298" s="11">
        <v>4</v>
      </c>
      <c r="F298" s="11">
        <v>4</v>
      </c>
      <c r="G298" s="11">
        <v>4</v>
      </c>
      <c r="H298" s="11">
        <v>4</v>
      </c>
      <c r="I298" s="11">
        <v>4</v>
      </c>
      <c r="J298" s="11">
        <v>1</v>
      </c>
      <c r="K298" s="11">
        <v>1</v>
      </c>
      <c r="L298" s="11">
        <v>1</v>
      </c>
      <c r="M298" s="11">
        <v>1</v>
      </c>
      <c r="N298" s="11">
        <v>1</v>
      </c>
      <c r="O298" s="11">
        <v>1</v>
      </c>
      <c r="P298" s="11">
        <v>1</v>
      </c>
      <c r="Q298" s="11">
        <v>1</v>
      </c>
      <c r="R298" s="11">
        <v>1</v>
      </c>
      <c r="S298" s="11">
        <v>1</v>
      </c>
      <c r="T298" s="11">
        <v>1</v>
      </c>
      <c r="U298" s="10">
        <v>1</v>
      </c>
      <c r="V298" s="6">
        <f t="shared" si="33"/>
        <v>75.937583473607432</v>
      </c>
      <c r="W298" s="6">
        <f t="shared" si="34"/>
        <v>48.518643048181396</v>
      </c>
      <c r="X298" s="6">
        <f t="shared" si="35"/>
        <v>65.912171164316788</v>
      </c>
      <c r="Y298" s="6">
        <f t="shared" si="36"/>
        <v>62.644361423311345</v>
      </c>
      <c r="Z298" s="6">
        <f t="shared" si="37"/>
        <v>59.92298504735809</v>
      </c>
      <c r="AA298" s="6">
        <f t="shared" si="38"/>
        <v>58.052577296129961</v>
      </c>
      <c r="AB298" s="6">
        <f t="shared" si="39"/>
        <v>48.518643048181396</v>
      </c>
      <c r="AC298" s="6">
        <f t="shared" si="40"/>
        <v>2</v>
      </c>
    </row>
    <row r="299" spans="1:29">
      <c r="A299" s="11">
        <v>298</v>
      </c>
      <c r="B299" s="12">
        <v>3</v>
      </c>
      <c r="C299" s="11">
        <v>2</v>
      </c>
      <c r="D299" s="11">
        <v>2</v>
      </c>
      <c r="E299" s="11">
        <v>2</v>
      </c>
      <c r="F299" s="11">
        <v>2</v>
      </c>
      <c r="G299" s="11">
        <v>4</v>
      </c>
      <c r="H299" s="11">
        <v>4</v>
      </c>
      <c r="I299" s="11">
        <v>2</v>
      </c>
      <c r="J299" s="11">
        <v>1</v>
      </c>
      <c r="K299" s="11">
        <v>2</v>
      </c>
      <c r="L299" s="11">
        <v>2</v>
      </c>
      <c r="M299" s="11">
        <v>2</v>
      </c>
      <c r="N299" s="11">
        <v>2</v>
      </c>
      <c r="O299" s="11">
        <v>2</v>
      </c>
      <c r="P299" s="11">
        <v>5</v>
      </c>
      <c r="Q299" s="11">
        <v>4</v>
      </c>
      <c r="R299" s="11">
        <v>2</v>
      </c>
      <c r="S299" s="11">
        <v>2</v>
      </c>
      <c r="T299" s="11">
        <v>1</v>
      </c>
      <c r="U299" s="10">
        <v>3</v>
      </c>
      <c r="V299" s="6">
        <f t="shared" si="33"/>
        <v>44.483294492320859</v>
      </c>
      <c r="W299" s="6">
        <f t="shared" si="34"/>
        <v>15.795693032442118</v>
      </c>
      <c r="X299" s="6">
        <f t="shared" si="35"/>
        <v>27.912277671475209</v>
      </c>
      <c r="Y299" s="6">
        <f t="shared" si="36"/>
        <v>23.200560043147881</v>
      </c>
      <c r="Z299" s="6">
        <f t="shared" si="37"/>
        <v>22.094632163794515</v>
      </c>
      <c r="AA299" s="6">
        <f t="shared" si="38"/>
        <v>17.630231525880514</v>
      </c>
      <c r="AB299" s="6">
        <f t="shared" si="39"/>
        <v>15.795693032442118</v>
      </c>
      <c r="AC299" s="6">
        <f t="shared" si="40"/>
        <v>2</v>
      </c>
    </row>
    <row r="300" spans="1:29">
      <c r="A300" s="11">
        <v>299</v>
      </c>
      <c r="B300" s="12">
        <v>3</v>
      </c>
      <c r="C300" s="11">
        <v>2</v>
      </c>
      <c r="D300" s="11">
        <v>1</v>
      </c>
      <c r="E300" s="11">
        <v>2</v>
      </c>
      <c r="F300" s="11">
        <v>3</v>
      </c>
      <c r="G300" s="11">
        <v>2</v>
      </c>
      <c r="H300" s="11">
        <v>3</v>
      </c>
      <c r="I300" s="11">
        <v>2</v>
      </c>
      <c r="J300" s="11">
        <v>2</v>
      </c>
      <c r="K300" s="11">
        <v>2</v>
      </c>
      <c r="L300" s="11">
        <v>1</v>
      </c>
      <c r="M300" s="11">
        <v>1</v>
      </c>
      <c r="N300" s="11">
        <v>3</v>
      </c>
      <c r="O300" s="11">
        <v>4</v>
      </c>
      <c r="P300" s="11">
        <v>4</v>
      </c>
      <c r="Q300" s="11">
        <v>2</v>
      </c>
      <c r="R300" s="11">
        <v>1</v>
      </c>
      <c r="S300" s="11">
        <v>5</v>
      </c>
      <c r="T300" s="11">
        <v>2</v>
      </c>
      <c r="U300" s="10">
        <v>5</v>
      </c>
      <c r="V300" s="6">
        <f t="shared" si="33"/>
        <v>47.756064114728083</v>
      </c>
      <c r="W300" s="6">
        <f t="shared" si="34"/>
        <v>20.580367277498326</v>
      </c>
      <c r="X300" s="6">
        <f t="shared" si="35"/>
        <v>25.828907754966988</v>
      </c>
      <c r="Y300" s="6">
        <f t="shared" si="36"/>
        <v>20.067350282580431</v>
      </c>
      <c r="Z300" s="6">
        <f t="shared" si="37"/>
        <v>14.609006450321948</v>
      </c>
      <c r="AA300" s="6">
        <f t="shared" si="38"/>
        <v>28.185675123997051</v>
      </c>
      <c r="AB300" s="6">
        <f t="shared" si="39"/>
        <v>14.609006450321948</v>
      </c>
      <c r="AC300" s="6">
        <f t="shared" si="40"/>
        <v>5</v>
      </c>
    </row>
    <row r="301" spans="1:29">
      <c r="A301" s="11">
        <v>300</v>
      </c>
      <c r="B301" s="12">
        <v>4</v>
      </c>
      <c r="C301" s="11">
        <v>3</v>
      </c>
      <c r="D301" s="11">
        <v>3</v>
      </c>
      <c r="E301" s="11">
        <v>4</v>
      </c>
      <c r="F301" s="11">
        <v>3</v>
      </c>
      <c r="G301" s="11">
        <v>4</v>
      </c>
      <c r="H301" s="11">
        <v>3</v>
      </c>
      <c r="I301" s="11">
        <v>2</v>
      </c>
      <c r="J301" s="11">
        <v>2</v>
      </c>
      <c r="K301" s="11">
        <v>4</v>
      </c>
      <c r="L301" s="11">
        <v>2</v>
      </c>
      <c r="M301" s="11">
        <v>1</v>
      </c>
      <c r="N301" s="11">
        <v>2</v>
      </c>
      <c r="O301" s="11">
        <v>5</v>
      </c>
      <c r="P301" s="11">
        <v>4</v>
      </c>
      <c r="Q301" s="11">
        <v>2</v>
      </c>
      <c r="R301" s="11">
        <v>1</v>
      </c>
      <c r="S301" s="11">
        <v>3</v>
      </c>
      <c r="T301" s="11">
        <v>3</v>
      </c>
      <c r="U301" s="10">
        <v>4</v>
      </c>
      <c r="V301" s="6">
        <f t="shared" si="33"/>
        <v>27.028847840544245</v>
      </c>
      <c r="W301" s="6">
        <f t="shared" si="34"/>
        <v>20.657310525117772</v>
      </c>
      <c r="X301" s="6">
        <f t="shared" si="35"/>
        <v>21.662255345368472</v>
      </c>
      <c r="Y301" s="6">
        <f t="shared" si="36"/>
        <v>29.956169053244373</v>
      </c>
      <c r="Z301" s="6">
        <f t="shared" si="37"/>
        <v>6.580390989111736</v>
      </c>
      <c r="AA301" s="6">
        <f t="shared" si="38"/>
        <v>19.407958496550076</v>
      </c>
      <c r="AB301" s="6">
        <f t="shared" si="39"/>
        <v>6.580390989111736</v>
      </c>
      <c r="AC301" s="6">
        <f t="shared" si="40"/>
        <v>5</v>
      </c>
    </row>
    <row r="302" spans="1:29">
      <c r="A302" s="11">
        <v>301</v>
      </c>
      <c r="B302" s="12">
        <v>3</v>
      </c>
      <c r="C302" s="11">
        <v>1</v>
      </c>
      <c r="D302" s="11">
        <v>1</v>
      </c>
      <c r="E302" s="11">
        <v>3</v>
      </c>
      <c r="F302" s="11">
        <v>2</v>
      </c>
      <c r="G302" s="11">
        <v>3</v>
      </c>
      <c r="H302" s="11">
        <v>3</v>
      </c>
      <c r="I302" s="11">
        <v>2</v>
      </c>
      <c r="J302" s="11">
        <v>3</v>
      </c>
      <c r="K302" s="11">
        <v>2</v>
      </c>
      <c r="L302" s="11">
        <v>1</v>
      </c>
      <c r="M302" s="11">
        <v>2</v>
      </c>
      <c r="N302" s="11">
        <v>3</v>
      </c>
      <c r="O302" s="11">
        <v>4</v>
      </c>
      <c r="P302" s="11">
        <v>4</v>
      </c>
      <c r="Q302" s="11">
        <v>2</v>
      </c>
      <c r="R302" s="11">
        <v>2</v>
      </c>
      <c r="S302" s="11">
        <v>3</v>
      </c>
      <c r="T302" s="11">
        <v>3</v>
      </c>
      <c r="U302" s="10">
        <v>3</v>
      </c>
      <c r="V302" s="6">
        <f t="shared" si="33"/>
        <v>35.210567927794912</v>
      </c>
      <c r="W302" s="6">
        <f t="shared" si="34"/>
        <v>13.811065233604001</v>
      </c>
      <c r="X302" s="6">
        <f t="shared" si="35"/>
        <v>15.287262817994174</v>
      </c>
      <c r="Y302" s="6">
        <f t="shared" si="36"/>
        <v>7.9781807894932459</v>
      </c>
      <c r="Z302" s="6">
        <f t="shared" si="37"/>
        <v>12.180376079823366</v>
      </c>
      <c r="AA302" s="6">
        <f t="shared" si="38"/>
        <v>8.474562204053365</v>
      </c>
      <c r="AB302" s="6">
        <f t="shared" si="39"/>
        <v>7.9781807894932459</v>
      </c>
      <c r="AC302" s="6">
        <f t="shared" si="40"/>
        <v>4</v>
      </c>
    </row>
    <row r="303" spans="1:29">
      <c r="A303" s="11">
        <v>302</v>
      </c>
      <c r="B303" s="12">
        <v>4</v>
      </c>
      <c r="C303" s="11">
        <v>4</v>
      </c>
      <c r="D303" s="11">
        <v>4</v>
      </c>
      <c r="E303" s="11">
        <v>2</v>
      </c>
      <c r="F303" s="11">
        <v>3</v>
      </c>
      <c r="G303" s="11">
        <v>3</v>
      </c>
      <c r="H303" s="11">
        <v>2</v>
      </c>
      <c r="I303" s="11">
        <v>2</v>
      </c>
      <c r="J303" s="11">
        <v>2</v>
      </c>
      <c r="K303" s="11">
        <v>4</v>
      </c>
      <c r="L303" s="11">
        <v>2</v>
      </c>
      <c r="M303" s="11">
        <v>2</v>
      </c>
      <c r="N303" s="11">
        <v>2</v>
      </c>
      <c r="O303" s="11">
        <v>4</v>
      </c>
      <c r="P303" s="11">
        <v>4</v>
      </c>
      <c r="Q303" s="11">
        <v>2</v>
      </c>
      <c r="R303" s="11">
        <v>1</v>
      </c>
      <c r="S303" s="11">
        <v>3</v>
      </c>
      <c r="T303" s="11">
        <v>4</v>
      </c>
      <c r="U303" s="10">
        <v>5</v>
      </c>
      <c r="V303" s="6">
        <f t="shared" si="33"/>
        <v>28.3924961771407</v>
      </c>
      <c r="W303" s="6">
        <f t="shared" si="34"/>
        <v>20.811195081222298</v>
      </c>
      <c r="X303" s="6">
        <f t="shared" si="35"/>
        <v>21.537266688685303</v>
      </c>
      <c r="Y303" s="6">
        <f t="shared" si="36"/>
        <v>28.356378795032256</v>
      </c>
      <c r="Z303" s="6">
        <f t="shared" si="37"/>
        <v>16.894629762734613</v>
      </c>
      <c r="AA303" s="6">
        <f t="shared" si="38"/>
        <v>28.963507120680838</v>
      </c>
      <c r="AB303" s="6">
        <f t="shared" si="39"/>
        <v>16.894629762734613</v>
      </c>
      <c r="AC303" s="6">
        <f t="shared" si="40"/>
        <v>5</v>
      </c>
    </row>
    <row r="304" spans="1:29">
      <c r="A304" s="11">
        <v>303</v>
      </c>
      <c r="B304" s="12">
        <v>1</v>
      </c>
      <c r="C304" s="11">
        <v>3</v>
      </c>
      <c r="D304" s="11">
        <v>3</v>
      </c>
      <c r="E304" s="11">
        <v>4</v>
      </c>
      <c r="F304" s="11">
        <v>5</v>
      </c>
      <c r="G304" s="11">
        <v>3</v>
      </c>
      <c r="H304" s="11">
        <v>3</v>
      </c>
      <c r="I304" s="11">
        <v>1</v>
      </c>
      <c r="J304" s="11">
        <v>1</v>
      </c>
      <c r="K304" s="11">
        <v>3</v>
      </c>
      <c r="L304" s="11">
        <v>2</v>
      </c>
      <c r="M304" s="11">
        <v>1</v>
      </c>
      <c r="N304" s="11">
        <v>1</v>
      </c>
      <c r="O304" s="11">
        <v>4</v>
      </c>
      <c r="P304" s="11">
        <v>4</v>
      </c>
      <c r="Q304" s="11">
        <v>1</v>
      </c>
      <c r="R304" s="11">
        <v>2</v>
      </c>
      <c r="S304" s="11">
        <v>3</v>
      </c>
      <c r="T304" s="11">
        <v>3</v>
      </c>
      <c r="U304" s="10">
        <v>3</v>
      </c>
      <c r="V304" s="6">
        <f t="shared" si="33"/>
        <v>38.937957993896966</v>
      </c>
      <c r="W304" s="6">
        <f t="shared" si="34"/>
        <v>24.995711499270321</v>
      </c>
      <c r="X304" s="6">
        <f t="shared" si="35"/>
        <v>26.870575283820045</v>
      </c>
      <c r="Y304" s="6">
        <f t="shared" si="36"/>
        <v>31.733695591099419</v>
      </c>
      <c r="Z304" s="6">
        <f t="shared" si="37"/>
        <v>14.008955060093291</v>
      </c>
      <c r="AA304" s="6">
        <f t="shared" si="38"/>
        <v>25.874603337616595</v>
      </c>
      <c r="AB304" s="6">
        <f t="shared" si="39"/>
        <v>14.008955060093291</v>
      </c>
      <c r="AC304" s="6">
        <f t="shared" si="40"/>
        <v>5</v>
      </c>
    </row>
    <row r="305" spans="1:29">
      <c r="A305" s="11">
        <v>304</v>
      </c>
      <c r="B305" s="12">
        <v>3</v>
      </c>
      <c r="C305" s="11">
        <v>4</v>
      </c>
      <c r="D305" s="11">
        <v>4</v>
      </c>
      <c r="E305" s="11">
        <v>3</v>
      </c>
      <c r="F305" s="11">
        <v>4</v>
      </c>
      <c r="G305" s="11">
        <v>2</v>
      </c>
      <c r="H305" s="11">
        <v>3</v>
      </c>
      <c r="I305" s="11">
        <v>2</v>
      </c>
      <c r="J305" s="11">
        <v>2</v>
      </c>
      <c r="K305" s="11">
        <v>3</v>
      </c>
      <c r="L305" s="11">
        <v>2</v>
      </c>
      <c r="M305" s="11">
        <v>4</v>
      </c>
      <c r="N305" s="11">
        <v>4</v>
      </c>
      <c r="O305" s="11">
        <v>4</v>
      </c>
      <c r="P305" s="11">
        <v>4</v>
      </c>
      <c r="Q305" s="11">
        <v>3</v>
      </c>
      <c r="R305" s="11">
        <v>3</v>
      </c>
      <c r="S305" s="11">
        <v>2</v>
      </c>
      <c r="T305" s="11">
        <v>2</v>
      </c>
      <c r="U305" s="10">
        <v>4</v>
      </c>
      <c r="V305" s="6">
        <f t="shared" si="33"/>
        <v>19.392498734652108</v>
      </c>
      <c r="W305" s="6">
        <f t="shared" si="34"/>
        <v>14.365029846499162</v>
      </c>
      <c r="X305" s="6">
        <f t="shared" si="35"/>
        <v>19.537297336057019</v>
      </c>
      <c r="Y305" s="6">
        <f t="shared" si="36"/>
        <v>27.134018025419959</v>
      </c>
      <c r="Z305" s="6">
        <f t="shared" si="37"/>
        <v>22.80883333978456</v>
      </c>
      <c r="AA305" s="6">
        <f t="shared" si="38"/>
        <v>25.052406443269458</v>
      </c>
      <c r="AB305" s="6">
        <f t="shared" si="39"/>
        <v>14.365029846499162</v>
      </c>
      <c r="AC305" s="6">
        <f t="shared" si="40"/>
        <v>2</v>
      </c>
    </row>
    <row r="306" spans="1:29">
      <c r="A306" s="11">
        <v>305</v>
      </c>
      <c r="B306" s="12">
        <v>2</v>
      </c>
      <c r="C306" s="11">
        <v>2</v>
      </c>
      <c r="D306" s="11">
        <v>2</v>
      </c>
      <c r="E306" s="11">
        <v>5</v>
      </c>
      <c r="F306" s="11">
        <v>3</v>
      </c>
      <c r="G306" s="11">
        <v>5</v>
      </c>
      <c r="H306" s="11">
        <v>3</v>
      </c>
      <c r="I306" s="11">
        <v>3</v>
      </c>
      <c r="J306" s="11">
        <v>3</v>
      </c>
      <c r="K306" s="11">
        <v>2</v>
      </c>
      <c r="L306" s="11">
        <v>2</v>
      </c>
      <c r="M306" s="11">
        <v>2</v>
      </c>
      <c r="N306" s="11">
        <v>3</v>
      </c>
      <c r="O306" s="11">
        <v>5</v>
      </c>
      <c r="P306" s="11">
        <v>4</v>
      </c>
      <c r="Q306" s="11">
        <v>1</v>
      </c>
      <c r="R306" s="11">
        <v>2</v>
      </c>
      <c r="S306" s="11">
        <v>3</v>
      </c>
      <c r="T306" s="11">
        <v>3</v>
      </c>
      <c r="U306" s="10">
        <v>3</v>
      </c>
      <c r="V306" s="6">
        <f t="shared" si="33"/>
        <v>27.756042739301659</v>
      </c>
      <c r="W306" s="6">
        <f t="shared" si="34"/>
        <v>25.318775638159558</v>
      </c>
      <c r="X306" s="6">
        <f t="shared" si="35"/>
        <v>22.245625962525107</v>
      </c>
      <c r="Y306" s="6">
        <f t="shared" si="36"/>
        <v>25.489213836819985</v>
      </c>
      <c r="Z306" s="6">
        <f t="shared" si="37"/>
        <v>14.837531263159885</v>
      </c>
      <c r="AA306" s="6">
        <f t="shared" si="38"/>
        <v>20.785742969279003</v>
      </c>
      <c r="AB306" s="6">
        <f t="shared" si="39"/>
        <v>14.837531263159885</v>
      </c>
      <c r="AC306" s="6">
        <f t="shared" si="40"/>
        <v>5</v>
      </c>
    </row>
    <row r="307" spans="1:29">
      <c r="A307" s="11">
        <v>306</v>
      </c>
      <c r="B307" s="12">
        <v>2</v>
      </c>
      <c r="C307" s="11">
        <v>1</v>
      </c>
      <c r="D307" s="11">
        <v>2</v>
      </c>
      <c r="E307" s="11">
        <v>2</v>
      </c>
      <c r="F307" s="11">
        <v>2</v>
      </c>
      <c r="G307" s="11">
        <v>2</v>
      </c>
      <c r="H307" s="11">
        <v>4</v>
      </c>
      <c r="I307" s="11">
        <v>1</v>
      </c>
      <c r="J307" s="11">
        <v>1</v>
      </c>
      <c r="K307" s="11">
        <v>2</v>
      </c>
      <c r="L307" s="11">
        <v>1</v>
      </c>
      <c r="M307" s="11">
        <v>4</v>
      </c>
      <c r="N307" s="11">
        <v>2</v>
      </c>
      <c r="O307" s="11">
        <v>5</v>
      </c>
      <c r="P307" s="11">
        <v>2</v>
      </c>
      <c r="Q307" s="11">
        <v>1</v>
      </c>
      <c r="R307" s="11">
        <v>1</v>
      </c>
      <c r="S307" s="11">
        <v>1</v>
      </c>
      <c r="T307" s="11">
        <v>5</v>
      </c>
      <c r="U307" s="10">
        <v>5</v>
      </c>
      <c r="V307" s="6">
        <f t="shared" si="33"/>
        <v>69.301416833444691</v>
      </c>
      <c r="W307" s="6">
        <f t="shared" si="34"/>
        <v>34.118724826785886</v>
      </c>
      <c r="X307" s="6">
        <f t="shared" si="35"/>
        <v>47.120493888440322</v>
      </c>
      <c r="Y307" s="6">
        <f t="shared" si="36"/>
        <v>22.422566353420073</v>
      </c>
      <c r="Z307" s="6">
        <f t="shared" si="37"/>
        <v>38.580470654804948</v>
      </c>
      <c r="AA307" s="6">
        <f t="shared" si="38"/>
        <v>40.007833539620094</v>
      </c>
      <c r="AB307" s="6">
        <f t="shared" si="39"/>
        <v>22.422566353420073</v>
      </c>
      <c r="AC307" s="6">
        <f t="shared" si="40"/>
        <v>4</v>
      </c>
    </row>
    <row r="308" spans="1:29">
      <c r="A308" s="11">
        <v>307</v>
      </c>
      <c r="B308" s="12">
        <v>2</v>
      </c>
      <c r="C308" s="11">
        <v>3</v>
      </c>
      <c r="D308" s="11">
        <v>2</v>
      </c>
      <c r="E308" s="11">
        <v>4</v>
      </c>
      <c r="F308" s="11">
        <v>3</v>
      </c>
      <c r="G308" s="11">
        <v>3</v>
      </c>
      <c r="H308" s="11">
        <v>2</v>
      </c>
      <c r="I308" s="11">
        <v>4</v>
      </c>
      <c r="J308" s="11">
        <v>3</v>
      </c>
      <c r="K308" s="11">
        <v>2</v>
      </c>
      <c r="L308" s="11">
        <v>4</v>
      </c>
      <c r="M308" s="11">
        <v>3</v>
      </c>
      <c r="N308" s="11">
        <v>2</v>
      </c>
      <c r="O308" s="11">
        <v>4</v>
      </c>
      <c r="P308" s="11">
        <v>3</v>
      </c>
      <c r="Q308" s="11">
        <v>2</v>
      </c>
      <c r="R308" s="11">
        <v>3</v>
      </c>
      <c r="S308" s="11">
        <v>3</v>
      </c>
      <c r="T308" s="11">
        <v>2</v>
      </c>
      <c r="U308" s="10">
        <v>3</v>
      </c>
      <c r="V308" s="6">
        <f t="shared" si="33"/>
        <v>22.028758489947297</v>
      </c>
      <c r="W308" s="6">
        <f t="shared" si="34"/>
        <v>16.780350191661864</v>
      </c>
      <c r="X308" s="6">
        <f t="shared" si="35"/>
        <v>12.662319389115682</v>
      </c>
      <c r="Y308" s="6">
        <f t="shared" si="36"/>
        <v>24.489521316048272</v>
      </c>
      <c r="Z308" s="6">
        <f t="shared" si="37"/>
        <v>20.808869775438801</v>
      </c>
      <c r="AA308" s="6">
        <f t="shared" si="38"/>
        <v>22.674611385804749</v>
      </c>
      <c r="AB308" s="6">
        <f t="shared" si="39"/>
        <v>12.662319389115682</v>
      </c>
      <c r="AC308" s="6">
        <f t="shared" si="40"/>
        <v>3</v>
      </c>
    </row>
    <row r="309" spans="1:29">
      <c r="A309" s="11">
        <v>308</v>
      </c>
      <c r="B309" s="12">
        <v>2</v>
      </c>
      <c r="C309" s="11">
        <v>2</v>
      </c>
      <c r="D309" s="11">
        <v>2</v>
      </c>
      <c r="E309" s="11">
        <v>2</v>
      </c>
      <c r="F309" s="11">
        <v>1</v>
      </c>
      <c r="G309" s="11">
        <v>2</v>
      </c>
      <c r="H309" s="11">
        <v>2</v>
      </c>
      <c r="I309" s="11">
        <v>2</v>
      </c>
      <c r="J309" s="11">
        <v>2</v>
      </c>
      <c r="K309" s="11">
        <v>2</v>
      </c>
      <c r="L309" s="11">
        <v>2</v>
      </c>
      <c r="M309" s="11">
        <v>2</v>
      </c>
      <c r="N309" s="11">
        <v>4</v>
      </c>
      <c r="O309" s="11">
        <v>4</v>
      </c>
      <c r="P309" s="11">
        <v>5</v>
      </c>
      <c r="Q309" s="11">
        <v>1</v>
      </c>
      <c r="R309" s="11">
        <v>2</v>
      </c>
      <c r="S309" s="11">
        <v>4</v>
      </c>
      <c r="T309" s="11">
        <v>3</v>
      </c>
      <c r="U309" s="10">
        <v>4</v>
      </c>
      <c r="V309" s="6">
        <f t="shared" si="33"/>
        <v>46.028764066888598</v>
      </c>
      <c r="W309" s="6">
        <f t="shared" si="34"/>
        <v>21.534135188094123</v>
      </c>
      <c r="X309" s="6">
        <f t="shared" si="35"/>
        <v>20.995643113687642</v>
      </c>
      <c r="Y309" s="6">
        <f t="shared" si="36"/>
        <v>10.244996140280799</v>
      </c>
      <c r="Z309" s="6">
        <f t="shared" si="37"/>
        <v>22.237579577244446</v>
      </c>
      <c r="AA309" s="6">
        <f t="shared" si="38"/>
        <v>22.052314507794382</v>
      </c>
      <c r="AB309" s="6">
        <f t="shared" si="39"/>
        <v>10.244996140280799</v>
      </c>
      <c r="AC309" s="6">
        <f t="shared" si="40"/>
        <v>4</v>
      </c>
    </row>
    <row r="310" spans="1:29">
      <c r="A310" s="11">
        <v>309</v>
      </c>
      <c r="B310" s="12">
        <v>2</v>
      </c>
      <c r="C310" s="11">
        <v>2</v>
      </c>
      <c r="D310" s="11">
        <v>3</v>
      </c>
      <c r="E310" s="11">
        <v>3</v>
      </c>
      <c r="F310" s="11">
        <v>3</v>
      </c>
      <c r="G310" s="11">
        <v>2</v>
      </c>
      <c r="H310" s="11">
        <v>3</v>
      </c>
      <c r="I310" s="11">
        <v>2</v>
      </c>
      <c r="J310" s="11">
        <v>1</v>
      </c>
      <c r="K310" s="11">
        <v>3</v>
      </c>
      <c r="L310" s="11">
        <v>3</v>
      </c>
      <c r="M310" s="11">
        <v>3</v>
      </c>
      <c r="N310" s="11">
        <v>2</v>
      </c>
      <c r="O310" s="11">
        <v>3</v>
      </c>
      <c r="P310" s="11">
        <v>3</v>
      </c>
      <c r="Q310" s="11">
        <v>2</v>
      </c>
      <c r="R310" s="11">
        <v>3</v>
      </c>
      <c r="S310" s="11">
        <v>3</v>
      </c>
      <c r="T310" s="11">
        <v>2</v>
      </c>
      <c r="U310" s="10">
        <v>3</v>
      </c>
      <c r="V310" s="6">
        <f t="shared" si="33"/>
        <v>25.301512208035305</v>
      </c>
      <c r="W310" s="6">
        <f t="shared" si="34"/>
        <v>6.4726293893805567</v>
      </c>
      <c r="X310" s="6">
        <f t="shared" si="35"/>
        <v>11.662276835939368</v>
      </c>
      <c r="Y310" s="6">
        <f t="shared" si="36"/>
        <v>12.044882427423433</v>
      </c>
      <c r="Z310" s="6">
        <f t="shared" si="37"/>
        <v>13.751724272405745</v>
      </c>
      <c r="AA310" s="6">
        <f t="shared" si="38"/>
        <v>14.074628403406271</v>
      </c>
      <c r="AB310" s="6">
        <f t="shared" si="39"/>
        <v>6.4726293893805567</v>
      </c>
      <c r="AC310" s="6">
        <f t="shared" si="40"/>
        <v>2</v>
      </c>
    </row>
    <row r="311" spans="1:29">
      <c r="A311" s="11">
        <v>310</v>
      </c>
      <c r="B311" s="12">
        <v>1</v>
      </c>
      <c r="C311" s="11">
        <v>2</v>
      </c>
      <c r="D311" s="11">
        <v>1</v>
      </c>
      <c r="E311" s="11">
        <v>1</v>
      </c>
      <c r="F311" s="11">
        <v>2</v>
      </c>
      <c r="G311" s="11">
        <v>1</v>
      </c>
      <c r="H311" s="11">
        <v>2</v>
      </c>
      <c r="I311" s="11">
        <v>3</v>
      </c>
      <c r="J311" s="11">
        <v>2</v>
      </c>
      <c r="K311" s="11">
        <v>1</v>
      </c>
      <c r="L311" s="11">
        <v>1</v>
      </c>
      <c r="M311" s="11">
        <v>2</v>
      </c>
      <c r="N311" s="11">
        <v>3</v>
      </c>
      <c r="O311" s="11">
        <v>2</v>
      </c>
      <c r="P311" s="11">
        <v>1</v>
      </c>
      <c r="Q311" s="11">
        <v>3</v>
      </c>
      <c r="R311" s="11">
        <v>2</v>
      </c>
      <c r="S311" s="11">
        <v>3</v>
      </c>
      <c r="T311" s="11">
        <v>4</v>
      </c>
      <c r="U311" s="10">
        <v>4</v>
      </c>
      <c r="V311" s="6">
        <f t="shared" si="33"/>
        <v>62.11954527002338</v>
      </c>
      <c r="W311" s="6">
        <f t="shared" si="34"/>
        <v>26.349531565072084</v>
      </c>
      <c r="X311" s="6">
        <f t="shared" si="35"/>
        <v>31.870579736956138</v>
      </c>
      <c r="Y311" s="6">
        <f t="shared" si="36"/>
        <v>19.867282761676037</v>
      </c>
      <c r="Z311" s="6">
        <f t="shared" si="37"/>
        <v>42.894620431222187</v>
      </c>
      <c r="AA311" s="6">
        <f t="shared" si="38"/>
        <v>40.074577970792461</v>
      </c>
      <c r="AB311" s="6">
        <f t="shared" si="39"/>
        <v>19.867282761676037</v>
      </c>
      <c r="AC311" s="6">
        <f t="shared" si="40"/>
        <v>4</v>
      </c>
    </row>
    <row r="312" spans="1:29">
      <c r="A312" s="11">
        <v>311</v>
      </c>
      <c r="B312" s="12">
        <v>3</v>
      </c>
      <c r="C312" s="11">
        <v>4</v>
      </c>
      <c r="D312" s="11">
        <v>5</v>
      </c>
      <c r="E312" s="11">
        <v>4</v>
      </c>
      <c r="F312" s="11">
        <v>3</v>
      </c>
      <c r="G312" s="11">
        <v>3</v>
      </c>
      <c r="H312" s="11">
        <v>5</v>
      </c>
      <c r="I312" s="11">
        <v>4</v>
      </c>
      <c r="J312" s="11">
        <v>4</v>
      </c>
      <c r="K312" s="11">
        <v>4</v>
      </c>
      <c r="L312" s="11">
        <v>5</v>
      </c>
      <c r="M312" s="11">
        <v>4</v>
      </c>
      <c r="N312" s="11">
        <v>3</v>
      </c>
      <c r="O312" s="11">
        <v>3</v>
      </c>
      <c r="P312" s="11">
        <v>4</v>
      </c>
      <c r="Q312" s="11">
        <v>5</v>
      </c>
      <c r="R312" s="11">
        <v>4</v>
      </c>
      <c r="S312" s="11">
        <v>4</v>
      </c>
      <c r="T312" s="11">
        <v>4</v>
      </c>
      <c r="U312" s="10">
        <v>2</v>
      </c>
      <c r="V312" s="6">
        <f t="shared" si="33"/>
        <v>20.665413084074356</v>
      </c>
      <c r="W312" s="6">
        <f t="shared" si="34"/>
        <v>55.026717836184631</v>
      </c>
      <c r="X312" s="6">
        <f t="shared" si="35"/>
        <v>35.45407865379233</v>
      </c>
      <c r="Y312" s="6">
        <f t="shared" si="36"/>
        <v>70.35617841913502</v>
      </c>
      <c r="Z312" s="6">
        <f t="shared" si="37"/>
        <v>62.208827177038899</v>
      </c>
      <c r="AA312" s="6">
        <f t="shared" si="38"/>
        <v>62.363602289161619</v>
      </c>
      <c r="AB312" s="6">
        <f t="shared" si="39"/>
        <v>20.665413084074356</v>
      </c>
      <c r="AC312" s="6">
        <f t="shared" si="40"/>
        <v>1</v>
      </c>
    </row>
    <row r="313" spans="1:29">
      <c r="A313" s="11">
        <v>312</v>
      </c>
      <c r="B313" s="12">
        <v>2</v>
      </c>
      <c r="C313" s="11">
        <v>3</v>
      </c>
      <c r="D313" s="11">
        <v>3</v>
      </c>
      <c r="E313" s="11">
        <v>2</v>
      </c>
      <c r="F313" s="11">
        <v>3</v>
      </c>
      <c r="G313" s="11">
        <v>2</v>
      </c>
      <c r="H313" s="11">
        <v>2</v>
      </c>
      <c r="I313" s="11">
        <v>2</v>
      </c>
      <c r="J313" s="11">
        <v>2</v>
      </c>
      <c r="K313" s="11">
        <v>2</v>
      </c>
      <c r="L313" s="11">
        <v>2</v>
      </c>
      <c r="M313" s="11">
        <v>2</v>
      </c>
      <c r="N313" s="11">
        <v>3</v>
      </c>
      <c r="O313" s="11">
        <v>4</v>
      </c>
      <c r="P313" s="11">
        <v>4</v>
      </c>
      <c r="Q313" s="11">
        <v>2</v>
      </c>
      <c r="R313" s="11">
        <v>2</v>
      </c>
      <c r="S313" s="11">
        <v>3</v>
      </c>
      <c r="T313" s="11">
        <v>3</v>
      </c>
      <c r="U313" s="10">
        <v>4</v>
      </c>
      <c r="V313" s="6">
        <f t="shared" si="33"/>
        <v>27.392429174672586</v>
      </c>
      <c r="W313" s="6">
        <f t="shared" si="34"/>
        <v>8.1188042421865827</v>
      </c>
      <c r="X313" s="6">
        <f t="shared" si="35"/>
        <v>10.703950955301471</v>
      </c>
      <c r="Y313" s="6">
        <f t="shared" si="36"/>
        <v>8.9561659108598271</v>
      </c>
      <c r="Z313" s="6">
        <f t="shared" si="37"/>
        <v>10.8089395615938</v>
      </c>
      <c r="AA313" s="6">
        <f t="shared" si="38"/>
        <v>14.963459642865175</v>
      </c>
      <c r="AB313" s="6">
        <f t="shared" si="39"/>
        <v>8.1188042421865827</v>
      </c>
      <c r="AC313" s="6">
        <f t="shared" si="40"/>
        <v>2</v>
      </c>
    </row>
    <row r="314" spans="1:29">
      <c r="A314" s="11">
        <v>313</v>
      </c>
      <c r="B314" s="12">
        <v>3</v>
      </c>
      <c r="C314" s="11">
        <v>2</v>
      </c>
      <c r="D314" s="11">
        <v>3</v>
      </c>
      <c r="E314" s="11">
        <v>4</v>
      </c>
      <c r="F314" s="11">
        <v>5</v>
      </c>
      <c r="G314" s="11">
        <v>3</v>
      </c>
      <c r="H314" s="11">
        <v>4</v>
      </c>
      <c r="I314" s="11">
        <v>2</v>
      </c>
      <c r="J314" s="11">
        <v>1</v>
      </c>
      <c r="K314" s="11">
        <v>3</v>
      </c>
      <c r="L314" s="11">
        <v>1</v>
      </c>
      <c r="M314" s="11">
        <v>1</v>
      </c>
      <c r="N314" s="11">
        <v>1</v>
      </c>
      <c r="O314" s="11">
        <v>1</v>
      </c>
      <c r="P314" s="11">
        <v>3</v>
      </c>
      <c r="Q314" s="11">
        <v>4</v>
      </c>
      <c r="R314" s="11">
        <v>3</v>
      </c>
      <c r="S314" s="11">
        <v>4</v>
      </c>
      <c r="T314" s="11">
        <v>1</v>
      </c>
      <c r="U314" s="10">
        <v>4</v>
      </c>
      <c r="V314" s="6">
        <f t="shared" si="33"/>
        <v>38.301516155204247</v>
      </c>
      <c r="W314" s="6">
        <f t="shared" si="34"/>
        <v>23.488135513404462</v>
      </c>
      <c r="X314" s="6">
        <f t="shared" si="35"/>
        <v>34.412255363079247</v>
      </c>
      <c r="Y314" s="6">
        <f t="shared" si="36"/>
        <v>45.733727668918306</v>
      </c>
      <c r="Z314" s="6">
        <f t="shared" si="37"/>
        <v>26.751602676076317</v>
      </c>
      <c r="AA314" s="6">
        <f t="shared" si="38"/>
        <v>40.519230406948971</v>
      </c>
      <c r="AB314" s="6">
        <f t="shared" si="39"/>
        <v>23.488135513404462</v>
      </c>
      <c r="AC314" s="6">
        <f t="shared" si="40"/>
        <v>2</v>
      </c>
    </row>
    <row r="315" spans="1:29">
      <c r="A315" s="11">
        <v>314</v>
      </c>
      <c r="B315" s="12">
        <v>4</v>
      </c>
      <c r="C315" s="11">
        <v>2</v>
      </c>
      <c r="D315" s="11">
        <v>3</v>
      </c>
      <c r="E315" s="11">
        <v>3</v>
      </c>
      <c r="F315" s="11">
        <v>2</v>
      </c>
      <c r="G315" s="11">
        <v>2</v>
      </c>
      <c r="H315" s="11">
        <v>3</v>
      </c>
      <c r="I315" s="11">
        <v>2</v>
      </c>
      <c r="J315" s="11">
        <v>4</v>
      </c>
      <c r="K315" s="11">
        <v>3</v>
      </c>
      <c r="L315" s="11">
        <v>2</v>
      </c>
      <c r="M315" s="11">
        <v>2</v>
      </c>
      <c r="N315" s="11">
        <v>2</v>
      </c>
      <c r="O315" s="11">
        <v>3</v>
      </c>
      <c r="P315" s="11">
        <v>4</v>
      </c>
      <c r="Q315" s="11">
        <v>3</v>
      </c>
      <c r="R315" s="11">
        <v>2</v>
      </c>
      <c r="S315" s="11">
        <v>4</v>
      </c>
      <c r="T315" s="11">
        <v>3</v>
      </c>
      <c r="U315" s="10">
        <v>4</v>
      </c>
      <c r="V315" s="6">
        <f t="shared" si="33"/>
        <v>21.028842760122178</v>
      </c>
      <c r="W315" s="6">
        <f t="shared" si="34"/>
        <v>13.149677299750307</v>
      </c>
      <c r="X315" s="6">
        <f t="shared" si="35"/>
        <v>11.32894678802924</v>
      </c>
      <c r="Y315" s="6">
        <f t="shared" si="36"/>
        <v>18.889424305372522</v>
      </c>
      <c r="Z315" s="6">
        <f t="shared" si="37"/>
        <v>16.637398349277817</v>
      </c>
      <c r="AA315" s="6">
        <f t="shared" si="38"/>
        <v>20.941293333281269</v>
      </c>
      <c r="AB315" s="6">
        <f t="shared" si="39"/>
        <v>11.32894678802924</v>
      </c>
      <c r="AC315" s="6">
        <f t="shared" si="40"/>
        <v>3</v>
      </c>
    </row>
    <row r="316" spans="1:29">
      <c r="A316" s="11">
        <v>315</v>
      </c>
      <c r="B316" s="12">
        <v>1</v>
      </c>
      <c r="C316" s="11">
        <v>4</v>
      </c>
      <c r="D316" s="11">
        <v>4</v>
      </c>
      <c r="E316" s="11">
        <v>4</v>
      </c>
      <c r="F316" s="11">
        <v>3</v>
      </c>
      <c r="G316" s="11">
        <v>4</v>
      </c>
      <c r="H316" s="11">
        <v>4</v>
      </c>
      <c r="I316" s="11">
        <v>4</v>
      </c>
      <c r="J316" s="11">
        <v>2</v>
      </c>
      <c r="K316" s="11">
        <v>4</v>
      </c>
      <c r="L316" s="11">
        <v>1</v>
      </c>
      <c r="M316" s="11">
        <v>1</v>
      </c>
      <c r="N316" s="11">
        <v>1</v>
      </c>
      <c r="O316" s="11">
        <v>3</v>
      </c>
      <c r="P316" s="11">
        <v>3</v>
      </c>
      <c r="Q316" s="11">
        <v>1</v>
      </c>
      <c r="R316" s="11">
        <v>1</v>
      </c>
      <c r="S316" s="11">
        <v>5</v>
      </c>
      <c r="T316" s="11">
        <v>3</v>
      </c>
      <c r="U316" s="10">
        <v>5</v>
      </c>
      <c r="V316" s="6">
        <f t="shared" si="33"/>
        <v>38.846930837993384</v>
      </c>
      <c r="W316" s="6">
        <f t="shared" si="34"/>
        <v>38.241981588374109</v>
      </c>
      <c r="X316" s="6">
        <f t="shared" si="35"/>
        <v>34.703954239357031</v>
      </c>
      <c r="Y316" s="6">
        <f t="shared" si="36"/>
        <v>47.133837485024273</v>
      </c>
      <c r="Z316" s="6">
        <f t="shared" si="37"/>
        <v>28.237521824234431</v>
      </c>
      <c r="AA316" s="6">
        <f t="shared" si="38"/>
        <v>55.052521312396692</v>
      </c>
      <c r="AB316" s="6">
        <f t="shared" si="39"/>
        <v>28.237521824234431</v>
      </c>
      <c r="AC316" s="6">
        <f t="shared" si="40"/>
        <v>5</v>
      </c>
    </row>
    <row r="317" spans="1:29">
      <c r="A317" s="11">
        <v>316</v>
      </c>
      <c r="B317" s="12">
        <v>4</v>
      </c>
      <c r="C317" s="11">
        <v>1</v>
      </c>
      <c r="D317" s="11">
        <v>1</v>
      </c>
      <c r="E317" s="11">
        <v>3</v>
      </c>
      <c r="F317" s="11">
        <v>1</v>
      </c>
      <c r="G317" s="11">
        <v>4</v>
      </c>
      <c r="H317" s="11">
        <v>3</v>
      </c>
      <c r="I317" s="11">
        <v>2</v>
      </c>
      <c r="J317" s="11">
        <v>3</v>
      </c>
      <c r="K317" s="11">
        <v>3</v>
      </c>
      <c r="L317" s="11">
        <v>2</v>
      </c>
      <c r="M317" s="11">
        <v>3</v>
      </c>
      <c r="N317" s="11">
        <v>3</v>
      </c>
      <c r="O317" s="11">
        <v>4</v>
      </c>
      <c r="P317" s="11">
        <v>5</v>
      </c>
      <c r="Q317" s="11">
        <v>1</v>
      </c>
      <c r="R317" s="11">
        <v>3</v>
      </c>
      <c r="S317" s="11">
        <v>2</v>
      </c>
      <c r="T317" s="11">
        <v>3</v>
      </c>
      <c r="U317" s="10">
        <v>2</v>
      </c>
      <c r="V317" s="6">
        <f t="shared" si="33"/>
        <v>42.483311663593568</v>
      </c>
      <c r="W317" s="6">
        <f t="shared" si="34"/>
        <v>27.395629544067628</v>
      </c>
      <c r="X317" s="6">
        <f t="shared" si="35"/>
        <v>24.995633310699731</v>
      </c>
      <c r="Y317" s="6">
        <f t="shared" si="36"/>
        <v>17.911565855545106</v>
      </c>
      <c r="Z317" s="6">
        <f t="shared" si="37"/>
        <v>26.437500129386539</v>
      </c>
      <c r="AA317" s="6">
        <f t="shared" si="38"/>
        <v>11.185670301706852</v>
      </c>
      <c r="AB317" s="6">
        <f t="shared" si="39"/>
        <v>11.185670301706852</v>
      </c>
      <c r="AC317" s="6">
        <f t="shared" si="40"/>
        <v>6</v>
      </c>
    </row>
    <row r="318" spans="1:29">
      <c r="A318" s="11">
        <v>317</v>
      </c>
      <c r="B318" s="12">
        <v>5</v>
      </c>
      <c r="C318" s="11">
        <v>1</v>
      </c>
      <c r="D318" s="11">
        <v>1</v>
      </c>
      <c r="E318" s="11">
        <v>5</v>
      </c>
      <c r="F318" s="11">
        <v>5</v>
      </c>
      <c r="G318" s="11">
        <v>5</v>
      </c>
      <c r="H318" s="11">
        <v>3</v>
      </c>
      <c r="I318" s="11">
        <v>1</v>
      </c>
      <c r="J318" s="11">
        <v>1</v>
      </c>
      <c r="K318" s="11">
        <v>5</v>
      </c>
      <c r="L318" s="11">
        <v>1</v>
      </c>
      <c r="M318" s="11">
        <v>1</v>
      </c>
      <c r="N318" s="11">
        <v>1</v>
      </c>
      <c r="O318" s="11">
        <v>5</v>
      </c>
      <c r="P318" s="11">
        <v>3</v>
      </c>
      <c r="Q318" s="11">
        <v>1</v>
      </c>
      <c r="R318" s="11">
        <v>1</v>
      </c>
      <c r="S318" s="11">
        <v>5</v>
      </c>
      <c r="T318" s="11">
        <v>2</v>
      </c>
      <c r="U318" s="10">
        <v>1</v>
      </c>
      <c r="V318" s="6">
        <f t="shared" si="33"/>
        <v>73.392571156751671</v>
      </c>
      <c r="W318" s="6">
        <f t="shared" si="34"/>
        <v>63.211071762097291</v>
      </c>
      <c r="X318" s="6">
        <f t="shared" si="35"/>
        <v>65.828870043946608</v>
      </c>
      <c r="Y318" s="6">
        <f t="shared" si="36"/>
        <v>73.289259910076709</v>
      </c>
      <c r="Z318" s="6">
        <f t="shared" si="37"/>
        <v>35.75180076061045</v>
      </c>
      <c r="AA318" s="6">
        <f t="shared" si="38"/>
        <v>46.541282723361313</v>
      </c>
      <c r="AB318" s="6">
        <f t="shared" si="39"/>
        <v>35.75180076061045</v>
      </c>
      <c r="AC318" s="6">
        <f t="shared" si="40"/>
        <v>5</v>
      </c>
    </row>
    <row r="319" spans="1:29">
      <c r="A319" s="11">
        <v>318</v>
      </c>
      <c r="B319" s="12">
        <v>5</v>
      </c>
      <c r="C319" s="11">
        <v>3</v>
      </c>
      <c r="D319" s="11">
        <v>2</v>
      </c>
      <c r="E319" s="11">
        <v>2</v>
      </c>
      <c r="F319" s="11">
        <v>2</v>
      </c>
      <c r="G319" s="11">
        <v>5</v>
      </c>
      <c r="H319" s="11">
        <v>1</v>
      </c>
      <c r="I319" s="11">
        <v>1</v>
      </c>
      <c r="J319" s="11">
        <v>3</v>
      </c>
      <c r="K319" s="11">
        <v>3</v>
      </c>
      <c r="L319" s="11">
        <v>2</v>
      </c>
      <c r="M319" s="11">
        <v>3</v>
      </c>
      <c r="N319" s="11">
        <v>3</v>
      </c>
      <c r="O319" s="11">
        <v>4</v>
      </c>
      <c r="P319" s="11">
        <v>4</v>
      </c>
      <c r="Q319" s="11">
        <v>4</v>
      </c>
      <c r="R319" s="11">
        <v>2</v>
      </c>
      <c r="S319" s="11">
        <v>2</v>
      </c>
      <c r="T319" s="11">
        <v>4</v>
      </c>
      <c r="U319" s="10">
        <v>2</v>
      </c>
      <c r="V319" s="6">
        <f t="shared" si="33"/>
        <v>40.119833369644823</v>
      </c>
      <c r="W319" s="6">
        <f t="shared" si="34"/>
        <v>30.103426293453019</v>
      </c>
      <c r="X319" s="6">
        <f t="shared" si="35"/>
        <v>31.745638311570353</v>
      </c>
      <c r="Y319" s="6">
        <f t="shared" si="36"/>
        <v>33.423042682974533</v>
      </c>
      <c r="Z319" s="6">
        <f t="shared" si="37"/>
        <v>30.180321263790209</v>
      </c>
      <c r="AA319" s="6">
        <f t="shared" si="38"/>
        <v>19.585701148309798</v>
      </c>
      <c r="AB319" s="6">
        <f t="shared" si="39"/>
        <v>19.585701148309798</v>
      </c>
      <c r="AC319" s="6">
        <f t="shared" si="40"/>
        <v>6</v>
      </c>
    </row>
    <row r="320" spans="1:29">
      <c r="A320" s="11">
        <v>319</v>
      </c>
      <c r="B320" s="12">
        <v>4</v>
      </c>
      <c r="C320" s="11">
        <v>3</v>
      </c>
      <c r="D320" s="11">
        <v>2</v>
      </c>
      <c r="E320" s="11">
        <v>4</v>
      </c>
      <c r="F320" s="11">
        <v>3</v>
      </c>
      <c r="G320" s="11">
        <v>2</v>
      </c>
      <c r="H320" s="11">
        <v>3</v>
      </c>
      <c r="I320" s="11">
        <v>4</v>
      </c>
      <c r="J320" s="11">
        <v>2</v>
      </c>
      <c r="K320" s="11">
        <v>3</v>
      </c>
      <c r="L320" s="11">
        <v>3</v>
      </c>
      <c r="M320" s="11">
        <v>3</v>
      </c>
      <c r="N320" s="11">
        <v>4</v>
      </c>
      <c r="O320" s="11">
        <v>4</v>
      </c>
      <c r="P320" s="11">
        <v>4</v>
      </c>
      <c r="Q320" s="11">
        <v>2</v>
      </c>
      <c r="R320" s="11">
        <v>2</v>
      </c>
      <c r="S320" s="11">
        <v>2</v>
      </c>
      <c r="T320" s="11">
        <v>3</v>
      </c>
      <c r="U320" s="10">
        <v>2</v>
      </c>
      <c r="V320" s="6">
        <f t="shared" si="33"/>
        <v>23.57424713821614</v>
      </c>
      <c r="W320" s="6">
        <f t="shared" si="34"/>
        <v>20.041844965918077</v>
      </c>
      <c r="X320" s="6">
        <f t="shared" si="35"/>
        <v>14.578944018081136</v>
      </c>
      <c r="Y320" s="6">
        <f t="shared" si="36"/>
        <v>25.422866775724099</v>
      </c>
      <c r="Z320" s="6">
        <f t="shared" si="37"/>
        <v>21.323156316610614</v>
      </c>
      <c r="AA320" s="6">
        <f t="shared" si="38"/>
        <v>13.541233386360059</v>
      </c>
      <c r="AB320" s="6">
        <f t="shared" si="39"/>
        <v>13.541233386360059</v>
      </c>
      <c r="AC320" s="6">
        <f t="shared" si="40"/>
        <v>6</v>
      </c>
    </row>
    <row r="321" spans="1:29">
      <c r="A321" s="11">
        <v>320</v>
      </c>
      <c r="B321" s="12">
        <v>2</v>
      </c>
      <c r="C321" s="11">
        <v>2</v>
      </c>
      <c r="D321" s="11">
        <v>1</v>
      </c>
      <c r="E321" s="11">
        <v>1</v>
      </c>
      <c r="F321" s="11">
        <v>2</v>
      </c>
      <c r="G321" s="11">
        <v>3</v>
      </c>
      <c r="H321" s="11">
        <v>3</v>
      </c>
      <c r="I321" s="11">
        <v>3</v>
      </c>
      <c r="J321" s="11">
        <v>4</v>
      </c>
      <c r="K321" s="11">
        <v>3</v>
      </c>
      <c r="L321" s="11">
        <v>3</v>
      </c>
      <c r="M321" s="11">
        <v>4</v>
      </c>
      <c r="N321" s="11">
        <v>3</v>
      </c>
      <c r="O321" s="11">
        <v>5</v>
      </c>
      <c r="P321" s="11">
        <v>5</v>
      </c>
      <c r="Q321" s="11">
        <v>2</v>
      </c>
      <c r="R321" s="11">
        <v>3</v>
      </c>
      <c r="S321" s="11">
        <v>4</v>
      </c>
      <c r="T321" s="11">
        <v>3</v>
      </c>
      <c r="U321" s="10">
        <v>2</v>
      </c>
      <c r="V321" s="6">
        <f t="shared" si="33"/>
        <v>39.483437164961707</v>
      </c>
      <c r="W321" s="6">
        <f t="shared" si="34"/>
        <v>33.380332964266039</v>
      </c>
      <c r="X321" s="6">
        <f t="shared" si="35"/>
        <v>19.370702496100087</v>
      </c>
      <c r="Y321" s="6">
        <f t="shared" si="36"/>
        <v>21.267349057648403</v>
      </c>
      <c r="Z321" s="6">
        <f t="shared" si="37"/>
        <v>31.951921757393404</v>
      </c>
      <c r="AA321" s="6">
        <f t="shared" si="38"/>
        <v>23.452268338927524</v>
      </c>
      <c r="AB321" s="6">
        <f t="shared" si="39"/>
        <v>19.370702496100087</v>
      </c>
      <c r="AC321" s="6">
        <f t="shared" si="40"/>
        <v>3</v>
      </c>
    </row>
    <row r="322" spans="1:29">
      <c r="A322" s="11">
        <v>321</v>
      </c>
      <c r="B322" s="12">
        <v>3</v>
      </c>
      <c r="C322" s="11">
        <v>2</v>
      </c>
      <c r="D322" s="11">
        <v>4</v>
      </c>
      <c r="E322" s="11">
        <v>3</v>
      </c>
      <c r="F322" s="11">
        <v>1</v>
      </c>
      <c r="G322" s="11">
        <v>2</v>
      </c>
      <c r="H322" s="11">
        <v>3</v>
      </c>
      <c r="I322" s="11">
        <v>2</v>
      </c>
      <c r="J322" s="11">
        <v>1</v>
      </c>
      <c r="K322" s="11">
        <v>3</v>
      </c>
      <c r="L322" s="11">
        <v>2</v>
      </c>
      <c r="M322" s="11">
        <v>1</v>
      </c>
      <c r="N322" s="11">
        <v>2</v>
      </c>
      <c r="O322" s="11">
        <v>4</v>
      </c>
      <c r="P322" s="11">
        <v>5</v>
      </c>
      <c r="Q322" s="11">
        <v>1</v>
      </c>
      <c r="R322" s="11">
        <v>1</v>
      </c>
      <c r="S322" s="11">
        <v>5</v>
      </c>
      <c r="T322" s="11">
        <v>2</v>
      </c>
      <c r="U322" s="10">
        <v>5</v>
      </c>
      <c r="V322" s="6">
        <f t="shared" si="33"/>
        <v>52.028755775274256</v>
      </c>
      <c r="W322" s="6">
        <f t="shared" si="34"/>
        <v>28.764975686558518</v>
      </c>
      <c r="X322" s="6">
        <f t="shared" si="35"/>
        <v>34.328943488620538</v>
      </c>
      <c r="Y322" s="6">
        <f t="shared" si="36"/>
        <v>30.0670933690309</v>
      </c>
      <c r="Z322" s="6">
        <f t="shared" si="37"/>
        <v>23.066124860965331</v>
      </c>
      <c r="AA322" s="6">
        <f t="shared" si="38"/>
        <v>38.919061118247107</v>
      </c>
      <c r="AB322" s="6">
        <f t="shared" si="39"/>
        <v>23.066124860965331</v>
      </c>
      <c r="AC322" s="6">
        <f t="shared" si="40"/>
        <v>5</v>
      </c>
    </row>
    <row r="323" spans="1:29">
      <c r="A323" s="11">
        <v>322</v>
      </c>
      <c r="B323" s="12">
        <v>4</v>
      </c>
      <c r="C323" s="11">
        <v>2</v>
      </c>
      <c r="D323" s="11">
        <v>3</v>
      </c>
      <c r="E323" s="11">
        <v>2</v>
      </c>
      <c r="F323" s="11">
        <v>2</v>
      </c>
      <c r="G323" s="11">
        <v>3</v>
      </c>
      <c r="H323" s="11">
        <v>2</v>
      </c>
      <c r="I323" s="11">
        <v>2</v>
      </c>
      <c r="J323" s="11">
        <v>2</v>
      </c>
      <c r="K323" s="11">
        <v>3</v>
      </c>
      <c r="L323" s="11">
        <v>3</v>
      </c>
      <c r="M323" s="11">
        <v>4</v>
      </c>
      <c r="N323" s="11">
        <v>3</v>
      </c>
      <c r="O323" s="11">
        <v>1</v>
      </c>
      <c r="P323" s="11">
        <v>5</v>
      </c>
      <c r="Q323" s="11">
        <v>1</v>
      </c>
      <c r="R323" s="11">
        <v>2</v>
      </c>
      <c r="S323" s="11">
        <v>2</v>
      </c>
      <c r="T323" s="11">
        <v>3</v>
      </c>
      <c r="U323" s="10">
        <v>5</v>
      </c>
      <c r="V323" s="6">
        <f t="shared" ref="V323:V341" si="41">SUMXMY2($B323:$U323,AG$2:AG$21)</f>
        <v>36.392387273981647</v>
      </c>
      <c r="W323" s="6">
        <f t="shared" ref="W323:W341" si="42">SUMXMY2($B323:$U323,AH$2:AH$21)</f>
        <v>20.45725671590306</v>
      </c>
      <c r="X323" s="6">
        <f t="shared" ref="X323:X341" si="43">SUMXMY2($B323:$U323,AI$2:AI$21)</f>
        <v>26.245592359757254</v>
      </c>
      <c r="Y323" s="6">
        <f t="shared" ref="Y323:Y341" si="44">SUMXMY2($B323:$U323,AJ$2:AJ$21)</f>
        <v>21.267297004202273</v>
      </c>
      <c r="Z323" s="6">
        <f t="shared" ref="Z323:Z341" si="45">SUMXMY2($B323:$U323,AK$2:AK$21)</f>
        <v>35.208743116298493</v>
      </c>
      <c r="AA323" s="6">
        <f t="shared" ref="AA323:AA341" si="46">SUMXMY2($B323:$U323,AL$2:AL$21)</f>
        <v>30.474683612911655</v>
      </c>
      <c r="AB323" s="6">
        <f t="shared" ref="AB323:AB341" si="47">MIN(V323:AA323)</f>
        <v>20.45725671590306</v>
      </c>
      <c r="AC323" s="6">
        <f t="shared" ref="AC323:AC341" si="48">IF(AB323=V323,1,IF(AB323=W323,2,IF(AB323=X323,3,IF(AB323=Y323,4,IF(AB323=Z323,5,6)))))</f>
        <v>2</v>
      </c>
    </row>
    <row r="324" spans="1:29">
      <c r="A324" s="11">
        <v>323</v>
      </c>
      <c r="B324" s="12">
        <v>1</v>
      </c>
      <c r="C324" s="11">
        <v>1</v>
      </c>
      <c r="D324" s="11">
        <v>3</v>
      </c>
      <c r="E324" s="11">
        <v>2</v>
      </c>
      <c r="F324" s="11">
        <v>2</v>
      </c>
      <c r="G324" s="11">
        <v>2</v>
      </c>
      <c r="H324" s="11">
        <v>2</v>
      </c>
      <c r="I324" s="11">
        <v>2</v>
      </c>
      <c r="J324" s="11">
        <v>2</v>
      </c>
      <c r="K324" s="11">
        <v>2</v>
      </c>
      <c r="L324" s="11">
        <v>2</v>
      </c>
      <c r="M324" s="11">
        <v>4</v>
      </c>
      <c r="N324" s="11">
        <v>2</v>
      </c>
      <c r="O324" s="11">
        <v>4</v>
      </c>
      <c r="P324" s="11">
        <v>3</v>
      </c>
      <c r="Q324" s="11">
        <v>2</v>
      </c>
      <c r="R324" s="11">
        <v>2</v>
      </c>
      <c r="S324" s="11">
        <v>4</v>
      </c>
      <c r="T324" s="11">
        <v>2</v>
      </c>
      <c r="U324" s="10">
        <v>5</v>
      </c>
      <c r="V324" s="6">
        <f t="shared" si="41"/>
        <v>44.846890480455286</v>
      </c>
      <c r="W324" s="6">
        <f t="shared" si="42"/>
        <v>15.949576936045951</v>
      </c>
      <c r="X324" s="6">
        <f t="shared" si="43"/>
        <v>24.870614993439691</v>
      </c>
      <c r="Y324" s="6">
        <f t="shared" si="44"/>
        <v>13.422574606825645</v>
      </c>
      <c r="Z324" s="6">
        <f t="shared" si="45"/>
        <v>24.780373400992957</v>
      </c>
      <c r="AA324" s="6">
        <f t="shared" si="46"/>
        <v>33.585706796423402</v>
      </c>
      <c r="AB324" s="6">
        <f t="shared" si="47"/>
        <v>13.422574606825645</v>
      </c>
      <c r="AC324" s="6">
        <f t="shared" si="48"/>
        <v>4</v>
      </c>
    </row>
    <row r="325" spans="1:29">
      <c r="A325" s="11">
        <v>324</v>
      </c>
      <c r="B325" s="12">
        <v>5</v>
      </c>
      <c r="C325" s="11">
        <v>2</v>
      </c>
      <c r="D325" s="11">
        <v>2</v>
      </c>
      <c r="E325" s="11">
        <v>4</v>
      </c>
      <c r="F325" s="11">
        <v>4</v>
      </c>
      <c r="G325" s="11">
        <v>5</v>
      </c>
      <c r="H325" s="11">
        <v>3</v>
      </c>
      <c r="I325" s="11">
        <v>3</v>
      </c>
      <c r="J325" s="11">
        <v>2</v>
      </c>
      <c r="K325" s="11">
        <v>2</v>
      </c>
      <c r="L325" s="11">
        <v>1</v>
      </c>
      <c r="M325" s="11">
        <v>1</v>
      </c>
      <c r="N325" s="11">
        <v>2</v>
      </c>
      <c r="O325" s="11">
        <v>2</v>
      </c>
      <c r="P325" s="11">
        <v>4</v>
      </c>
      <c r="Q325" s="11">
        <v>3</v>
      </c>
      <c r="R325" s="11">
        <v>3</v>
      </c>
      <c r="S325" s="11">
        <v>1</v>
      </c>
      <c r="T325" s="11">
        <v>2</v>
      </c>
      <c r="U325" s="10">
        <v>3</v>
      </c>
      <c r="V325" s="6">
        <f t="shared" si="41"/>
        <v>35.483224294815855</v>
      </c>
      <c r="W325" s="6">
        <f t="shared" si="42"/>
        <v>23.164940147959229</v>
      </c>
      <c r="X325" s="6">
        <f t="shared" si="43"/>
        <v>31.953926783731337</v>
      </c>
      <c r="Y325" s="6">
        <f t="shared" si="44"/>
        <v>38.644944246464043</v>
      </c>
      <c r="Z325" s="6">
        <f t="shared" si="45"/>
        <v>25.380158783760013</v>
      </c>
      <c r="AA325" s="6">
        <f t="shared" si="46"/>
        <v>21.541407877258678</v>
      </c>
      <c r="AB325" s="6">
        <f t="shared" si="47"/>
        <v>21.541407877258678</v>
      </c>
      <c r="AC325" s="6">
        <f t="shared" si="48"/>
        <v>6</v>
      </c>
    </row>
    <row r="326" spans="1:29">
      <c r="A326" s="11">
        <v>325</v>
      </c>
      <c r="B326" s="12">
        <v>1</v>
      </c>
      <c r="C326" s="11">
        <v>1</v>
      </c>
      <c r="D326" s="11">
        <v>1</v>
      </c>
      <c r="E326" s="11">
        <v>4</v>
      </c>
      <c r="F326" s="11">
        <v>1</v>
      </c>
      <c r="G326" s="11">
        <v>5</v>
      </c>
      <c r="H326" s="11">
        <v>5</v>
      </c>
      <c r="I326" s="11">
        <v>5</v>
      </c>
      <c r="J326" s="11">
        <v>1</v>
      </c>
      <c r="K326" s="11">
        <v>1</v>
      </c>
      <c r="L326" s="11">
        <v>1</v>
      </c>
      <c r="M326" s="11">
        <v>1</v>
      </c>
      <c r="N326" s="11">
        <v>4</v>
      </c>
      <c r="O326" s="11">
        <v>3</v>
      </c>
      <c r="P326" s="11">
        <v>2</v>
      </c>
      <c r="Q326" s="11">
        <v>1</v>
      </c>
      <c r="R326" s="11">
        <v>3</v>
      </c>
      <c r="S326" s="11">
        <v>1</v>
      </c>
      <c r="T326" s="11">
        <v>2</v>
      </c>
      <c r="U326" s="10">
        <v>5</v>
      </c>
      <c r="V326" s="6">
        <f t="shared" si="41"/>
        <v>74.210226556889793</v>
      </c>
      <c r="W326" s="6">
        <f t="shared" si="42"/>
        <v>48.272524077720988</v>
      </c>
      <c r="X326" s="6">
        <f t="shared" si="43"/>
        <v>58.412274904358249</v>
      </c>
      <c r="Y326" s="6">
        <f t="shared" si="44"/>
        <v>43.044753418403182</v>
      </c>
      <c r="Z326" s="6">
        <f t="shared" si="45"/>
        <v>54.151818283467648</v>
      </c>
      <c r="AA326" s="6">
        <f t="shared" si="46"/>
        <v>55.385853231046312</v>
      </c>
      <c r="AB326" s="6">
        <f t="shared" si="47"/>
        <v>43.044753418403182</v>
      </c>
      <c r="AC326" s="6">
        <f t="shared" si="48"/>
        <v>4</v>
      </c>
    </row>
    <row r="327" spans="1:29">
      <c r="A327" s="11">
        <v>326</v>
      </c>
      <c r="B327" s="12">
        <v>3</v>
      </c>
      <c r="C327" s="11">
        <v>4</v>
      </c>
      <c r="D327" s="11">
        <v>1</v>
      </c>
      <c r="E327" s="11">
        <v>2</v>
      </c>
      <c r="F327" s="11">
        <v>2</v>
      </c>
      <c r="G327" s="11">
        <v>4</v>
      </c>
      <c r="H327" s="11">
        <v>4</v>
      </c>
      <c r="I327" s="11">
        <v>2</v>
      </c>
      <c r="J327" s="11">
        <v>2</v>
      </c>
      <c r="K327" s="11">
        <v>2</v>
      </c>
      <c r="L327" s="11">
        <v>3</v>
      </c>
      <c r="M327" s="11">
        <v>2</v>
      </c>
      <c r="N327" s="11">
        <v>2</v>
      </c>
      <c r="O327" s="11">
        <v>4</v>
      </c>
      <c r="P327" s="11">
        <v>4</v>
      </c>
      <c r="Q327" s="11">
        <v>1</v>
      </c>
      <c r="R327" s="11">
        <v>2</v>
      </c>
      <c r="S327" s="11">
        <v>3</v>
      </c>
      <c r="T327" s="11">
        <v>2</v>
      </c>
      <c r="U327" s="10">
        <v>5</v>
      </c>
      <c r="V327" s="6">
        <f t="shared" si="41"/>
        <v>38.301541405668786</v>
      </c>
      <c r="W327" s="6">
        <f t="shared" si="42"/>
        <v>18.857270649246747</v>
      </c>
      <c r="X327" s="6">
        <f t="shared" si="43"/>
        <v>24.662257147316712</v>
      </c>
      <c r="Y327" s="6">
        <f t="shared" si="44"/>
        <v>19.578762990789649</v>
      </c>
      <c r="Z327" s="6">
        <f t="shared" si="45"/>
        <v>16.266169640008677</v>
      </c>
      <c r="AA327" s="6">
        <f t="shared" si="46"/>
        <v>24.452366852300813</v>
      </c>
      <c r="AB327" s="6">
        <f t="shared" si="47"/>
        <v>16.266169640008677</v>
      </c>
      <c r="AC327" s="6">
        <f t="shared" si="48"/>
        <v>5</v>
      </c>
    </row>
    <row r="328" spans="1:29">
      <c r="A328" s="11">
        <v>327</v>
      </c>
      <c r="B328" s="12">
        <v>2</v>
      </c>
      <c r="C328" s="11">
        <v>1</v>
      </c>
      <c r="D328" s="11">
        <v>2</v>
      </c>
      <c r="E328" s="11">
        <v>4</v>
      </c>
      <c r="F328" s="11">
        <v>2</v>
      </c>
      <c r="G328" s="11">
        <v>4</v>
      </c>
      <c r="H328" s="11">
        <v>2</v>
      </c>
      <c r="I328" s="11">
        <v>1</v>
      </c>
      <c r="J328" s="11">
        <v>1</v>
      </c>
      <c r="K328" s="11">
        <v>4</v>
      </c>
      <c r="L328" s="11">
        <v>1</v>
      </c>
      <c r="M328" s="11">
        <v>2</v>
      </c>
      <c r="N328" s="11">
        <v>2</v>
      </c>
      <c r="O328" s="11">
        <v>5</v>
      </c>
      <c r="P328" s="11">
        <v>5</v>
      </c>
      <c r="Q328" s="11">
        <v>1</v>
      </c>
      <c r="R328" s="11">
        <v>1</v>
      </c>
      <c r="S328" s="11">
        <v>2</v>
      </c>
      <c r="T328" s="11">
        <v>4</v>
      </c>
      <c r="U328" s="10">
        <v>1</v>
      </c>
      <c r="V328" s="6">
        <f t="shared" si="41"/>
        <v>64.028795581590089</v>
      </c>
      <c r="W328" s="6">
        <f t="shared" si="42"/>
        <v>40.934033746805376</v>
      </c>
      <c r="X328" s="6">
        <f t="shared" si="43"/>
        <v>40.120592843023871</v>
      </c>
      <c r="Y328" s="6">
        <f t="shared" si="44"/>
        <v>32.000139720730004</v>
      </c>
      <c r="Z328" s="6">
        <f t="shared" si="45"/>
        <v>25.723329923849661</v>
      </c>
      <c r="AA328" s="6">
        <f t="shared" si="46"/>
        <v>19.007856309134933</v>
      </c>
      <c r="AB328" s="6">
        <f t="shared" si="47"/>
        <v>19.007856309134933</v>
      </c>
      <c r="AC328" s="6">
        <f t="shared" si="48"/>
        <v>6</v>
      </c>
    </row>
    <row r="329" spans="1:29">
      <c r="A329" s="11">
        <v>328</v>
      </c>
      <c r="B329" s="12">
        <v>3</v>
      </c>
      <c r="C329" s="11">
        <v>3</v>
      </c>
      <c r="D329" s="11">
        <v>3</v>
      </c>
      <c r="E329" s="11">
        <v>3</v>
      </c>
      <c r="F329" s="11">
        <v>3</v>
      </c>
      <c r="G329" s="11">
        <v>3</v>
      </c>
      <c r="H329" s="11">
        <v>3</v>
      </c>
      <c r="I329" s="11">
        <v>3</v>
      </c>
      <c r="J329" s="11">
        <v>3</v>
      </c>
      <c r="K329" s="11">
        <v>3</v>
      </c>
      <c r="L329" s="11">
        <v>3</v>
      </c>
      <c r="M329" s="11">
        <v>3</v>
      </c>
      <c r="N329" s="11">
        <v>3</v>
      </c>
      <c r="O329" s="11">
        <v>3</v>
      </c>
      <c r="P329" s="11">
        <v>3</v>
      </c>
      <c r="Q329" s="11">
        <v>3</v>
      </c>
      <c r="R329" s="11">
        <v>3</v>
      </c>
      <c r="S329" s="11">
        <v>3</v>
      </c>
      <c r="T329" s="11">
        <v>3</v>
      </c>
      <c r="U329" s="10">
        <v>3</v>
      </c>
      <c r="V329" s="6">
        <f t="shared" si="41"/>
        <v>6.6652087125072708</v>
      </c>
      <c r="W329" s="6">
        <f t="shared" si="42"/>
        <v>6.9804062939907761</v>
      </c>
      <c r="X329" s="6">
        <f t="shared" si="43"/>
        <v>3.4539817196968983</v>
      </c>
      <c r="Y329" s="6">
        <f t="shared" si="44"/>
        <v>14.956201578699755</v>
      </c>
      <c r="Z329" s="6">
        <f t="shared" si="45"/>
        <v>14.208826952939594</v>
      </c>
      <c r="AA329" s="6">
        <f t="shared" si="46"/>
        <v>13.296884697826428</v>
      </c>
      <c r="AB329" s="6">
        <f t="shared" si="47"/>
        <v>3.4539817196968983</v>
      </c>
      <c r="AC329" s="6">
        <f t="shared" si="48"/>
        <v>3</v>
      </c>
    </row>
    <row r="330" spans="1:29">
      <c r="A330" s="11">
        <v>329</v>
      </c>
      <c r="B330" s="12">
        <v>3</v>
      </c>
      <c r="C330" s="11">
        <v>1</v>
      </c>
      <c r="D330" s="11">
        <v>1</v>
      </c>
      <c r="E330" s="11">
        <v>4</v>
      </c>
      <c r="F330" s="11">
        <v>3</v>
      </c>
      <c r="G330" s="11">
        <v>4</v>
      </c>
      <c r="H330" s="11">
        <v>4</v>
      </c>
      <c r="I330" s="11">
        <v>2</v>
      </c>
      <c r="J330" s="11">
        <v>1</v>
      </c>
      <c r="K330" s="11">
        <v>2</v>
      </c>
      <c r="L330" s="11">
        <v>2</v>
      </c>
      <c r="M330" s="11">
        <v>2</v>
      </c>
      <c r="N330" s="11">
        <v>2</v>
      </c>
      <c r="O330" s="11">
        <v>4</v>
      </c>
      <c r="P330" s="11">
        <v>3</v>
      </c>
      <c r="Q330" s="11">
        <v>2</v>
      </c>
      <c r="R330" s="11">
        <v>2</v>
      </c>
      <c r="S330" s="11">
        <v>2</v>
      </c>
      <c r="T330" s="11">
        <v>1</v>
      </c>
      <c r="U330" s="10">
        <v>4</v>
      </c>
      <c r="V330" s="6">
        <f t="shared" si="41"/>
        <v>43.028684865083498</v>
      </c>
      <c r="W330" s="6">
        <f t="shared" si="42"/>
        <v>14.687971283286826</v>
      </c>
      <c r="X330" s="6">
        <f t="shared" si="43"/>
        <v>29.412212483907638</v>
      </c>
      <c r="Y330" s="6">
        <f t="shared" si="44"/>
        <v>21.111527842431521</v>
      </c>
      <c r="Z330" s="6">
        <f t="shared" si="45"/>
        <v>12.637506553070457</v>
      </c>
      <c r="AA330" s="6">
        <f t="shared" si="46"/>
        <v>17.49686436010813</v>
      </c>
      <c r="AB330" s="6">
        <f t="shared" si="47"/>
        <v>12.637506553070457</v>
      </c>
      <c r="AC330" s="6">
        <f t="shared" si="48"/>
        <v>5</v>
      </c>
    </row>
    <row r="331" spans="1:29">
      <c r="A331" s="11">
        <v>330</v>
      </c>
      <c r="B331" s="12">
        <v>2</v>
      </c>
      <c r="C331" s="11">
        <v>2</v>
      </c>
      <c r="D331" s="11">
        <v>2</v>
      </c>
      <c r="E331" s="11">
        <v>4</v>
      </c>
      <c r="F331" s="11">
        <v>2</v>
      </c>
      <c r="G331" s="11">
        <v>4</v>
      </c>
      <c r="H331" s="11">
        <v>2</v>
      </c>
      <c r="I331" s="11">
        <v>1</v>
      </c>
      <c r="J331" s="11">
        <v>1</v>
      </c>
      <c r="K331" s="11">
        <v>4</v>
      </c>
      <c r="L331" s="11">
        <v>1</v>
      </c>
      <c r="M331" s="11">
        <v>1</v>
      </c>
      <c r="N331" s="11">
        <v>1</v>
      </c>
      <c r="O331" s="11">
        <v>1</v>
      </c>
      <c r="P331" s="11">
        <v>4</v>
      </c>
      <c r="Q331" s="11">
        <v>1</v>
      </c>
      <c r="R331" s="11">
        <v>1</v>
      </c>
      <c r="S331" s="11">
        <v>4</v>
      </c>
      <c r="T331" s="11">
        <v>2</v>
      </c>
      <c r="U331" s="10">
        <v>2</v>
      </c>
      <c r="V331" s="6">
        <f t="shared" si="41"/>
        <v>59.119684803060935</v>
      </c>
      <c r="W331" s="6">
        <f t="shared" si="42"/>
        <v>32.057183633361511</v>
      </c>
      <c r="X331" s="6">
        <f t="shared" si="43"/>
        <v>38.453903000477261</v>
      </c>
      <c r="Y331" s="6">
        <f t="shared" si="44"/>
        <v>35.444775032565779</v>
      </c>
      <c r="Z331" s="6">
        <f t="shared" si="45"/>
        <v>27.180270491683398</v>
      </c>
      <c r="AA331" s="6">
        <f t="shared" si="46"/>
        <v>29.54136231928263</v>
      </c>
      <c r="AB331" s="6">
        <f t="shared" si="47"/>
        <v>27.180270491683398</v>
      </c>
      <c r="AC331" s="6">
        <f t="shared" si="48"/>
        <v>5</v>
      </c>
    </row>
    <row r="332" spans="1:29">
      <c r="A332" s="11">
        <v>331</v>
      </c>
      <c r="B332" s="12">
        <v>2</v>
      </c>
      <c r="C332" s="11">
        <v>2</v>
      </c>
      <c r="D332" s="11">
        <v>2</v>
      </c>
      <c r="E332" s="11">
        <v>4</v>
      </c>
      <c r="F332" s="11">
        <v>2</v>
      </c>
      <c r="G332" s="11">
        <v>2</v>
      </c>
      <c r="H332" s="11">
        <v>2</v>
      </c>
      <c r="I332" s="11">
        <v>2</v>
      </c>
      <c r="J332" s="11">
        <v>2</v>
      </c>
      <c r="K332" s="11">
        <v>3</v>
      </c>
      <c r="L332" s="11">
        <v>1</v>
      </c>
      <c r="M332" s="11">
        <v>1</v>
      </c>
      <c r="N332" s="11">
        <v>1</v>
      </c>
      <c r="O332" s="11">
        <v>4</v>
      </c>
      <c r="P332" s="11">
        <v>4</v>
      </c>
      <c r="Q332" s="11">
        <v>2</v>
      </c>
      <c r="R332" s="11">
        <v>2</v>
      </c>
      <c r="S332" s="11">
        <v>2</v>
      </c>
      <c r="T332" s="11">
        <v>2</v>
      </c>
      <c r="U332" s="10">
        <v>2</v>
      </c>
      <c r="V332" s="6">
        <f t="shared" si="41"/>
        <v>48.755958558590969</v>
      </c>
      <c r="W332" s="6">
        <f t="shared" si="42"/>
        <v>19.011023190276099</v>
      </c>
      <c r="X332" s="6">
        <f t="shared" si="43"/>
        <v>22.453927949008868</v>
      </c>
      <c r="Y332" s="6">
        <f t="shared" si="44"/>
        <v>21.66698724699777</v>
      </c>
      <c r="Z332" s="6">
        <f t="shared" si="45"/>
        <v>15.637492160566534</v>
      </c>
      <c r="AA332" s="6">
        <f t="shared" si="46"/>
        <v>12.296770317720807</v>
      </c>
      <c r="AB332" s="6">
        <f t="shared" si="47"/>
        <v>12.296770317720807</v>
      </c>
      <c r="AC332" s="6">
        <f t="shared" si="48"/>
        <v>6</v>
      </c>
    </row>
    <row r="333" spans="1:29">
      <c r="A333" s="11">
        <v>332</v>
      </c>
      <c r="B333" s="12">
        <v>2</v>
      </c>
      <c r="C333" s="11">
        <v>2</v>
      </c>
      <c r="D333" s="11">
        <v>1</v>
      </c>
      <c r="E333" s="11">
        <v>2</v>
      </c>
      <c r="F333" s="11">
        <v>3</v>
      </c>
      <c r="G333" s="11">
        <v>2</v>
      </c>
      <c r="H333" s="11">
        <v>2</v>
      </c>
      <c r="I333" s="11">
        <v>2</v>
      </c>
      <c r="J333" s="11">
        <v>5</v>
      </c>
      <c r="K333" s="11">
        <v>5</v>
      </c>
      <c r="L333" s="11">
        <v>1</v>
      </c>
      <c r="M333" s="11">
        <v>1</v>
      </c>
      <c r="N333" s="11">
        <v>1</v>
      </c>
      <c r="O333" s="11">
        <v>1</v>
      </c>
      <c r="P333" s="11">
        <v>5</v>
      </c>
      <c r="Q333" s="11">
        <v>1</v>
      </c>
      <c r="R333" s="11">
        <v>5</v>
      </c>
      <c r="S333" s="11">
        <v>4</v>
      </c>
      <c r="T333" s="11">
        <v>5</v>
      </c>
      <c r="U333" s="10">
        <v>1</v>
      </c>
      <c r="V333" s="6">
        <f t="shared" si="41"/>
        <v>64.847060924256439</v>
      </c>
      <c r="W333" s="6">
        <f t="shared" si="42"/>
        <v>64.78035372677499</v>
      </c>
      <c r="X333" s="6">
        <f t="shared" si="43"/>
        <v>39.62070441678901</v>
      </c>
      <c r="Y333" s="6">
        <f t="shared" si="44"/>
        <v>53.289374608539113</v>
      </c>
      <c r="Z333" s="6">
        <f t="shared" si="45"/>
        <v>64.265953613096301</v>
      </c>
      <c r="AA333" s="6">
        <f t="shared" si="46"/>
        <v>49.207909053664991</v>
      </c>
      <c r="AB333" s="6">
        <f t="shared" si="47"/>
        <v>39.62070441678901</v>
      </c>
      <c r="AC333" s="6">
        <f t="shared" si="48"/>
        <v>3</v>
      </c>
    </row>
    <row r="334" spans="1:29">
      <c r="A334" s="11">
        <v>333</v>
      </c>
      <c r="B334" s="12">
        <v>5</v>
      </c>
      <c r="C334" s="11">
        <v>2</v>
      </c>
      <c r="D334" s="11">
        <v>2</v>
      </c>
      <c r="E334" s="11">
        <v>4</v>
      </c>
      <c r="F334" s="11">
        <v>2</v>
      </c>
      <c r="G334" s="11">
        <v>2</v>
      </c>
      <c r="H334" s="11">
        <v>3</v>
      </c>
      <c r="I334" s="11">
        <v>2</v>
      </c>
      <c r="J334" s="11">
        <v>2</v>
      </c>
      <c r="K334" s="11">
        <v>2</v>
      </c>
      <c r="L334" s="11">
        <v>1</v>
      </c>
      <c r="M334" s="11">
        <v>4</v>
      </c>
      <c r="N334" s="11">
        <v>2</v>
      </c>
      <c r="O334" s="11">
        <v>4</v>
      </c>
      <c r="P334" s="11">
        <v>5</v>
      </c>
      <c r="Q334" s="11">
        <v>2</v>
      </c>
      <c r="R334" s="11">
        <v>2</v>
      </c>
      <c r="S334" s="11">
        <v>3</v>
      </c>
      <c r="T334" s="11">
        <v>4</v>
      </c>
      <c r="U334" s="10">
        <v>2</v>
      </c>
      <c r="V334" s="6">
        <f t="shared" si="41"/>
        <v>39.93792250251412</v>
      </c>
      <c r="W334" s="6">
        <f t="shared" si="42"/>
        <v>24.780315103031015</v>
      </c>
      <c r="X334" s="6">
        <f t="shared" si="43"/>
        <v>26.120584811409877</v>
      </c>
      <c r="Y334" s="6">
        <f t="shared" si="44"/>
        <v>24.133743539869613</v>
      </c>
      <c r="Z334" s="6">
        <f t="shared" si="45"/>
        <v>24.780314600024489</v>
      </c>
      <c r="AA334" s="6">
        <f t="shared" si="46"/>
        <v>16.874510009497833</v>
      </c>
      <c r="AB334" s="6">
        <f t="shared" si="47"/>
        <v>16.874510009497833</v>
      </c>
      <c r="AC334" s="6">
        <f t="shared" si="48"/>
        <v>6</v>
      </c>
    </row>
    <row r="335" spans="1:29">
      <c r="A335" s="11">
        <v>334</v>
      </c>
      <c r="B335" s="12">
        <v>3</v>
      </c>
      <c r="C335" s="11">
        <v>2</v>
      </c>
      <c r="D335" s="11">
        <v>5</v>
      </c>
      <c r="E335" s="11">
        <v>3</v>
      </c>
      <c r="F335" s="11">
        <v>3</v>
      </c>
      <c r="G335" s="11">
        <v>4</v>
      </c>
      <c r="H335" s="11">
        <v>2</v>
      </c>
      <c r="I335" s="11">
        <v>2</v>
      </c>
      <c r="J335" s="11">
        <v>1</v>
      </c>
      <c r="K335" s="11">
        <v>1</v>
      </c>
      <c r="L335" s="11">
        <v>1</v>
      </c>
      <c r="M335" s="11">
        <v>2</v>
      </c>
      <c r="N335" s="11">
        <v>2</v>
      </c>
      <c r="O335" s="11">
        <v>4</v>
      </c>
      <c r="P335" s="11">
        <v>3</v>
      </c>
      <c r="Q335" s="11">
        <v>2</v>
      </c>
      <c r="R335" s="11">
        <v>3</v>
      </c>
      <c r="S335" s="11">
        <v>2</v>
      </c>
      <c r="T335" s="11">
        <v>2</v>
      </c>
      <c r="U335" s="10">
        <v>4</v>
      </c>
      <c r="V335" s="6">
        <f t="shared" si="41"/>
        <v>36.755919796177935</v>
      </c>
      <c r="W335" s="6">
        <f t="shared" si="42"/>
        <v>14.257238200465094</v>
      </c>
      <c r="X335" s="6">
        <f t="shared" si="43"/>
        <v>31.66228258400486</v>
      </c>
      <c r="Y335" s="6">
        <f t="shared" si="44"/>
        <v>24.711388621059061</v>
      </c>
      <c r="Z335" s="6">
        <f t="shared" si="45"/>
        <v>21.237387373716778</v>
      </c>
      <c r="AA335" s="6">
        <f t="shared" si="46"/>
        <v>27.096925717779037</v>
      </c>
      <c r="AB335" s="6">
        <f t="shared" si="47"/>
        <v>14.257238200465094</v>
      </c>
      <c r="AC335" s="6">
        <f t="shared" si="48"/>
        <v>2</v>
      </c>
    </row>
    <row r="336" spans="1:29">
      <c r="A336" s="11">
        <v>335</v>
      </c>
      <c r="B336" s="12">
        <v>3</v>
      </c>
      <c r="C336" s="11">
        <v>4</v>
      </c>
      <c r="D336" s="11">
        <v>2</v>
      </c>
      <c r="E336" s="11">
        <v>3</v>
      </c>
      <c r="F336" s="11">
        <v>5</v>
      </c>
      <c r="G336" s="11">
        <v>5</v>
      </c>
      <c r="H336" s="11">
        <v>3</v>
      </c>
      <c r="I336" s="11">
        <v>1</v>
      </c>
      <c r="J336" s="11">
        <v>1</v>
      </c>
      <c r="K336" s="11">
        <v>3</v>
      </c>
      <c r="L336" s="11">
        <v>3</v>
      </c>
      <c r="M336" s="11">
        <v>1</v>
      </c>
      <c r="N336" s="11">
        <v>2</v>
      </c>
      <c r="O336" s="11">
        <v>5</v>
      </c>
      <c r="P336" s="11">
        <v>5</v>
      </c>
      <c r="Q336" s="11">
        <v>3</v>
      </c>
      <c r="R336" s="11">
        <v>1</v>
      </c>
      <c r="S336" s="11">
        <v>5</v>
      </c>
      <c r="T336" s="11">
        <v>2</v>
      </c>
      <c r="U336" s="10">
        <v>5</v>
      </c>
      <c r="V336" s="6">
        <f t="shared" si="41"/>
        <v>44.210845144963628</v>
      </c>
      <c r="W336" s="6">
        <f t="shared" si="42"/>
        <v>37.595841433691334</v>
      </c>
      <c r="X336" s="6">
        <f t="shared" si="43"/>
        <v>40.912278831579897</v>
      </c>
      <c r="Y336" s="6">
        <f t="shared" si="44"/>
        <v>51.045348946327245</v>
      </c>
      <c r="Z336" s="6">
        <f t="shared" si="45"/>
        <v>17.323362362989556</v>
      </c>
      <c r="AA336" s="6">
        <f t="shared" si="46"/>
        <v>43.163520382616447</v>
      </c>
      <c r="AB336" s="6">
        <f t="shared" si="47"/>
        <v>17.323362362989556</v>
      </c>
      <c r="AC336" s="6">
        <f t="shared" si="48"/>
        <v>5</v>
      </c>
    </row>
    <row r="337" spans="1:29">
      <c r="A337" s="11">
        <v>336</v>
      </c>
      <c r="B337" s="12">
        <v>4</v>
      </c>
      <c r="C337" s="11">
        <v>4</v>
      </c>
      <c r="D337" s="11">
        <v>1</v>
      </c>
      <c r="E337" s="11">
        <v>1</v>
      </c>
      <c r="F337" s="11">
        <v>4</v>
      </c>
      <c r="G337" s="11">
        <v>2</v>
      </c>
      <c r="H337" s="11">
        <v>3</v>
      </c>
      <c r="I337" s="11">
        <v>3</v>
      </c>
      <c r="J337" s="11">
        <v>3</v>
      </c>
      <c r="K337" s="11">
        <v>3</v>
      </c>
      <c r="L337" s="11">
        <v>1</v>
      </c>
      <c r="M337" s="11">
        <v>4</v>
      </c>
      <c r="N337" s="11">
        <v>1</v>
      </c>
      <c r="O337" s="11">
        <v>1</v>
      </c>
      <c r="P337" s="11">
        <v>5</v>
      </c>
      <c r="Q337" s="11">
        <v>1</v>
      </c>
      <c r="R337" s="11">
        <v>3</v>
      </c>
      <c r="S337" s="11">
        <v>4</v>
      </c>
      <c r="T337" s="11">
        <v>3</v>
      </c>
      <c r="U337" s="10">
        <v>2</v>
      </c>
      <c r="V337" s="6">
        <f t="shared" si="41"/>
        <v>46.02887264517905</v>
      </c>
      <c r="W337" s="6">
        <f t="shared" si="42"/>
        <v>36.226511930407156</v>
      </c>
      <c r="X337" s="6">
        <f t="shared" si="43"/>
        <v>29.45394978568336</v>
      </c>
      <c r="Y337" s="6">
        <f t="shared" si="44"/>
        <v>37.289781693897424</v>
      </c>
      <c r="Z337" s="6">
        <f t="shared" si="45"/>
        <v>43.323086133751552</v>
      </c>
      <c r="AA337" s="6">
        <f t="shared" si="46"/>
        <v>35.119015824694792</v>
      </c>
      <c r="AB337" s="6">
        <f t="shared" si="47"/>
        <v>29.45394978568336</v>
      </c>
      <c r="AC337" s="6">
        <f t="shared" si="48"/>
        <v>3</v>
      </c>
    </row>
    <row r="338" spans="1:29">
      <c r="A338" s="11">
        <v>337</v>
      </c>
      <c r="B338" s="12">
        <v>3</v>
      </c>
      <c r="C338" s="11">
        <v>1</v>
      </c>
      <c r="D338" s="11">
        <v>2</v>
      </c>
      <c r="E338" s="11">
        <v>2</v>
      </c>
      <c r="F338" s="11">
        <v>2</v>
      </c>
      <c r="G338" s="11">
        <v>1</v>
      </c>
      <c r="H338" s="11">
        <v>2</v>
      </c>
      <c r="I338" s="11">
        <v>2</v>
      </c>
      <c r="J338" s="11">
        <v>3</v>
      </c>
      <c r="K338" s="11">
        <v>2</v>
      </c>
      <c r="L338" s="11">
        <v>3</v>
      </c>
      <c r="M338" s="11">
        <v>2</v>
      </c>
      <c r="N338" s="11">
        <v>3</v>
      </c>
      <c r="O338" s="11">
        <v>4</v>
      </c>
      <c r="P338" s="11">
        <v>3</v>
      </c>
      <c r="Q338" s="11">
        <v>2</v>
      </c>
      <c r="R338" s="11">
        <v>2</v>
      </c>
      <c r="S338" s="11">
        <v>2</v>
      </c>
      <c r="T338" s="11">
        <v>4</v>
      </c>
      <c r="U338" s="10">
        <v>3</v>
      </c>
      <c r="V338" s="6">
        <f t="shared" si="41"/>
        <v>40.210567606283377</v>
      </c>
      <c r="W338" s="6">
        <f t="shared" si="42"/>
        <v>17.380286300442791</v>
      </c>
      <c r="X338" s="6">
        <f t="shared" si="43"/>
        <v>16.703913211683115</v>
      </c>
      <c r="Y338" s="6">
        <f t="shared" si="44"/>
        <v>11.35602956392847</v>
      </c>
      <c r="Z338" s="6">
        <f t="shared" si="45"/>
        <v>25.208895267059351</v>
      </c>
      <c r="AA338" s="6">
        <f t="shared" si="46"/>
        <v>16.00784319455958</v>
      </c>
      <c r="AB338" s="6">
        <f t="shared" si="47"/>
        <v>11.35602956392847</v>
      </c>
      <c r="AC338" s="6">
        <f t="shared" si="48"/>
        <v>4</v>
      </c>
    </row>
    <row r="339" spans="1:29">
      <c r="A339" s="11">
        <v>338</v>
      </c>
      <c r="B339" s="12">
        <v>2</v>
      </c>
      <c r="C339" s="11">
        <v>3</v>
      </c>
      <c r="D339" s="11">
        <v>2</v>
      </c>
      <c r="E339" s="11">
        <v>3</v>
      </c>
      <c r="F339" s="11">
        <v>4</v>
      </c>
      <c r="G339" s="11">
        <v>4</v>
      </c>
      <c r="H339" s="11">
        <v>3</v>
      </c>
      <c r="I339" s="11">
        <v>3</v>
      </c>
      <c r="J339" s="11">
        <v>2</v>
      </c>
      <c r="K339" s="11">
        <v>4</v>
      </c>
      <c r="L339" s="11">
        <v>2</v>
      </c>
      <c r="M339" s="11">
        <v>2</v>
      </c>
      <c r="N339" s="11">
        <v>2</v>
      </c>
      <c r="O339" s="11">
        <v>4</v>
      </c>
      <c r="P339" s="11">
        <v>4</v>
      </c>
      <c r="Q339" s="11">
        <v>3</v>
      </c>
      <c r="R339" s="11">
        <v>3</v>
      </c>
      <c r="S339" s="11">
        <v>4</v>
      </c>
      <c r="T339" s="11">
        <v>4</v>
      </c>
      <c r="U339" s="10">
        <v>5</v>
      </c>
      <c r="V339" s="6">
        <f t="shared" si="41"/>
        <v>18.392500727745393</v>
      </c>
      <c r="W339" s="6">
        <f t="shared" si="42"/>
        <v>19.118916527361176</v>
      </c>
      <c r="X339" s="6">
        <f t="shared" si="43"/>
        <v>10.412344225064802</v>
      </c>
      <c r="Y339" s="6">
        <f t="shared" si="44"/>
        <v>22.578474877784103</v>
      </c>
      <c r="Z339" s="6">
        <f t="shared" si="45"/>
        <v>9.6661533560048944</v>
      </c>
      <c r="AA339" s="6">
        <f t="shared" si="46"/>
        <v>24.474644869292501</v>
      </c>
      <c r="AB339" s="6">
        <f t="shared" si="47"/>
        <v>9.6661533560048944</v>
      </c>
      <c r="AC339" s="6">
        <f t="shared" si="48"/>
        <v>5</v>
      </c>
    </row>
    <row r="340" spans="1:29">
      <c r="A340" s="11">
        <v>339</v>
      </c>
      <c r="B340" s="12">
        <v>4</v>
      </c>
      <c r="C340" s="11">
        <v>2</v>
      </c>
      <c r="D340" s="11">
        <v>1</v>
      </c>
      <c r="E340" s="11">
        <v>3</v>
      </c>
      <c r="F340" s="11">
        <v>4</v>
      </c>
      <c r="G340" s="11">
        <v>3</v>
      </c>
      <c r="H340" s="11">
        <v>3</v>
      </c>
      <c r="I340" s="11">
        <v>2</v>
      </c>
      <c r="J340" s="11">
        <v>2</v>
      </c>
      <c r="K340" s="11">
        <v>2</v>
      </c>
      <c r="L340" s="11">
        <v>1</v>
      </c>
      <c r="M340" s="11">
        <v>2</v>
      </c>
      <c r="N340" s="11">
        <v>2</v>
      </c>
      <c r="O340" s="11">
        <v>2</v>
      </c>
      <c r="P340" s="11">
        <v>4</v>
      </c>
      <c r="Q340" s="11">
        <v>1</v>
      </c>
      <c r="R340" s="11">
        <v>3</v>
      </c>
      <c r="S340" s="11">
        <v>2</v>
      </c>
      <c r="T340" s="11">
        <v>3</v>
      </c>
      <c r="U340" s="10">
        <v>2</v>
      </c>
      <c r="V340" s="6">
        <f t="shared" si="41"/>
        <v>35.846938541150294</v>
      </c>
      <c r="W340" s="6">
        <f t="shared" si="42"/>
        <v>16.795647236651178</v>
      </c>
      <c r="X340" s="6">
        <f t="shared" si="43"/>
        <v>20.412230010177566</v>
      </c>
      <c r="Y340" s="6">
        <f t="shared" si="44"/>
        <v>18.644947425896383</v>
      </c>
      <c r="Z340" s="6">
        <f t="shared" si="45"/>
        <v>19.923074803193479</v>
      </c>
      <c r="AA340" s="6">
        <f t="shared" si="46"/>
        <v>10.007940877120173</v>
      </c>
      <c r="AB340" s="6">
        <f t="shared" si="47"/>
        <v>10.007940877120173</v>
      </c>
      <c r="AC340" s="6">
        <f t="shared" si="48"/>
        <v>6</v>
      </c>
    </row>
    <row r="341" spans="1:29">
      <c r="A341" s="8">
        <v>340</v>
      </c>
      <c r="B341" s="9">
        <v>3</v>
      </c>
      <c r="C341" s="8">
        <v>2</v>
      </c>
      <c r="D341" s="8">
        <v>1</v>
      </c>
      <c r="E341" s="8">
        <v>2</v>
      </c>
      <c r="F341" s="8">
        <v>2</v>
      </c>
      <c r="G341" s="8">
        <v>1</v>
      </c>
      <c r="H341" s="8">
        <v>3</v>
      </c>
      <c r="I341" s="8">
        <v>2</v>
      </c>
      <c r="J341" s="8">
        <v>2</v>
      </c>
      <c r="K341" s="8">
        <v>2</v>
      </c>
      <c r="L341" s="8">
        <v>3</v>
      </c>
      <c r="M341" s="8">
        <v>3</v>
      </c>
      <c r="N341" s="8">
        <v>3</v>
      </c>
      <c r="O341" s="8">
        <v>4</v>
      </c>
      <c r="P341" s="8">
        <v>4</v>
      </c>
      <c r="Q341" s="8">
        <v>1</v>
      </c>
      <c r="R341" s="8">
        <v>2</v>
      </c>
      <c r="S341" s="8">
        <v>1</v>
      </c>
      <c r="T341" s="8">
        <v>3</v>
      </c>
      <c r="U341" s="7">
        <v>3</v>
      </c>
      <c r="V341" s="6">
        <f t="shared" si="41"/>
        <v>47.93782732805122</v>
      </c>
      <c r="W341" s="6">
        <f t="shared" si="42"/>
        <v>18.872537118103686</v>
      </c>
      <c r="X341" s="6">
        <f t="shared" si="43"/>
        <v>22.078888778003737</v>
      </c>
      <c r="Y341" s="6">
        <f t="shared" si="44"/>
        <v>11.911745324807319</v>
      </c>
      <c r="Z341" s="6">
        <f t="shared" si="45"/>
        <v>26.523229449336537</v>
      </c>
      <c r="AA341" s="6">
        <f t="shared" si="46"/>
        <v>13.78558190337043</v>
      </c>
      <c r="AB341" s="6">
        <f t="shared" si="47"/>
        <v>11.911745324807319</v>
      </c>
      <c r="AC341" s="6">
        <f t="shared" si="48"/>
        <v>4</v>
      </c>
    </row>
  </sheetData>
  <phoneticPr fontId="1" type="noConversion"/>
  <conditionalFormatting sqref="AG2:AL21">
    <cfRule type="cellIs" dxfId="2" priority="1" operator="between">
      <formula>2</formula>
      <formula>2.5</formula>
    </cfRule>
    <cfRule type="cellIs" dxfId="1" priority="2" operator="lessThan">
      <formula>2</formula>
    </cfRule>
    <cfRule type="cellIs" dxfId="0" priority="3" operator="greaterThan">
      <formula>3.5</formula>
    </cfRule>
  </conditionalFormatting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7" sqref="Q17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變數說明</vt:lpstr>
      <vt:lpstr>data(min) (優化前)</vt:lpstr>
      <vt:lpstr>data(min) (優化後)</vt:lpstr>
      <vt:lpstr>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2015-04-15T16:11:17Z</dcterms:created>
  <dcterms:modified xsi:type="dcterms:W3CDTF">2017-02-16T05:16:21Z</dcterms:modified>
</cp:coreProperties>
</file>