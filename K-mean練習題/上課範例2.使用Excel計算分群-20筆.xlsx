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1.教學\3.資料探勘DataMining\K-mean練習題\"/>
    </mc:Choice>
  </mc:AlternateContent>
  <bookViews>
    <workbookView xWindow="0" yWindow="0" windowWidth="23040" windowHeight="9720" activeTab="4"/>
  </bookViews>
  <sheets>
    <sheet name="工作表1" sheetId="1" r:id="rId1"/>
    <sheet name="工作表2" sheetId="2" r:id="rId2"/>
    <sheet name="工作表3" sheetId="3" r:id="rId3"/>
    <sheet name="工作表4" sheetId="4" r:id="rId4"/>
    <sheet name="工作表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" i="3"/>
  <c r="K5" i="5" l="1"/>
  <c r="K6" i="5"/>
  <c r="K13" i="5"/>
  <c r="K14" i="5"/>
  <c r="K21" i="5"/>
  <c r="K2" i="5"/>
  <c r="J9" i="5"/>
  <c r="J10" i="5"/>
  <c r="J17" i="5"/>
  <c r="J18" i="5"/>
  <c r="Q3" i="5"/>
  <c r="J3" i="5" s="1"/>
  <c r="R4" i="5"/>
  <c r="S4" i="5"/>
  <c r="S3" i="5"/>
  <c r="L3" i="5" s="1"/>
  <c r="R3" i="5"/>
  <c r="K7" i="5" s="1"/>
  <c r="Q4" i="5"/>
  <c r="L10" i="4"/>
  <c r="L18" i="4"/>
  <c r="J10" i="4"/>
  <c r="J18" i="4"/>
  <c r="S4" i="4"/>
  <c r="S3" i="4"/>
  <c r="L3" i="4" s="1"/>
  <c r="R4" i="4"/>
  <c r="R3" i="4"/>
  <c r="K7" i="4" s="1"/>
  <c r="Q4" i="4"/>
  <c r="J19" i="4" s="1"/>
  <c r="Q3" i="4"/>
  <c r="J3" i="4" s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" i="3"/>
  <c r="R4" i="3"/>
  <c r="R3" i="3"/>
  <c r="Q4" i="3"/>
  <c r="Q3" i="3"/>
  <c r="P4" i="3"/>
  <c r="P3" i="3"/>
  <c r="L18" i="5" l="1"/>
  <c r="L9" i="5"/>
  <c r="J16" i="5"/>
  <c r="J8" i="5"/>
  <c r="K20" i="5"/>
  <c r="K12" i="5"/>
  <c r="K4" i="5"/>
  <c r="L16" i="5"/>
  <c r="L8" i="5"/>
  <c r="J7" i="5"/>
  <c r="K19" i="5"/>
  <c r="K11" i="5"/>
  <c r="K3" i="5"/>
  <c r="L15" i="5"/>
  <c r="L7" i="5"/>
  <c r="J15" i="5"/>
  <c r="J2" i="5"/>
  <c r="J14" i="5"/>
  <c r="J6" i="5"/>
  <c r="K18" i="5"/>
  <c r="K10" i="5"/>
  <c r="L2" i="5"/>
  <c r="L14" i="5"/>
  <c r="L6" i="5"/>
  <c r="J21" i="5"/>
  <c r="J13" i="5"/>
  <c r="J5" i="5"/>
  <c r="K17" i="5"/>
  <c r="K9" i="5"/>
  <c r="L21" i="5"/>
  <c r="L13" i="5"/>
  <c r="L5" i="5"/>
  <c r="L10" i="5"/>
  <c r="J20" i="5"/>
  <c r="J12" i="5"/>
  <c r="J4" i="5"/>
  <c r="K16" i="5"/>
  <c r="K8" i="5"/>
  <c r="L20" i="5"/>
  <c r="L12" i="5"/>
  <c r="L4" i="5"/>
  <c r="L17" i="5"/>
  <c r="J19" i="5"/>
  <c r="J11" i="5"/>
  <c r="K15" i="5"/>
  <c r="L19" i="5"/>
  <c r="L11" i="5"/>
  <c r="K6" i="4"/>
  <c r="J17" i="4"/>
  <c r="J9" i="4"/>
  <c r="K21" i="4"/>
  <c r="K13" i="4"/>
  <c r="K5" i="4"/>
  <c r="L17" i="4"/>
  <c r="L9" i="4"/>
  <c r="J16" i="4"/>
  <c r="J8" i="4"/>
  <c r="K20" i="4"/>
  <c r="K12" i="4"/>
  <c r="K4" i="4"/>
  <c r="L16" i="4"/>
  <c r="L8" i="4"/>
  <c r="J15" i="4"/>
  <c r="J7" i="4"/>
  <c r="K19" i="4"/>
  <c r="K11" i="4"/>
  <c r="K3" i="4"/>
  <c r="L15" i="4"/>
  <c r="L7" i="4"/>
  <c r="J2" i="4"/>
  <c r="J14" i="4"/>
  <c r="J6" i="4"/>
  <c r="K18" i="4"/>
  <c r="K10" i="4"/>
  <c r="L2" i="4"/>
  <c r="L14" i="4"/>
  <c r="L6" i="4"/>
  <c r="K14" i="4"/>
  <c r="J21" i="4"/>
  <c r="J13" i="4"/>
  <c r="J5" i="4"/>
  <c r="K17" i="4"/>
  <c r="K9" i="4"/>
  <c r="L21" i="4"/>
  <c r="L13" i="4"/>
  <c r="L5" i="4"/>
  <c r="K2" i="4"/>
  <c r="J20" i="4"/>
  <c r="J12" i="4"/>
  <c r="J4" i="4"/>
  <c r="K16" i="4"/>
  <c r="K8" i="4"/>
  <c r="L20" i="4"/>
  <c r="L12" i="4"/>
  <c r="L4" i="4"/>
  <c r="J11" i="4"/>
  <c r="K15" i="4"/>
  <c r="L19" i="4"/>
  <c r="L11" i="4"/>
  <c r="M17" i="5" l="1"/>
  <c r="N17" i="5" s="1"/>
  <c r="M16" i="5"/>
  <c r="N16" i="5" s="1"/>
  <c r="M8" i="5" l="1"/>
  <c r="N8" i="5" s="1"/>
  <c r="M14" i="5"/>
  <c r="N14" i="5" s="1"/>
  <c r="M15" i="5"/>
  <c r="N15" i="5" s="1"/>
  <c r="M6" i="5"/>
  <c r="N6" i="5" s="1"/>
  <c r="M7" i="5"/>
  <c r="N7" i="5" s="1"/>
  <c r="M9" i="5"/>
  <c r="N9" i="5" s="1"/>
  <c r="M11" i="5"/>
  <c r="N11" i="5" s="1"/>
  <c r="M19" i="5"/>
  <c r="N19" i="5" s="1"/>
  <c r="M20" i="5"/>
  <c r="N20" i="5" s="1"/>
  <c r="M3" i="5"/>
  <c r="N3" i="5" s="1"/>
  <c r="M4" i="5"/>
  <c r="N4" i="5" s="1"/>
  <c r="M12" i="5"/>
  <c r="N12" i="5" s="1"/>
  <c r="M5" i="5"/>
  <c r="N5" i="5" s="1"/>
  <c r="M13" i="5"/>
  <c r="N13" i="5" s="1"/>
  <c r="M21" i="5"/>
  <c r="N21" i="5" s="1"/>
  <c r="M2" i="5"/>
  <c r="N2" i="5" s="1"/>
  <c r="M10" i="5"/>
  <c r="N10" i="5" s="1"/>
  <c r="M18" i="5"/>
  <c r="N18" i="5" s="1"/>
  <c r="M15" i="4"/>
  <c r="L17" i="3"/>
  <c r="M17" i="3" s="1"/>
  <c r="L18" i="3"/>
  <c r="M18" i="3" s="1"/>
  <c r="L3" i="3"/>
  <c r="M3" i="3" s="1"/>
  <c r="L7" i="3"/>
  <c r="M7" i="3" s="1"/>
  <c r="L21" i="3"/>
  <c r="M21" i="3" s="1"/>
  <c r="L14" i="3"/>
  <c r="M14" i="3" s="1"/>
  <c r="L15" i="3"/>
  <c r="M15" i="3" s="1"/>
  <c r="L8" i="3"/>
  <c r="M8" i="3" s="1"/>
  <c r="L6" i="3"/>
  <c r="M6" i="3" s="1"/>
  <c r="M14" i="4" l="1"/>
  <c r="N14" i="4" s="1"/>
  <c r="M20" i="4"/>
  <c r="N20" i="4" s="1"/>
  <c r="M4" i="4"/>
  <c r="N4" i="4" s="1"/>
  <c r="M3" i="4"/>
  <c r="N3" i="4" s="1"/>
  <c r="M5" i="4"/>
  <c r="N5" i="4" s="1"/>
  <c r="M13" i="4"/>
  <c r="N13" i="4" s="1"/>
  <c r="M12" i="4"/>
  <c r="N12" i="4" s="1"/>
  <c r="M18" i="4"/>
  <c r="N18" i="4" s="1"/>
  <c r="M8" i="4"/>
  <c r="N8" i="4" s="1"/>
  <c r="M19" i="4"/>
  <c r="N19" i="4" s="1"/>
  <c r="M9" i="4"/>
  <c r="N9" i="4" s="1"/>
  <c r="M21" i="4"/>
  <c r="N21" i="4" s="1"/>
  <c r="M10" i="4"/>
  <c r="N10" i="4" s="1"/>
  <c r="M17" i="4"/>
  <c r="N17" i="4" s="1"/>
  <c r="M11" i="4"/>
  <c r="N11" i="4" s="1"/>
  <c r="M7" i="4"/>
  <c r="N7" i="4" s="1"/>
  <c r="M6" i="4"/>
  <c r="N6" i="4" s="1"/>
  <c r="M16" i="4"/>
  <c r="N16" i="4" s="1"/>
  <c r="M2" i="4"/>
  <c r="N2" i="4" s="1"/>
  <c r="L5" i="3"/>
  <c r="M5" i="3" s="1"/>
  <c r="L13" i="3"/>
  <c r="M13" i="3" s="1"/>
  <c r="L19" i="3"/>
  <c r="M19" i="3" s="1"/>
  <c r="L11" i="3"/>
  <c r="M11" i="3" s="1"/>
  <c r="L20" i="3"/>
  <c r="M20" i="3" s="1"/>
  <c r="L12" i="3"/>
  <c r="M12" i="3" s="1"/>
  <c r="L4" i="3"/>
  <c r="M4" i="3" s="1"/>
  <c r="L2" i="3"/>
  <c r="M2" i="3" s="1"/>
  <c r="L9" i="3"/>
  <c r="M9" i="3" s="1"/>
  <c r="L10" i="3"/>
  <c r="M10" i="3" s="1"/>
  <c r="L16" i="3"/>
  <c r="M16" i="3" s="1"/>
  <c r="N15" i="4"/>
  <c r="N3" i="2" l="1"/>
  <c r="M3" i="2"/>
  <c r="N4" i="2" l="1"/>
  <c r="G15" i="2" s="1"/>
  <c r="L4" i="2"/>
  <c r="E9" i="2" s="1"/>
  <c r="L3" i="2"/>
  <c r="E5" i="2" s="1"/>
  <c r="M4" i="2"/>
  <c r="F17" i="2" s="1"/>
  <c r="G3" i="2"/>
  <c r="G18" i="2"/>
  <c r="E18" i="2"/>
  <c r="G2" i="2"/>
  <c r="G19" i="2"/>
  <c r="G13" i="2"/>
  <c r="G10" i="2"/>
  <c r="G17" i="2"/>
  <c r="G16" i="2"/>
  <c r="G11" i="2"/>
  <c r="G14" i="2"/>
  <c r="G6" i="2"/>
  <c r="E7" i="2"/>
  <c r="E6" i="2"/>
  <c r="G9" i="2"/>
  <c r="G12" i="2"/>
  <c r="F11" i="2" l="1"/>
  <c r="F14" i="2"/>
  <c r="F18" i="2"/>
  <c r="E10" i="2"/>
  <c r="G5" i="2"/>
  <c r="F5" i="2"/>
  <c r="H5" i="2" s="1"/>
  <c r="I5" i="2" s="1"/>
  <c r="E11" i="2"/>
  <c r="H11" i="2" s="1"/>
  <c r="I11" i="2" s="1"/>
  <c r="F3" i="2"/>
  <c r="E4" i="2"/>
  <c r="E13" i="2"/>
  <c r="E21" i="2"/>
  <c r="G7" i="2"/>
  <c r="F16" i="2"/>
  <c r="H16" i="2" s="1"/>
  <c r="I16" i="2" s="1"/>
  <c r="E2" i="2"/>
  <c r="G20" i="2"/>
  <c r="F12" i="2"/>
  <c r="E20" i="2"/>
  <c r="E16" i="2"/>
  <c r="F4" i="2"/>
  <c r="E14" i="2"/>
  <c r="H14" i="2" s="1"/>
  <c r="I14" i="2" s="1"/>
  <c r="F2" i="2"/>
  <c r="G4" i="2"/>
  <c r="E17" i="2"/>
  <c r="H17" i="2" s="1"/>
  <c r="I17" i="2" s="1"/>
  <c r="F15" i="2"/>
  <c r="F7" i="2"/>
  <c r="E15" i="2"/>
  <c r="F10" i="2"/>
  <c r="E8" i="2"/>
  <c r="G21" i="2"/>
  <c r="G8" i="2"/>
  <c r="E12" i="2"/>
  <c r="F19" i="2"/>
  <c r="F6" i="2"/>
  <c r="E19" i="2"/>
  <c r="H6" i="2"/>
  <c r="I6" i="2" s="1"/>
  <c r="H7" i="2"/>
  <c r="I7" i="2" s="1"/>
  <c r="H18" i="2"/>
  <c r="I18" i="2" s="1"/>
  <c r="H10" i="2"/>
  <c r="I10" i="2" s="1"/>
  <c r="F21" i="2"/>
  <c r="F8" i="2"/>
  <c r="F9" i="2"/>
  <c r="H9" i="2" s="1"/>
  <c r="I9" i="2" s="1"/>
  <c r="F13" i="2"/>
  <c r="E3" i="2"/>
  <c r="F20" i="2"/>
  <c r="H4" i="2" l="1"/>
  <c r="I4" i="2" s="1"/>
  <c r="H19" i="2"/>
  <c r="I19" i="2" s="1"/>
  <c r="H15" i="2"/>
  <c r="I15" i="2" s="1"/>
  <c r="H12" i="2"/>
  <c r="I12" i="2" s="1"/>
  <c r="H20" i="2"/>
  <c r="I20" i="2" s="1"/>
  <c r="H21" i="2"/>
  <c r="I21" i="2" s="1"/>
  <c r="H8" i="2"/>
  <c r="I8" i="2" s="1"/>
  <c r="H2" i="2"/>
  <c r="I2" i="2" s="1"/>
  <c r="H3" i="2"/>
  <c r="I3" i="2" s="1"/>
  <c r="H13" i="2"/>
  <c r="I13" i="2" s="1"/>
</calcChain>
</file>

<file path=xl/sharedStrings.xml><?xml version="1.0" encoding="utf-8"?>
<sst xmlns="http://schemas.openxmlformats.org/spreadsheetml/2006/main" count="79" uniqueCount="39">
  <si>
    <t>樣本</t>
    <phoneticPr fontId="4" type="noConversion"/>
  </si>
  <si>
    <t>No</t>
    <phoneticPr fontId="6" type="noConversion"/>
  </si>
  <si>
    <t>Age</t>
    <phoneticPr fontId="6" type="noConversion"/>
  </si>
  <si>
    <t>Income</t>
    <phoneticPr fontId="6" type="noConversion"/>
  </si>
  <si>
    <t>Age</t>
    <phoneticPr fontId="4" type="noConversion"/>
  </si>
  <si>
    <t>Income</t>
    <phoneticPr fontId="4" type="noConversion"/>
  </si>
  <si>
    <t>原始聚類</t>
    <phoneticPr fontId="4" type="noConversion"/>
  </si>
  <si>
    <t>Age</t>
    <phoneticPr fontId="4" type="noConversion"/>
  </si>
  <si>
    <t>Income</t>
    <phoneticPr fontId="4" type="noConversion"/>
  </si>
  <si>
    <t>聚類1</t>
    <phoneticPr fontId="4" type="noConversion"/>
  </si>
  <si>
    <t>聚類2</t>
    <phoneticPr fontId="4" type="noConversion"/>
  </si>
  <si>
    <t>聚類3</t>
    <phoneticPr fontId="4" type="noConversion"/>
  </si>
  <si>
    <t>D1</t>
    <phoneticPr fontId="4" type="noConversion"/>
  </si>
  <si>
    <t>D2</t>
    <phoneticPr fontId="4" type="noConversion"/>
  </si>
  <si>
    <t>D3</t>
    <phoneticPr fontId="4" type="noConversion"/>
  </si>
  <si>
    <t>D2</t>
    <phoneticPr fontId="4" type="noConversion"/>
  </si>
  <si>
    <t>D3</t>
    <phoneticPr fontId="4" type="noConversion"/>
  </si>
  <si>
    <t>第二次聚類</t>
    <phoneticPr fontId="4" type="noConversion"/>
  </si>
  <si>
    <t>D1</t>
    <phoneticPr fontId="4" type="noConversion"/>
  </si>
  <si>
    <t>D2</t>
    <phoneticPr fontId="4" type="noConversion"/>
  </si>
  <si>
    <t>D3</t>
    <phoneticPr fontId="4" type="noConversion"/>
  </si>
  <si>
    <t>第三次類聚</t>
    <phoneticPr fontId="4" type="noConversion"/>
  </si>
  <si>
    <t>MIN</t>
    <phoneticPr fontId="4" type="noConversion"/>
  </si>
  <si>
    <t>MIN</t>
    <phoneticPr fontId="4" type="noConversion"/>
  </si>
  <si>
    <t>第二次聚類</t>
  </si>
  <si>
    <t>第一次聚類(排序)</t>
    <phoneticPr fontId="4" type="noConversion"/>
  </si>
  <si>
    <t>MIN</t>
    <phoneticPr fontId="4" type="noConversion"/>
  </si>
  <si>
    <t>第四次類聚</t>
    <phoneticPr fontId="4" type="noConversion"/>
  </si>
  <si>
    <t>聚類1:高齡, 收入低</t>
    <phoneticPr fontId="4" type="noConversion"/>
  </si>
  <si>
    <t>聚類2:中高齡, 收入高</t>
    <phoneticPr fontId="4" type="noConversion"/>
  </si>
  <si>
    <t>聚類3:中年, 收入次高</t>
    <phoneticPr fontId="4" type="noConversion"/>
  </si>
  <si>
    <t>聚類中心(第一次)</t>
    <phoneticPr fontId="4" type="noConversion"/>
  </si>
  <si>
    <t>聚類中心(第二次)</t>
    <phoneticPr fontId="4" type="noConversion"/>
  </si>
  <si>
    <t>聚類中心(第三次)</t>
    <phoneticPr fontId="4" type="noConversion"/>
  </si>
  <si>
    <t>聚類中心(第四次)</t>
    <phoneticPr fontId="4" type="noConversion"/>
  </si>
  <si>
    <t>第一次聚類</t>
    <phoneticPr fontId="4" type="noConversion"/>
  </si>
  <si>
    <t>第一次聚類</t>
    <phoneticPr fontId="4" type="noConversion"/>
  </si>
  <si>
    <t>第二次聚類 (排序)</t>
    <phoneticPr fontId="4" type="noConversion"/>
  </si>
  <si>
    <t>第三次類聚 (排序)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</si>
</sst>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16">
    <font>
      <sz val="12"/>
      <color theme="1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name val="新細明體"/>
      <family val="1"/>
      <charset val="136"/>
    </font>
    <font>
      <sz val="16"/>
      <color theme="1"/>
      <name val="新細明體"/>
      <family val="1"/>
      <charset val="136"/>
      <scheme val="minor"/>
    </font>
    <font>
      <sz val="16"/>
      <color rgb="FF9C0006"/>
      <name val="新細明體"/>
      <family val="1"/>
      <charset val="136"/>
      <scheme val="minor"/>
    </font>
    <font>
      <sz val="16"/>
      <color rgb="FF006100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sz val="16"/>
      <color rgb="FF9C6500"/>
      <name val="新細明體"/>
      <family val="1"/>
      <charset val="136"/>
      <scheme val="minor"/>
    </font>
    <font>
      <sz val="16"/>
      <color rgb="FFFF0000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6"/>
      <color rgb="FFFF0000"/>
      <name val="新細明體"/>
      <family val="1"/>
      <charset val="136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0" borderId="0">
      <alignment vertical="center"/>
    </xf>
  </cellStyleXfs>
  <cellXfs count="51">
    <xf numFmtId="0" fontId="0" fillId="0" borderId="0" xfId="0">
      <alignment vertical="center"/>
    </xf>
    <xf numFmtId="0" fontId="0" fillId="0" borderId="0" xfId="0" applyFill="1">
      <alignment vertical="center"/>
    </xf>
    <xf numFmtId="0" fontId="8" fillId="0" borderId="0" xfId="0" applyFont="1">
      <alignment vertical="center"/>
    </xf>
    <xf numFmtId="0" fontId="7" fillId="0" borderId="0" xfId="4" applyFont="1" applyFill="1" applyBorder="1">
      <alignment vertical="center"/>
    </xf>
    <xf numFmtId="0" fontId="7" fillId="0" borderId="0" xfId="4" applyFont="1" applyBorder="1">
      <alignment vertical="center"/>
    </xf>
    <xf numFmtId="176" fontId="7" fillId="0" borderId="0" xfId="4" applyNumberFormat="1" applyFont="1" applyBorder="1">
      <alignment vertical="center"/>
    </xf>
    <xf numFmtId="0" fontId="7" fillId="0" borderId="0" xfId="4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Fill="1" applyBorder="1">
      <alignment vertical="center"/>
    </xf>
    <xf numFmtId="0" fontId="10" fillId="2" borderId="0" xfId="1" applyFont="1" applyBorder="1" applyAlignment="1">
      <alignment horizontal="center" vertical="center"/>
    </xf>
    <xf numFmtId="0" fontId="11" fillId="0" borderId="0" xfId="0" applyFont="1">
      <alignment vertical="center"/>
    </xf>
    <xf numFmtId="0" fontId="10" fillId="2" borderId="0" xfId="1" applyFont="1" applyAlignment="1">
      <alignment horizontal="center" vertical="center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/>
    </xf>
    <xf numFmtId="0" fontId="9" fillId="3" borderId="0" xfId="2" applyFont="1" applyAlignment="1">
      <alignment horizontal="center" vertical="center"/>
    </xf>
    <xf numFmtId="9" fontId="8" fillId="0" borderId="1" xfId="0" applyNumberFormat="1" applyFont="1" applyBorder="1">
      <alignment vertical="center"/>
    </xf>
    <xf numFmtId="0" fontId="12" fillId="4" borderId="0" xfId="3" applyFont="1" applyAlignment="1">
      <alignment horizontal="center" vertical="center"/>
    </xf>
    <xf numFmtId="0" fontId="12" fillId="4" borderId="0" xfId="3" applyFont="1" applyBorder="1" applyAlignment="1">
      <alignment horizontal="center" vertical="center"/>
    </xf>
    <xf numFmtId="0" fontId="9" fillId="3" borderId="0" xfId="2" applyFont="1" applyBorder="1" applyAlignment="1">
      <alignment horizontal="center" vertical="center"/>
    </xf>
    <xf numFmtId="0" fontId="8" fillId="0" borderId="0" xfId="0" applyFont="1" applyFill="1">
      <alignment vertical="center"/>
    </xf>
    <xf numFmtId="9" fontId="8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0" xfId="0" applyFont="1" applyFill="1">
      <alignment vertical="center"/>
    </xf>
    <xf numFmtId="0" fontId="0" fillId="5" borderId="0" xfId="0" applyFill="1">
      <alignment vertical="center"/>
    </xf>
    <xf numFmtId="0" fontId="8" fillId="0" borderId="5" xfId="0" applyFon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>
      <alignment vertical="center"/>
    </xf>
    <xf numFmtId="9" fontId="8" fillId="0" borderId="6" xfId="0" applyNumberFormat="1" applyFont="1" applyBorder="1">
      <alignment vertical="center"/>
    </xf>
    <xf numFmtId="0" fontId="8" fillId="6" borderId="0" xfId="0" applyFont="1" applyFill="1">
      <alignment vertical="center"/>
    </xf>
    <xf numFmtId="0" fontId="0" fillId="6" borderId="0" xfId="0" applyFill="1">
      <alignment vertical="center"/>
    </xf>
    <xf numFmtId="176" fontId="8" fillId="0" borderId="1" xfId="0" applyNumberFormat="1" applyFont="1" applyBorder="1" applyAlignment="1">
      <alignment horizontal="center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8" fillId="0" borderId="7" xfId="0" applyFont="1" applyBorder="1">
      <alignment vertical="center"/>
    </xf>
    <xf numFmtId="0" fontId="8" fillId="0" borderId="8" xfId="0" applyFont="1" applyBorder="1">
      <alignment vertical="center"/>
    </xf>
    <xf numFmtId="0" fontId="8" fillId="0" borderId="9" xfId="0" applyFont="1" applyBorder="1">
      <alignment vertical="center"/>
    </xf>
    <xf numFmtId="0" fontId="9" fillId="7" borderId="10" xfId="2" applyFont="1" applyFill="1" applyBorder="1">
      <alignment vertical="center"/>
    </xf>
    <xf numFmtId="0" fontId="9" fillId="7" borderId="11" xfId="2" applyFont="1" applyFill="1" applyBorder="1">
      <alignment vertical="center"/>
    </xf>
    <xf numFmtId="0" fontId="9" fillId="7" borderId="12" xfId="2" applyFont="1" applyFill="1" applyBorder="1">
      <alignment vertical="center"/>
    </xf>
    <xf numFmtId="0" fontId="8" fillId="0" borderId="13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176" fontId="7" fillId="0" borderId="0" xfId="4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4" applyFont="1" applyFill="1" applyBorder="1" applyAlignment="1">
      <alignment horizontal="center" vertical="center"/>
    </xf>
  </cellXfs>
  <cellStyles count="5">
    <cellStyle name="一般" xfId="0" builtinId="0"/>
    <cellStyle name="一般 2" xfId="4"/>
    <cellStyle name="中等" xfId="3" builtinId="28"/>
    <cellStyle name="好" xfId="1" builtinId="26"/>
    <cellStyle name="壞" xfId="2" builtinId="27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旅行年齡</a:t>
            </a:r>
            <a:r>
              <a:rPr lang="en-US" altLang="zh-TW"/>
              <a:t>/</a:t>
            </a:r>
            <a:r>
              <a:rPr lang="zh-TW" altLang="en-US"/>
              <a:t>收入</a:t>
            </a:r>
            <a:r>
              <a:rPr lang="en-US" altLang="zh-TW"/>
              <a:t>-</a:t>
            </a:r>
            <a:r>
              <a:rPr lang="zh-TW" altLang="en-US"/>
              <a:t>分群圖</a:t>
            </a:r>
            <a:endParaRPr lang="en-US" altLang="zh-TW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工作表5!$H$1</c:f>
              <c:strCache>
                <c:ptCount val="1"/>
                <c:pt idx="0">
                  <c:v>Income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工作表5!$G$2:$G$21</c:f>
              <c:numCache>
                <c:formatCode>General</c:formatCode>
                <c:ptCount val="20"/>
                <c:pt idx="0">
                  <c:v>63</c:v>
                </c:pt>
                <c:pt idx="1">
                  <c:v>59</c:v>
                </c:pt>
                <c:pt idx="2">
                  <c:v>71</c:v>
                </c:pt>
                <c:pt idx="3">
                  <c:v>49</c:v>
                </c:pt>
                <c:pt idx="4">
                  <c:v>55</c:v>
                </c:pt>
                <c:pt idx="5">
                  <c:v>57</c:v>
                </c:pt>
                <c:pt idx="6">
                  <c:v>49</c:v>
                </c:pt>
                <c:pt idx="7">
                  <c:v>46</c:v>
                </c:pt>
                <c:pt idx="8">
                  <c:v>45</c:v>
                </c:pt>
                <c:pt idx="9">
                  <c:v>46</c:v>
                </c:pt>
                <c:pt idx="10">
                  <c:v>40</c:v>
                </c:pt>
                <c:pt idx="11">
                  <c:v>44</c:v>
                </c:pt>
                <c:pt idx="12">
                  <c:v>22</c:v>
                </c:pt>
                <c:pt idx="13">
                  <c:v>38</c:v>
                </c:pt>
                <c:pt idx="14">
                  <c:v>43</c:v>
                </c:pt>
                <c:pt idx="15">
                  <c:v>43</c:v>
                </c:pt>
                <c:pt idx="16">
                  <c:v>35</c:v>
                </c:pt>
                <c:pt idx="17">
                  <c:v>44</c:v>
                </c:pt>
                <c:pt idx="18">
                  <c:v>28</c:v>
                </c:pt>
                <c:pt idx="19">
                  <c:v>41</c:v>
                </c:pt>
              </c:numCache>
            </c:numRef>
          </c:xVal>
          <c:yVal>
            <c:numRef>
              <c:f>工作表5!$H$2:$H$21</c:f>
              <c:numCache>
                <c:formatCode>General</c:formatCode>
                <c:ptCount val="20"/>
                <c:pt idx="0">
                  <c:v>3</c:v>
                </c:pt>
                <c:pt idx="1">
                  <c:v>0</c:v>
                </c:pt>
                <c:pt idx="2">
                  <c:v>2</c:v>
                </c:pt>
                <c:pt idx="3">
                  <c:v>11</c:v>
                </c:pt>
                <c:pt idx="4">
                  <c:v>18</c:v>
                </c:pt>
                <c:pt idx="5">
                  <c:v>14</c:v>
                </c:pt>
                <c:pt idx="6">
                  <c:v>17</c:v>
                </c:pt>
                <c:pt idx="7">
                  <c:v>6</c:v>
                </c:pt>
                <c:pt idx="8">
                  <c:v>10</c:v>
                </c:pt>
                <c:pt idx="9">
                  <c:v>10</c:v>
                </c:pt>
                <c:pt idx="10">
                  <c:v>5</c:v>
                </c:pt>
                <c:pt idx="11">
                  <c:v>14</c:v>
                </c:pt>
                <c:pt idx="12">
                  <c:v>13</c:v>
                </c:pt>
                <c:pt idx="13">
                  <c:v>10</c:v>
                </c:pt>
                <c:pt idx="14">
                  <c:v>8</c:v>
                </c:pt>
                <c:pt idx="15">
                  <c:v>11</c:v>
                </c:pt>
                <c:pt idx="16">
                  <c:v>8</c:v>
                </c:pt>
                <c:pt idx="17">
                  <c:v>10</c:v>
                </c:pt>
                <c:pt idx="18">
                  <c:v>10</c:v>
                </c:pt>
                <c:pt idx="19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9B-4AB0-9168-AC3528EA00A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27586656"/>
        <c:axId val="1027589984"/>
      </c:scatterChart>
      <c:valAx>
        <c:axId val="102758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年齡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27589984"/>
        <c:crosses val="autoZero"/>
        <c:crossBetween val="midCat"/>
      </c:valAx>
      <c:valAx>
        <c:axId val="102758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收入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27586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工作表5!$H$1</c:f>
              <c:strCache>
                <c:ptCount val="1"/>
                <c:pt idx="0">
                  <c:v>Income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fld id="{8F7AC070-3503-49B8-AB10-111C3DFA10AE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E954-4697-A7C7-C54889F6D77F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1B1222F0-598D-448D-B611-0777FE7816BC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E954-4697-A7C7-C54889F6D77F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86F3A9D6-74DA-4B34-B16F-16F128247762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E954-4697-A7C7-C54889F6D77F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118A7467-CE30-4A15-AB8A-88C77E5973AB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E954-4697-A7C7-C54889F6D77F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172C8A02-13DE-4D8D-8454-FAF4765DCF16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E954-4697-A7C7-C54889F6D77F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53D09660-9ECD-4938-977A-ED690B44E20E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E954-4697-A7C7-C54889F6D77F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5F4C253F-42C8-4B4B-81B5-6A297F985B6B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E954-4697-A7C7-C54889F6D77F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65710E22-C6BC-4DDC-9D7A-F61809FDD928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E954-4697-A7C7-C54889F6D77F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950A5015-75D2-40A7-9E35-6EF96C2EA8C7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E954-4697-A7C7-C54889F6D77F}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fld id="{B534ABA9-F244-4569-9649-778A5B955B09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E954-4697-A7C7-C54889F6D77F}"/>
                </c:ext>
              </c:extLst>
            </c:dLbl>
            <c:dLbl>
              <c:idx val="10"/>
              <c:layout/>
              <c:tx>
                <c:rich>
                  <a:bodyPr/>
                  <a:lstStyle/>
                  <a:p>
                    <a:fld id="{26822A41-AD7B-4481-9C8E-3F5A7F78A0E4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E954-4697-A7C7-C54889F6D77F}"/>
                </c:ext>
              </c:extLst>
            </c:dLbl>
            <c:dLbl>
              <c:idx val="11"/>
              <c:layout/>
              <c:tx>
                <c:rich>
                  <a:bodyPr/>
                  <a:lstStyle/>
                  <a:p>
                    <a:fld id="{2F7B2510-5A3F-4D76-8DDD-9D3034E9B404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E954-4697-A7C7-C54889F6D77F}"/>
                </c:ext>
              </c:extLst>
            </c:dLbl>
            <c:dLbl>
              <c:idx val="12"/>
              <c:layout/>
              <c:tx>
                <c:rich>
                  <a:bodyPr/>
                  <a:lstStyle/>
                  <a:p>
                    <a:fld id="{4BAE8AB2-1CD0-44B1-BA42-14484CB80609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E954-4697-A7C7-C54889F6D77F}"/>
                </c:ext>
              </c:extLst>
            </c:dLbl>
            <c:dLbl>
              <c:idx val="13"/>
              <c:layout/>
              <c:tx>
                <c:rich>
                  <a:bodyPr/>
                  <a:lstStyle/>
                  <a:p>
                    <a:fld id="{992C06B0-9217-4D62-AE83-8BBD43AE8B47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E954-4697-A7C7-C54889F6D77F}"/>
                </c:ext>
              </c:extLst>
            </c:dLbl>
            <c:dLbl>
              <c:idx val="14"/>
              <c:layout/>
              <c:tx>
                <c:rich>
                  <a:bodyPr/>
                  <a:lstStyle/>
                  <a:p>
                    <a:fld id="{D1E41B71-FD95-47BB-B556-F2FCD82131EC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E954-4697-A7C7-C54889F6D77F}"/>
                </c:ext>
              </c:extLst>
            </c:dLbl>
            <c:dLbl>
              <c:idx val="15"/>
              <c:layout/>
              <c:tx>
                <c:rich>
                  <a:bodyPr/>
                  <a:lstStyle/>
                  <a:p>
                    <a:fld id="{CA9F668B-960B-41D9-AB58-1210F4406787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E954-4697-A7C7-C54889F6D77F}"/>
                </c:ext>
              </c:extLst>
            </c:dLbl>
            <c:dLbl>
              <c:idx val="16"/>
              <c:layout/>
              <c:tx>
                <c:rich>
                  <a:bodyPr/>
                  <a:lstStyle/>
                  <a:p>
                    <a:fld id="{8CA1EC7C-D38A-4C27-8F53-B1B018D27B41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E954-4697-A7C7-C54889F6D77F}"/>
                </c:ext>
              </c:extLst>
            </c:dLbl>
            <c:dLbl>
              <c:idx val="17"/>
              <c:layout/>
              <c:tx>
                <c:rich>
                  <a:bodyPr/>
                  <a:lstStyle/>
                  <a:p>
                    <a:fld id="{02C28005-1218-4BC1-A070-E2E0A5DF1192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E954-4697-A7C7-C54889F6D77F}"/>
                </c:ext>
              </c:extLst>
            </c:dLbl>
            <c:dLbl>
              <c:idx val="18"/>
              <c:layout/>
              <c:tx>
                <c:rich>
                  <a:bodyPr/>
                  <a:lstStyle/>
                  <a:p>
                    <a:fld id="{573A15CB-D9BC-42AA-8640-7733B6677988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E954-4697-A7C7-C54889F6D77F}"/>
                </c:ext>
              </c:extLst>
            </c:dLbl>
            <c:dLbl>
              <c:idx val="19"/>
              <c:layout/>
              <c:tx>
                <c:rich>
                  <a:bodyPr/>
                  <a:lstStyle/>
                  <a:p>
                    <a:fld id="{00E221EB-5C78-4C30-9A7F-1049E868DD18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E954-4697-A7C7-C54889F6D7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工作表5!$G$2:$G$21</c:f>
              <c:numCache>
                <c:formatCode>General</c:formatCode>
                <c:ptCount val="20"/>
                <c:pt idx="0">
                  <c:v>63</c:v>
                </c:pt>
                <c:pt idx="1">
                  <c:v>59</c:v>
                </c:pt>
                <c:pt idx="2">
                  <c:v>71</c:v>
                </c:pt>
                <c:pt idx="3">
                  <c:v>49</c:v>
                </c:pt>
                <c:pt idx="4">
                  <c:v>55</c:v>
                </c:pt>
                <c:pt idx="5">
                  <c:v>57</c:v>
                </c:pt>
                <c:pt idx="6">
                  <c:v>49</c:v>
                </c:pt>
                <c:pt idx="7">
                  <c:v>46</c:v>
                </c:pt>
                <c:pt idx="8">
                  <c:v>45</c:v>
                </c:pt>
                <c:pt idx="9">
                  <c:v>46</c:v>
                </c:pt>
                <c:pt idx="10">
                  <c:v>40</c:v>
                </c:pt>
                <c:pt idx="11">
                  <c:v>44</c:v>
                </c:pt>
                <c:pt idx="12">
                  <c:v>22</c:v>
                </c:pt>
                <c:pt idx="13">
                  <c:v>38</c:v>
                </c:pt>
                <c:pt idx="14">
                  <c:v>43</c:v>
                </c:pt>
                <c:pt idx="15">
                  <c:v>43</c:v>
                </c:pt>
                <c:pt idx="16">
                  <c:v>35</c:v>
                </c:pt>
                <c:pt idx="17">
                  <c:v>44</c:v>
                </c:pt>
                <c:pt idx="18">
                  <c:v>28</c:v>
                </c:pt>
                <c:pt idx="19">
                  <c:v>41</c:v>
                </c:pt>
              </c:numCache>
            </c:numRef>
          </c:xVal>
          <c:yVal>
            <c:numRef>
              <c:f>工作表5!$H$2:$H$21</c:f>
              <c:numCache>
                <c:formatCode>General</c:formatCode>
                <c:ptCount val="20"/>
                <c:pt idx="0">
                  <c:v>3</c:v>
                </c:pt>
                <c:pt idx="1">
                  <c:v>0</c:v>
                </c:pt>
                <c:pt idx="2">
                  <c:v>2</c:v>
                </c:pt>
                <c:pt idx="3">
                  <c:v>11</c:v>
                </c:pt>
                <c:pt idx="4">
                  <c:v>18</c:v>
                </c:pt>
                <c:pt idx="5">
                  <c:v>14</c:v>
                </c:pt>
                <c:pt idx="6">
                  <c:v>17</c:v>
                </c:pt>
                <c:pt idx="7">
                  <c:v>6</c:v>
                </c:pt>
                <c:pt idx="8">
                  <c:v>10</c:v>
                </c:pt>
                <c:pt idx="9">
                  <c:v>10</c:v>
                </c:pt>
                <c:pt idx="10">
                  <c:v>5</c:v>
                </c:pt>
                <c:pt idx="11">
                  <c:v>14</c:v>
                </c:pt>
                <c:pt idx="12">
                  <c:v>13</c:v>
                </c:pt>
                <c:pt idx="13">
                  <c:v>10</c:v>
                </c:pt>
                <c:pt idx="14">
                  <c:v>8</c:v>
                </c:pt>
                <c:pt idx="15">
                  <c:v>11</c:v>
                </c:pt>
                <c:pt idx="16">
                  <c:v>8</c:v>
                </c:pt>
                <c:pt idx="17">
                  <c:v>10</c:v>
                </c:pt>
                <c:pt idx="18">
                  <c:v>10</c:v>
                </c:pt>
                <c:pt idx="19">
                  <c:v>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工作表5!$I$2:$I$21</c15:f>
                <c15:dlblRangeCache>
                  <c:ptCount val="20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2</c:v>
                  </c:pt>
                  <c:pt idx="4">
                    <c:v>2</c:v>
                  </c:pt>
                  <c:pt idx="5">
                    <c:v>2</c:v>
                  </c:pt>
                  <c:pt idx="6">
                    <c:v>2</c:v>
                  </c:pt>
                  <c:pt idx="7">
                    <c:v>3</c:v>
                  </c:pt>
                  <c:pt idx="8">
                    <c:v>3</c:v>
                  </c:pt>
                  <c:pt idx="9">
                    <c:v>3</c:v>
                  </c:pt>
                  <c:pt idx="10">
                    <c:v>3</c:v>
                  </c:pt>
                  <c:pt idx="11">
                    <c:v>3</c:v>
                  </c:pt>
                  <c:pt idx="12">
                    <c:v>3</c:v>
                  </c:pt>
                  <c:pt idx="13">
                    <c:v>3</c:v>
                  </c:pt>
                  <c:pt idx="14">
                    <c:v>3</c:v>
                  </c:pt>
                  <c:pt idx="15">
                    <c:v>3</c:v>
                  </c:pt>
                  <c:pt idx="16">
                    <c:v>3</c:v>
                  </c:pt>
                  <c:pt idx="17">
                    <c:v>3</c:v>
                  </c:pt>
                  <c:pt idx="18">
                    <c:v>3</c:v>
                  </c:pt>
                  <c:pt idx="19">
                    <c:v>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E954-4697-A7C7-C54889F6D7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33262016"/>
        <c:axId val="1033262432"/>
      </c:scatterChart>
      <c:valAx>
        <c:axId val="1033262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33262432"/>
        <c:crosses val="autoZero"/>
        <c:crossBetween val="midCat"/>
      </c:valAx>
      <c:valAx>
        <c:axId val="103326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33262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457200</xdr:colOff>
      <xdr:row>10</xdr:row>
      <xdr:rowOff>7620</xdr:rowOff>
    </xdr:from>
    <xdr:to>
      <xdr:col>14</xdr:col>
      <xdr:colOff>403860</xdr:colOff>
      <xdr:row>15</xdr:row>
      <xdr:rowOff>137160</xdr:rowOff>
    </xdr:to>
    <xdr:sp macro="" textlink="">
      <xdr:nvSpPr>
        <xdr:cNvPr id="2" name="向右箭號 1"/>
        <xdr:cNvSpPr/>
      </xdr:nvSpPr>
      <xdr:spPr>
        <a:xfrm>
          <a:off x="8313420" y="2065020"/>
          <a:ext cx="3398520" cy="1158240"/>
        </a:xfrm>
        <a:prstGeom prst="rightArrow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TW" altLang="en-US" sz="1600"/>
            <a:t>第一次類聚與原始聚類不同，繼續</a:t>
          </a:r>
          <a:r>
            <a:rPr lang="en-US" altLang="zh-TW" sz="1600"/>
            <a:t>(</a:t>
          </a:r>
          <a:r>
            <a:rPr lang="zh-TW" altLang="en-US" sz="1600"/>
            <a:t>工作表</a:t>
          </a:r>
          <a:r>
            <a:rPr lang="en-US" altLang="zh-TW" sz="1600"/>
            <a:t>3)</a:t>
          </a:r>
          <a:endParaRPr lang="zh-TW" altLang="en-US" sz="1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464820</xdr:colOff>
      <xdr:row>10</xdr:row>
      <xdr:rowOff>30480</xdr:rowOff>
    </xdr:from>
    <xdr:to>
      <xdr:col>18</xdr:col>
      <xdr:colOff>411480</xdr:colOff>
      <xdr:row>16</xdr:row>
      <xdr:rowOff>129540</xdr:rowOff>
    </xdr:to>
    <xdr:sp macro="" textlink="">
      <xdr:nvSpPr>
        <xdr:cNvPr id="2" name="向右箭號 1"/>
        <xdr:cNvSpPr/>
      </xdr:nvSpPr>
      <xdr:spPr>
        <a:xfrm>
          <a:off x="8488680" y="2087880"/>
          <a:ext cx="3398520" cy="1333500"/>
        </a:xfrm>
        <a:prstGeom prst="rightArrow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TW" altLang="en-US" sz="1600"/>
            <a:t>第二次類聚與第一次聚類不同，繼續</a:t>
          </a:r>
          <a:r>
            <a:rPr lang="en-US" altLang="zh-TW" sz="1600"/>
            <a:t>(</a:t>
          </a:r>
          <a:r>
            <a:rPr lang="zh-TW" altLang="en-US" sz="1600"/>
            <a:t>工作表</a:t>
          </a:r>
          <a:r>
            <a:rPr lang="en-US" altLang="zh-TW" sz="1600"/>
            <a:t>4)</a:t>
          </a:r>
          <a:endParaRPr lang="zh-TW" altLang="en-US" sz="16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464820</xdr:colOff>
      <xdr:row>9</xdr:row>
      <xdr:rowOff>15240</xdr:rowOff>
    </xdr:from>
    <xdr:to>
      <xdr:col>19</xdr:col>
      <xdr:colOff>411480</xdr:colOff>
      <xdr:row>14</xdr:row>
      <xdr:rowOff>198120</xdr:rowOff>
    </xdr:to>
    <xdr:sp macro="" textlink="">
      <xdr:nvSpPr>
        <xdr:cNvPr id="2" name="向右箭號 1"/>
        <xdr:cNvSpPr/>
      </xdr:nvSpPr>
      <xdr:spPr>
        <a:xfrm>
          <a:off x="8595360" y="1866900"/>
          <a:ext cx="3398520" cy="1211580"/>
        </a:xfrm>
        <a:prstGeom prst="rightArrow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TW" altLang="en-US" sz="1600"/>
            <a:t>第三次類聚與第二次聚類不同，繼續</a:t>
          </a:r>
          <a:r>
            <a:rPr lang="en-US" altLang="zh-TW" sz="1600"/>
            <a:t>(</a:t>
          </a:r>
          <a:r>
            <a:rPr lang="zh-TW" altLang="en-US" sz="1600"/>
            <a:t>工作表</a:t>
          </a:r>
          <a:r>
            <a:rPr lang="en-US" altLang="zh-TW" sz="1600"/>
            <a:t>5)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201386</xdr:colOff>
      <xdr:row>6</xdr:row>
      <xdr:rowOff>72935</xdr:rowOff>
    </xdr:from>
    <xdr:to>
      <xdr:col>18</xdr:col>
      <xdr:colOff>818606</xdr:colOff>
      <xdr:row>8</xdr:row>
      <xdr:rowOff>80554</xdr:rowOff>
    </xdr:to>
    <xdr:sp macro="" textlink="">
      <xdr:nvSpPr>
        <xdr:cNvPr id="2" name="圓角矩形 1"/>
        <xdr:cNvSpPr/>
      </xdr:nvSpPr>
      <xdr:spPr>
        <a:xfrm>
          <a:off x="13286015" y="1771106"/>
          <a:ext cx="4198620" cy="573677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600"/>
            <a:t>第四次類聚與第三次聚類相同，結束</a:t>
          </a:r>
        </a:p>
      </xdr:txBody>
    </xdr:sp>
    <xdr:clientData/>
  </xdr:twoCellAnchor>
  <xdr:twoCellAnchor>
    <xdr:from>
      <xdr:col>15</xdr:col>
      <xdr:colOff>1</xdr:colOff>
      <xdr:row>9</xdr:row>
      <xdr:rowOff>266699</xdr:rowOff>
    </xdr:from>
    <xdr:to>
      <xdr:col>20</xdr:col>
      <xdr:colOff>315687</xdr:colOff>
      <xdr:row>26</xdr:row>
      <xdr:rowOff>21770</xdr:rowOff>
    </xdr:to>
    <xdr:graphicFrame macro="">
      <xdr:nvGraphicFramePr>
        <xdr:cNvPr id="5" name="圖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220436</xdr:colOff>
      <xdr:row>21</xdr:row>
      <xdr:rowOff>189137</xdr:rowOff>
    </xdr:from>
    <xdr:to>
      <xdr:col>13</xdr:col>
      <xdr:colOff>1193346</xdr:colOff>
      <xdr:row>50</xdr:row>
      <xdr:rowOff>122463</xdr:rowOff>
    </xdr:to>
    <xdr:graphicFrame macro="">
      <xdr:nvGraphicFramePr>
        <xdr:cNvPr id="4" name="圖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0.62942</cdr:x>
      <cdr:y>0.30632</cdr:y>
    </cdr:from>
    <cdr:to>
      <cdr:x>0.68343</cdr:x>
      <cdr:y>0.37783</cdr:y>
    </cdr:to>
    <cdr:sp macro="" textlink="">
      <cdr:nvSpPr>
        <cdr:cNvPr id="3" name="等腰三角形 2"/>
        <cdr:cNvSpPr/>
      </cdr:nvSpPr>
      <cdr:spPr>
        <a:xfrm xmlns:a="http://schemas.openxmlformats.org/drawingml/2006/main">
          <a:off x="3679370" y="1398816"/>
          <a:ext cx="315685" cy="326570"/>
        </a:xfrm>
        <a:prstGeom xmlns:a="http://schemas.openxmlformats.org/drawingml/2006/main" prst="triangle">
          <a:avLst/>
        </a:prstGeom>
        <a:solidFill xmlns:a="http://schemas.openxmlformats.org/drawingml/2006/main">
          <a:srgbClr val="FFC000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altLang="zh-TW" sz="1000">
              <a:solidFill>
                <a:srgbClr val="FF0000"/>
              </a:solidFill>
            </a:rPr>
            <a:t>2</a:t>
          </a:r>
          <a:endParaRPr lang="zh-TW" sz="1000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0.51335</cdr:x>
      <cdr:y>0.48073</cdr:y>
    </cdr:from>
    <cdr:to>
      <cdr:x>0.56735</cdr:x>
      <cdr:y>0.55224</cdr:y>
    </cdr:to>
    <cdr:sp macro="" textlink="">
      <cdr:nvSpPr>
        <cdr:cNvPr id="4" name="等腰三角形 3"/>
        <cdr:cNvSpPr/>
      </cdr:nvSpPr>
      <cdr:spPr>
        <a:xfrm xmlns:a="http://schemas.openxmlformats.org/drawingml/2006/main">
          <a:off x="3000829" y="2195286"/>
          <a:ext cx="315685" cy="326570"/>
        </a:xfrm>
        <a:prstGeom xmlns:a="http://schemas.openxmlformats.org/drawingml/2006/main" prst="triangle">
          <a:avLst/>
        </a:prstGeom>
        <a:solidFill xmlns:a="http://schemas.openxmlformats.org/drawingml/2006/main">
          <a:srgbClr val="FFC000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1000">
              <a:solidFill>
                <a:srgbClr val="FF0000"/>
              </a:solidFill>
            </a:rPr>
            <a:t>3</a:t>
          </a:r>
          <a:endParaRPr lang="zh-TW" sz="1000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0.74612</cdr:x>
      <cdr:y>0.82638</cdr:y>
    </cdr:from>
    <cdr:to>
      <cdr:x>0.80012</cdr:x>
      <cdr:y>0.89789</cdr:y>
    </cdr:to>
    <cdr:sp macro="" textlink="">
      <cdr:nvSpPr>
        <cdr:cNvPr id="5" name="等腰三角形 4"/>
        <cdr:cNvSpPr/>
      </cdr:nvSpPr>
      <cdr:spPr>
        <a:xfrm xmlns:a="http://schemas.openxmlformats.org/drawingml/2006/main">
          <a:off x="4361543" y="3773714"/>
          <a:ext cx="315685" cy="326570"/>
        </a:xfrm>
        <a:prstGeom xmlns:a="http://schemas.openxmlformats.org/drawingml/2006/main" prst="triangle">
          <a:avLst/>
        </a:prstGeom>
        <a:solidFill xmlns:a="http://schemas.openxmlformats.org/drawingml/2006/main">
          <a:srgbClr val="FFC000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1000">
              <a:solidFill>
                <a:srgbClr val="FF0000"/>
              </a:solidFill>
            </a:rPr>
            <a:t>1</a:t>
          </a:r>
          <a:endParaRPr lang="zh-TW" sz="1000">
            <a:solidFill>
              <a:srgbClr val="FF0000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zoomScale="70" zoomScaleNormal="70" workbookViewId="0">
      <selection activeCell="I13" sqref="I13"/>
    </sheetView>
  </sheetViews>
  <sheetFormatPr defaultRowHeight="16.2"/>
  <cols>
    <col min="1" max="1" width="13.77734375" bestFit="1" customWidth="1"/>
    <col min="2" max="3" width="12.77734375" bestFit="1" customWidth="1"/>
    <col min="4" max="4" width="12.109375" customWidth="1"/>
    <col min="5" max="5" width="13.88671875" customWidth="1"/>
    <col min="6" max="6" width="13.33203125" customWidth="1"/>
    <col min="7" max="7" width="14.109375" customWidth="1"/>
    <col min="8" max="8" width="13.44140625" customWidth="1"/>
    <col min="9" max="9" width="15.44140625" customWidth="1"/>
    <col min="10" max="10" width="11.44140625" customWidth="1"/>
  </cols>
  <sheetData>
    <row r="1" spans="1:11" ht="22.2">
      <c r="A1" s="44" t="s">
        <v>0</v>
      </c>
      <c r="B1" s="44"/>
      <c r="C1" s="44"/>
      <c r="D1" s="2"/>
      <c r="E1" s="35"/>
      <c r="F1" s="36"/>
      <c r="G1" s="36"/>
      <c r="H1" s="37"/>
      <c r="I1" s="2"/>
    </row>
    <row r="2" spans="1:11" ht="22.2">
      <c r="A2" s="3" t="s">
        <v>1</v>
      </c>
      <c r="B2" s="4" t="s">
        <v>2</v>
      </c>
      <c r="C2" s="4" t="s">
        <v>3</v>
      </c>
      <c r="D2" s="6" t="s">
        <v>6</v>
      </c>
      <c r="E2" s="38"/>
      <c r="F2" s="39"/>
      <c r="G2" s="39"/>
      <c r="H2" s="40"/>
      <c r="I2" s="2"/>
    </row>
    <row r="3" spans="1:11" ht="22.2">
      <c r="A3" s="5">
        <v>1</v>
      </c>
      <c r="B3" s="4">
        <v>40</v>
      </c>
      <c r="C3" s="4">
        <v>5</v>
      </c>
      <c r="D3" s="9">
        <v>1</v>
      </c>
      <c r="E3" s="38"/>
      <c r="F3" s="39"/>
      <c r="G3" s="39"/>
      <c r="H3" s="40"/>
      <c r="I3" s="2"/>
    </row>
    <row r="4" spans="1:11" ht="22.2">
      <c r="A4" s="5">
        <v>2</v>
      </c>
      <c r="B4" s="4">
        <v>44</v>
      </c>
      <c r="C4" s="4">
        <v>14</v>
      </c>
      <c r="D4" s="9">
        <v>1</v>
      </c>
      <c r="E4" s="41"/>
      <c r="F4" s="42"/>
      <c r="G4" s="42"/>
      <c r="H4" s="43"/>
      <c r="I4" s="2"/>
    </row>
    <row r="5" spans="1:11" ht="22.2">
      <c r="A5" s="5">
        <v>3</v>
      </c>
      <c r="B5" s="4">
        <v>71</v>
      </c>
      <c r="C5" s="4">
        <v>2</v>
      </c>
      <c r="D5" s="9">
        <v>1</v>
      </c>
      <c r="E5" s="2"/>
      <c r="F5" s="2"/>
      <c r="G5" s="2"/>
      <c r="H5" s="2"/>
      <c r="I5" s="2"/>
    </row>
    <row r="6" spans="1:11" ht="22.2">
      <c r="A6" s="5">
        <v>4</v>
      </c>
      <c r="B6" s="4">
        <v>46</v>
      </c>
      <c r="C6" s="4">
        <v>6</v>
      </c>
      <c r="D6" s="9">
        <v>1</v>
      </c>
      <c r="E6" s="2"/>
      <c r="F6" s="2"/>
      <c r="G6" s="2"/>
      <c r="H6" s="2"/>
      <c r="I6" s="2"/>
    </row>
    <row r="7" spans="1:11" ht="22.2">
      <c r="A7" s="5">
        <v>5</v>
      </c>
      <c r="B7" s="4">
        <v>63</v>
      </c>
      <c r="C7" s="4">
        <v>3</v>
      </c>
      <c r="D7" s="9">
        <v>1</v>
      </c>
      <c r="E7" s="2"/>
      <c r="F7" s="2"/>
      <c r="G7" s="2"/>
      <c r="H7" s="2"/>
      <c r="I7" s="2"/>
      <c r="K7" s="1"/>
    </row>
    <row r="8" spans="1:11" ht="22.2">
      <c r="A8" s="5">
        <v>6</v>
      </c>
      <c r="B8" s="4">
        <v>49</v>
      </c>
      <c r="C8" s="4">
        <v>11</v>
      </c>
      <c r="D8" s="9">
        <v>1</v>
      </c>
      <c r="E8" s="2"/>
      <c r="F8" s="2"/>
      <c r="G8" s="2"/>
      <c r="H8" s="2"/>
      <c r="I8" s="2"/>
    </row>
    <row r="9" spans="1:11" ht="22.2">
      <c r="A9" s="5">
        <v>7</v>
      </c>
      <c r="B9" s="4">
        <v>22</v>
      </c>
      <c r="C9" s="4">
        <v>13</v>
      </c>
      <c r="D9" s="9">
        <v>1</v>
      </c>
      <c r="E9" s="2"/>
      <c r="F9" s="2"/>
      <c r="G9" s="2"/>
      <c r="H9" s="2"/>
      <c r="I9" s="2"/>
    </row>
    <row r="10" spans="1:11" ht="22.2">
      <c r="A10" s="5">
        <v>8</v>
      </c>
      <c r="B10" s="4">
        <v>59</v>
      </c>
      <c r="C10" s="4">
        <v>0</v>
      </c>
      <c r="D10" s="18">
        <v>2</v>
      </c>
      <c r="E10" s="2"/>
      <c r="F10" s="2"/>
      <c r="G10" s="2"/>
      <c r="H10" s="2"/>
      <c r="I10" s="2"/>
    </row>
    <row r="11" spans="1:11" ht="22.2">
      <c r="A11" s="5">
        <v>9</v>
      </c>
      <c r="B11" s="4">
        <v>38</v>
      </c>
      <c r="C11" s="4">
        <v>10</v>
      </c>
      <c r="D11" s="18">
        <v>2</v>
      </c>
      <c r="E11" s="2"/>
      <c r="F11" s="2"/>
      <c r="G11" s="2"/>
      <c r="H11" s="2"/>
      <c r="I11" s="2"/>
    </row>
    <row r="12" spans="1:11" ht="22.2">
      <c r="A12" s="5">
        <v>10</v>
      </c>
      <c r="B12" s="4">
        <v>46</v>
      </c>
      <c r="C12" s="4">
        <v>10</v>
      </c>
      <c r="D12" s="18">
        <v>2</v>
      </c>
      <c r="E12" s="2"/>
      <c r="F12" s="2"/>
      <c r="G12" s="2"/>
      <c r="H12" s="2"/>
      <c r="I12" s="2"/>
    </row>
    <row r="13" spans="1:11" ht="22.2">
      <c r="A13" s="5">
        <v>11</v>
      </c>
      <c r="B13" s="4">
        <v>55</v>
      </c>
      <c r="C13" s="4">
        <v>18</v>
      </c>
      <c r="D13" s="18">
        <v>2</v>
      </c>
      <c r="E13" s="2"/>
      <c r="F13" s="2"/>
      <c r="G13" s="2"/>
      <c r="H13" s="2"/>
      <c r="I13" s="2"/>
    </row>
    <row r="14" spans="1:11" ht="22.2">
      <c r="A14" s="5">
        <v>12</v>
      </c>
      <c r="B14" s="4">
        <v>43</v>
      </c>
      <c r="C14" s="4">
        <v>8</v>
      </c>
      <c r="D14" s="18">
        <v>2</v>
      </c>
      <c r="E14" s="2"/>
      <c r="F14" s="2"/>
      <c r="G14" s="2"/>
      <c r="H14" s="2"/>
      <c r="I14" s="2"/>
    </row>
    <row r="15" spans="1:11" ht="22.2">
      <c r="A15" s="5">
        <v>13</v>
      </c>
      <c r="B15" s="4">
        <v>43</v>
      </c>
      <c r="C15" s="4">
        <v>11</v>
      </c>
      <c r="D15" s="18">
        <v>2</v>
      </c>
      <c r="E15" s="2"/>
      <c r="F15" s="2"/>
      <c r="G15" s="2"/>
      <c r="H15" s="2"/>
      <c r="I15" s="2"/>
    </row>
    <row r="16" spans="1:11" ht="22.2">
      <c r="A16" s="5">
        <v>14</v>
      </c>
      <c r="B16" s="4">
        <v>57</v>
      </c>
      <c r="C16" s="4">
        <v>14</v>
      </c>
      <c r="D16" s="18">
        <v>2</v>
      </c>
      <c r="E16" s="2"/>
      <c r="F16" s="2"/>
      <c r="G16" s="2"/>
      <c r="H16" s="2"/>
      <c r="I16" s="2"/>
    </row>
    <row r="17" spans="1:9" ht="22.2">
      <c r="A17" s="5">
        <v>15</v>
      </c>
      <c r="B17" s="4">
        <v>49</v>
      </c>
      <c r="C17" s="4">
        <v>17</v>
      </c>
      <c r="D17" s="19">
        <v>3</v>
      </c>
      <c r="E17" s="2"/>
      <c r="F17" s="2"/>
      <c r="G17" s="2"/>
      <c r="H17" s="2"/>
      <c r="I17" s="2"/>
    </row>
    <row r="18" spans="1:9" ht="22.2">
      <c r="A18" s="5">
        <v>16</v>
      </c>
      <c r="B18" s="4">
        <v>35</v>
      </c>
      <c r="C18" s="4">
        <v>8</v>
      </c>
      <c r="D18" s="19">
        <v>3</v>
      </c>
      <c r="E18" s="2"/>
      <c r="F18" s="2"/>
      <c r="G18" s="2"/>
      <c r="H18" s="2"/>
      <c r="I18" s="2"/>
    </row>
    <row r="19" spans="1:9" ht="22.2">
      <c r="A19" s="5">
        <v>17</v>
      </c>
      <c r="B19" s="4">
        <v>44</v>
      </c>
      <c r="C19" s="4">
        <v>10</v>
      </c>
      <c r="D19" s="19">
        <v>3</v>
      </c>
      <c r="E19" s="2"/>
      <c r="F19" s="2"/>
      <c r="G19" s="2"/>
      <c r="H19" s="2"/>
      <c r="I19" s="2"/>
    </row>
    <row r="20" spans="1:9" ht="22.2">
      <c r="A20" s="5">
        <v>18</v>
      </c>
      <c r="B20" s="4">
        <v>28</v>
      </c>
      <c r="C20" s="4">
        <v>10</v>
      </c>
      <c r="D20" s="19">
        <v>3</v>
      </c>
      <c r="E20" s="2"/>
      <c r="F20" s="2"/>
      <c r="G20" s="2"/>
      <c r="H20" s="2"/>
      <c r="I20" s="2"/>
    </row>
    <row r="21" spans="1:9" ht="22.2">
      <c r="A21" s="5">
        <v>19</v>
      </c>
      <c r="B21" s="4">
        <v>41</v>
      </c>
      <c r="C21" s="4">
        <v>8</v>
      </c>
      <c r="D21" s="19">
        <v>3</v>
      </c>
      <c r="E21" s="2"/>
      <c r="F21" s="2"/>
      <c r="G21" s="2"/>
      <c r="H21" s="2"/>
      <c r="I21" s="2"/>
    </row>
    <row r="22" spans="1:9" ht="22.2">
      <c r="A22" s="5">
        <v>20</v>
      </c>
      <c r="B22" s="4">
        <v>45</v>
      </c>
      <c r="C22" s="4">
        <v>10</v>
      </c>
      <c r="D22" s="19">
        <v>3</v>
      </c>
      <c r="E22" s="2"/>
      <c r="F22" s="2"/>
      <c r="G22" s="2"/>
      <c r="H22" s="2"/>
      <c r="I22" s="2"/>
    </row>
    <row r="23" spans="1:9" ht="22.2">
      <c r="A23" s="2"/>
      <c r="B23" s="2"/>
      <c r="C23" s="2"/>
      <c r="D23" s="2"/>
      <c r="E23" s="2"/>
      <c r="F23" s="2"/>
      <c r="G23" s="2"/>
      <c r="H23" s="2"/>
      <c r="I23" s="2"/>
    </row>
    <row r="24" spans="1:9" ht="22.2">
      <c r="A24" s="2"/>
      <c r="B24" s="2"/>
      <c r="C24" s="2"/>
      <c r="D24" s="2"/>
      <c r="E24" s="2"/>
      <c r="F24" s="2"/>
      <c r="G24" s="2"/>
      <c r="H24" s="2"/>
      <c r="I24" s="2"/>
    </row>
    <row r="25" spans="1:9" ht="22.2">
      <c r="A25" s="2"/>
      <c r="B25" s="2"/>
      <c r="C25" s="2"/>
      <c r="D25" s="2"/>
      <c r="E25" s="2"/>
      <c r="F25" s="2"/>
      <c r="G25" s="2"/>
      <c r="H25" s="2"/>
      <c r="I25" s="2"/>
    </row>
  </sheetData>
  <mergeCells count="1">
    <mergeCell ref="A1:C1"/>
  </mergeCells>
  <phoneticPr fontId="4" type="noConversion"/>
  <pageMargins left="0.7" right="0.7" top="0.75" bottom="0.75" header="0.3" footer="0.3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zoomScale="70" zoomScaleNormal="70" workbookViewId="0">
      <selection activeCell="E2" sqref="E2"/>
    </sheetView>
  </sheetViews>
  <sheetFormatPr defaultRowHeight="16.2"/>
  <cols>
    <col min="1" max="1" width="5.44140625" bestFit="1" customWidth="1"/>
    <col min="2" max="2" width="10.44140625" style="1" customWidth="1"/>
    <col min="3" max="3" width="11.21875" style="1" customWidth="1"/>
    <col min="4" max="4" width="14.109375" style="1" bestFit="1" customWidth="1"/>
    <col min="5" max="8" width="18.33203125" bestFit="1" customWidth="1"/>
    <col min="9" max="9" width="17.44140625" bestFit="1" customWidth="1"/>
    <col min="11" max="11" width="14.109375" bestFit="1" customWidth="1"/>
    <col min="12" max="12" width="19.33203125" bestFit="1" customWidth="1"/>
    <col min="13" max="13" width="18.33203125" bestFit="1" customWidth="1"/>
    <col min="14" max="14" width="19.33203125" bestFit="1" customWidth="1"/>
  </cols>
  <sheetData>
    <row r="1" spans="1:16" ht="22.2">
      <c r="A1" s="3" t="s">
        <v>1</v>
      </c>
      <c r="B1" s="3" t="s">
        <v>4</v>
      </c>
      <c r="C1" s="3" t="s">
        <v>5</v>
      </c>
      <c r="D1" s="6" t="s">
        <v>6</v>
      </c>
      <c r="E1" s="2" t="s">
        <v>12</v>
      </c>
      <c r="F1" s="2" t="s">
        <v>13</v>
      </c>
      <c r="G1" s="2" t="s">
        <v>14</v>
      </c>
      <c r="H1" s="2" t="s">
        <v>22</v>
      </c>
      <c r="I1" s="7" t="s">
        <v>35</v>
      </c>
      <c r="J1" s="2"/>
      <c r="K1" s="45" t="s">
        <v>31</v>
      </c>
      <c r="L1" s="45"/>
      <c r="M1" s="45"/>
      <c r="N1" s="45"/>
      <c r="O1" s="2"/>
      <c r="P1" s="2"/>
    </row>
    <row r="2" spans="1:16" ht="22.2">
      <c r="A2" s="5">
        <v>1</v>
      </c>
      <c r="B2" s="4">
        <v>40</v>
      </c>
      <c r="C2" s="4">
        <v>5</v>
      </c>
      <c r="D2" s="9">
        <v>1</v>
      </c>
      <c r="E2" s="10">
        <f t="shared" ref="E2:E21" si="0">SUMXMY2($B2:$C2,L$3:L$4)</f>
        <v>69.102040816326479</v>
      </c>
      <c r="F2" s="10">
        <f t="shared" ref="F2:F21" si="1">SUMXMY2($B2:$C2,M$3:M$4)</f>
        <v>102.38775510204083</v>
      </c>
      <c r="G2" s="10">
        <f t="shared" ref="G2:G21" si="2">SUMXMY2($B2:$C2,N$3:N$4)</f>
        <v>30.361111111111114</v>
      </c>
      <c r="H2" s="2">
        <f>MIN(E2:G2)</f>
        <v>30.361111111111114</v>
      </c>
      <c r="I2" s="11">
        <f>IF(H2=E2,1,IF(H2=F2,2,3))</f>
        <v>3</v>
      </c>
      <c r="J2" s="2"/>
      <c r="K2" s="12"/>
      <c r="L2" s="13" t="s">
        <v>9</v>
      </c>
      <c r="M2" s="14" t="s">
        <v>10</v>
      </c>
      <c r="N2" s="13" t="s">
        <v>11</v>
      </c>
      <c r="O2" s="2"/>
      <c r="P2" s="2"/>
    </row>
    <row r="3" spans="1:16" ht="22.2">
      <c r="A3" s="5">
        <v>2</v>
      </c>
      <c r="B3" s="4">
        <v>44</v>
      </c>
      <c r="C3" s="4">
        <v>14</v>
      </c>
      <c r="D3" s="9">
        <v>1</v>
      </c>
      <c r="E3" s="10">
        <f t="shared" si="0"/>
        <v>54.387755102040792</v>
      </c>
      <c r="F3" s="10">
        <f t="shared" si="1"/>
        <v>37.102040816326543</v>
      </c>
      <c r="G3" s="10">
        <f t="shared" si="2"/>
        <v>25.694444444444429</v>
      </c>
      <c r="H3" s="2">
        <f t="shared" ref="H3:H21" si="3">MIN(E3:G3)</f>
        <v>25.694444444444429</v>
      </c>
      <c r="I3" s="15">
        <f t="shared" ref="I3:I21" si="4">IF(H3=E3,1,IF(H3=F3,2,3))</f>
        <v>3</v>
      </c>
      <c r="J3" s="2"/>
      <c r="K3" s="12" t="s">
        <v>7</v>
      </c>
      <c r="L3" s="13">
        <f>AVERAGE(工作表2!B2:B8)</f>
        <v>47.857142857142854</v>
      </c>
      <c r="M3" s="14">
        <f>AVERAGE(工作表2!B9:B15)</f>
        <v>48.714285714285715</v>
      </c>
      <c r="N3" s="13">
        <f>AVERAGE(B16:B21)</f>
        <v>40.333333333333336</v>
      </c>
      <c r="O3" s="2"/>
      <c r="P3" s="2"/>
    </row>
    <row r="4" spans="1:16" ht="22.2">
      <c r="A4" s="5">
        <v>3</v>
      </c>
      <c r="B4" s="4">
        <v>71</v>
      </c>
      <c r="C4" s="4">
        <v>2</v>
      </c>
      <c r="D4" s="9">
        <v>1</v>
      </c>
      <c r="E4" s="10">
        <f t="shared" si="0"/>
        <v>568.24489795918373</v>
      </c>
      <c r="F4" s="10">
        <f t="shared" si="1"/>
        <v>562.9591836734694</v>
      </c>
      <c r="G4" s="10">
        <f t="shared" si="2"/>
        <v>1012.6944444444443</v>
      </c>
      <c r="H4" s="2">
        <f t="shared" si="3"/>
        <v>562.9591836734694</v>
      </c>
      <c r="I4" s="11">
        <f t="shared" si="4"/>
        <v>2</v>
      </c>
      <c r="J4" s="2"/>
      <c r="K4" s="12" t="s">
        <v>8</v>
      </c>
      <c r="L4" s="13">
        <f>AVERAGE(工作表2!C2:C8)</f>
        <v>7.7142857142857144</v>
      </c>
      <c r="M4" s="2">
        <f>AVERAGE(C9:C15)</f>
        <v>10.142857142857142</v>
      </c>
      <c r="N4" s="13">
        <f>AVERAGE(C16:C21)</f>
        <v>10.5</v>
      </c>
      <c r="O4" s="2"/>
      <c r="P4" s="2"/>
    </row>
    <row r="5" spans="1:16" ht="22.2">
      <c r="A5" s="5">
        <v>4</v>
      </c>
      <c r="B5" s="4">
        <v>46</v>
      </c>
      <c r="C5" s="4">
        <v>6</v>
      </c>
      <c r="D5" s="9">
        <v>1</v>
      </c>
      <c r="E5" s="10">
        <f t="shared" si="0"/>
        <v>6.3877551020408054</v>
      </c>
      <c r="F5" s="10">
        <f t="shared" si="1"/>
        <v>24.530612244897959</v>
      </c>
      <c r="G5" s="10">
        <f t="shared" si="2"/>
        <v>52.361111111111086</v>
      </c>
      <c r="H5" s="2">
        <f t="shared" si="3"/>
        <v>6.3877551020408054</v>
      </c>
      <c r="I5" s="11">
        <f t="shared" si="4"/>
        <v>1</v>
      </c>
      <c r="J5" s="2"/>
      <c r="K5" s="12"/>
      <c r="L5" s="16"/>
      <c r="M5" s="16"/>
      <c r="N5" s="16"/>
      <c r="O5" s="2"/>
      <c r="P5" s="2"/>
    </row>
    <row r="6" spans="1:16" ht="22.2">
      <c r="A6" s="5">
        <v>5</v>
      </c>
      <c r="B6" s="4">
        <v>63</v>
      </c>
      <c r="C6" s="4">
        <v>3</v>
      </c>
      <c r="D6" s="9">
        <v>1</v>
      </c>
      <c r="E6" s="10">
        <f t="shared" si="0"/>
        <v>251.53061224489807</v>
      </c>
      <c r="F6" s="10">
        <f t="shared" si="1"/>
        <v>255.10204081632651</v>
      </c>
      <c r="G6" s="10">
        <f t="shared" si="2"/>
        <v>570.02777777777771</v>
      </c>
      <c r="H6" s="2">
        <f t="shared" si="3"/>
        <v>251.53061224489807</v>
      </c>
      <c r="I6" s="11">
        <f t="shared" si="4"/>
        <v>1</v>
      </c>
      <c r="J6" s="2"/>
      <c r="K6" s="2"/>
      <c r="L6" s="2"/>
      <c r="M6" s="2"/>
      <c r="N6" s="2"/>
      <c r="O6" s="2"/>
      <c r="P6" s="2"/>
    </row>
    <row r="7" spans="1:16" ht="22.2">
      <c r="A7" s="5">
        <v>6</v>
      </c>
      <c r="B7" s="4">
        <v>49</v>
      </c>
      <c r="C7" s="4">
        <v>11</v>
      </c>
      <c r="D7" s="9">
        <v>1</v>
      </c>
      <c r="E7" s="10">
        <f t="shared" si="0"/>
        <v>12.102040816326536</v>
      </c>
      <c r="F7" s="10">
        <f t="shared" si="1"/>
        <v>0.81632653061224514</v>
      </c>
      <c r="G7" s="10">
        <f t="shared" si="2"/>
        <v>75.361111111111072</v>
      </c>
      <c r="H7" s="2">
        <f t="shared" si="3"/>
        <v>0.81632653061224514</v>
      </c>
      <c r="I7" s="17">
        <f t="shared" si="4"/>
        <v>2</v>
      </c>
      <c r="J7" s="2"/>
      <c r="K7" s="2"/>
      <c r="L7" s="2"/>
      <c r="M7" s="2"/>
      <c r="N7" s="2"/>
      <c r="O7" s="2"/>
      <c r="P7" s="2"/>
    </row>
    <row r="8" spans="1:16" ht="22.2">
      <c r="A8" s="5">
        <v>7</v>
      </c>
      <c r="B8" s="4">
        <v>22</v>
      </c>
      <c r="C8" s="4">
        <v>13</v>
      </c>
      <c r="D8" s="9">
        <v>1</v>
      </c>
      <c r="E8" s="10">
        <f t="shared" si="0"/>
        <v>696.53061224489784</v>
      </c>
      <c r="F8" s="10">
        <f t="shared" si="1"/>
        <v>721.81632653061229</v>
      </c>
      <c r="G8" s="10">
        <f t="shared" si="2"/>
        <v>342.3611111111112</v>
      </c>
      <c r="H8" s="2">
        <f t="shared" si="3"/>
        <v>342.3611111111112</v>
      </c>
      <c r="I8" s="15">
        <f t="shared" si="4"/>
        <v>3</v>
      </c>
      <c r="J8" s="2"/>
      <c r="K8" s="2"/>
      <c r="L8" s="2"/>
      <c r="M8" s="2"/>
      <c r="N8" s="2"/>
      <c r="O8" s="2"/>
      <c r="P8" s="2"/>
    </row>
    <row r="9" spans="1:16" ht="22.2">
      <c r="A9" s="5">
        <v>8</v>
      </c>
      <c r="B9" s="4">
        <v>59</v>
      </c>
      <c r="C9" s="4">
        <v>0</v>
      </c>
      <c r="D9" s="18">
        <v>2</v>
      </c>
      <c r="E9" s="10">
        <f t="shared" si="0"/>
        <v>183.67346938775518</v>
      </c>
      <c r="F9" s="10">
        <f t="shared" si="1"/>
        <v>208.67346938775506</v>
      </c>
      <c r="G9" s="10">
        <f t="shared" si="2"/>
        <v>458.69444444444434</v>
      </c>
      <c r="H9" s="2">
        <f t="shared" si="3"/>
        <v>183.67346938775518</v>
      </c>
      <c r="I9" s="11">
        <f t="shared" si="4"/>
        <v>1</v>
      </c>
      <c r="J9" s="2"/>
      <c r="K9" s="2"/>
      <c r="L9" s="2"/>
      <c r="M9" s="2"/>
      <c r="N9" s="2"/>
      <c r="O9" s="2"/>
      <c r="P9" s="2"/>
    </row>
    <row r="10" spans="1:16" ht="22.2">
      <c r="A10" s="5">
        <v>9</v>
      </c>
      <c r="B10" s="4">
        <v>38</v>
      </c>
      <c r="C10" s="4">
        <v>10</v>
      </c>
      <c r="D10" s="18">
        <v>2</v>
      </c>
      <c r="E10" s="10">
        <f t="shared" si="0"/>
        <v>102.38775510204076</v>
      </c>
      <c r="F10" s="10">
        <f t="shared" si="1"/>
        <v>114.81632653061226</v>
      </c>
      <c r="G10" s="10">
        <f t="shared" si="2"/>
        <v>5.6944444444444553</v>
      </c>
      <c r="H10" s="2">
        <f t="shared" si="3"/>
        <v>5.6944444444444553</v>
      </c>
      <c r="I10" s="15">
        <f t="shared" si="4"/>
        <v>3</v>
      </c>
      <c r="J10" s="2"/>
      <c r="K10" s="2"/>
      <c r="L10" s="2"/>
      <c r="M10" s="2"/>
      <c r="N10" s="2"/>
      <c r="O10" s="2"/>
      <c r="P10" s="2"/>
    </row>
    <row r="11" spans="1:16" ht="22.2">
      <c r="A11" s="5">
        <v>10</v>
      </c>
      <c r="B11" s="4">
        <v>46</v>
      </c>
      <c r="C11" s="4">
        <v>10</v>
      </c>
      <c r="D11" s="18">
        <v>2</v>
      </c>
      <c r="E11" s="10">
        <f t="shared" si="0"/>
        <v>8.673469387755091</v>
      </c>
      <c r="F11" s="10">
        <f t="shared" si="1"/>
        <v>7.3877551020408214</v>
      </c>
      <c r="G11" s="10">
        <f t="shared" si="2"/>
        <v>32.361111111111086</v>
      </c>
      <c r="H11" s="2">
        <f t="shared" si="3"/>
        <v>7.3877551020408214</v>
      </c>
      <c r="I11" s="17">
        <f t="shared" si="4"/>
        <v>2</v>
      </c>
      <c r="J11" s="2"/>
      <c r="K11" s="2"/>
      <c r="L11" s="2"/>
      <c r="M11" s="2"/>
      <c r="N11" s="2"/>
      <c r="O11" s="2"/>
      <c r="P11" s="2"/>
    </row>
    <row r="12" spans="1:16" ht="22.2">
      <c r="A12" s="5">
        <v>11</v>
      </c>
      <c r="B12" s="4">
        <v>55</v>
      </c>
      <c r="C12" s="4">
        <v>18</v>
      </c>
      <c r="D12" s="18">
        <v>2</v>
      </c>
      <c r="E12" s="10">
        <f t="shared" si="0"/>
        <v>156.81632653061226</v>
      </c>
      <c r="F12" s="10">
        <f t="shared" si="1"/>
        <v>101.24489795918367</v>
      </c>
      <c r="G12" s="10">
        <f t="shared" si="2"/>
        <v>271.36111111111103</v>
      </c>
      <c r="H12" s="2">
        <f t="shared" si="3"/>
        <v>101.24489795918367</v>
      </c>
      <c r="I12" s="17">
        <f t="shared" si="4"/>
        <v>2</v>
      </c>
      <c r="J12" s="2"/>
      <c r="K12" s="2"/>
      <c r="L12" s="2"/>
      <c r="M12" s="2"/>
      <c r="N12" s="2"/>
      <c r="O12" s="2"/>
      <c r="P12" s="2"/>
    </row>
    <row r="13" spans="1:16" ht="22.2">
      <c r="A13" s="5">
        <v>12</v>
      </c>
      <c r="B13" s="4">
        <v>43</v>
      </c>
      <c r="C13" s="4">
        <v>8</v>
      </c>
      <c r="D13" s="18">
        <v>2</v>
      </c>
      <c r="E13" s="10">
        <f t="shared" si="0"/>
        <v>23.673469387755073</v>
      </c>
      <c r="F13" s="10">
        <f t="shared" si="1"/>
        <v>37.244897959183689</v>
      </c>
      <c r="G13" s="10">
        <f t="shared" si="2"/>
        <v>13.361111111111098</v>
      </c>
      <c r="H13" s="2">
        <f t="shared" si="3"/>
        <v>13.361111111111098</v>
      </c>
      <c r="I13" s="11">
        <f t="shared" si="4"/>
        <v>3</v>
      </c>
      <c r="J13" s="2"/>
      <c r="K13" s="2"/>
      <c r="L13" s="2"/>
      <c r="M13" s="2"/>
      <c r="N13" s="2"/>
      <c r="O13" s="2"/>
      <c r="P13" s="2"/>
    </row>
    <row r="14" spans="1:16" ht="22.2">
      <c r="A14" s="5">
        <v>13</v>
      </c>
      <c r="B14" s="4">
        <v>43</v>
      </c>
      <c r="C14" s="4">
        <v>11</v>
      </c>
      <c r="D14" s="18">
        <v>2</v>
      </c>
      <c r="E14" s="10">
        <f t="shared" si="0"/>
        <v>34.387755102040785</v>
      </c>
      <c r="F14" s="10">
        <f t="shared" si="1"/>
        <v>33.387755102040835</v>
      </c>
      <c r="G14" s="10">
        <f t="shared" si="2"/>
        <v>7.3611111111110983</v>
      </c>
      <c r="H14" s="2">
        <f t="shared" si="3"/>
        <v>7.3611111111110983</v>
      </c>
      <c r="I14" s="15">
        <f t="shared" si="4"/>
        <v>3</v>
      </c>
      <c r="J14" s="2"/>
      <c r="K14" s="2"/>
      <c r="L14" s="2"/>
      <c r="M14" s="2"/>
      <c r="N14" s="2"/>
      <c r="O14" s="2"/>
      <c r="P14" s="2"/>
    </row>
    <row r="15" spans="1:16" ht="22.2">
      <c r="A15" s="5">
        <v>14</v>
      </c>
      <c r="B15" s="4">
        <v>57</v>
      </c>
      <c r="C15" s="4">
        <v>14</v>
      </c>
      <c r="D15" s="18">
        <v>2</v>
      </c>
      <c r="E15" s="10">
        <f t="shared" si="0"/>
        <v>123.10204081632658</v>
      </c>
      <c r="F15" s="10">
        <f t="shared" si="1"/>
        <v>83.530612244897938</v>
      </c>
      <c r="G15" s="10">
        <f t="shared" si="2"/>
        <v>290.02777777777771</v>
      </c>
      <c r="H15" s="2">
        <f t="shared" si="3"/>
        <v>83.530612244897938</v>
      </c>
      <c r="I15" s="17">
        <f t="shared" si="4"/>
        <v>2</v>
      </c>
      <c r="J15" s="2"/>
      <c r="K15" s="2"/>
      <c r="L15" s="2"/>
      <c r="M15" s="2"/>
      <c r="N15" s="2"/>
      <c r="O15" s="2"/>
      <c r="P15" s="2"/>
    </row>
    <row r="16" spans="1:16" ht="22.2">
      <c r="A16" s="5">
        <v>15</v>
      </c>
      <c r="B16" s="4">
        <v>49</v>
      </c>
      <c r="C16" s="4">
        <v>17</v>
      </c>
      <c r="D16" s="19">
        <v>3</v>
      </c>
      <c r="E16" s="10">
        <f t="shared" si="0"/>
        <v>87.530612244897938</v>
      </c>
      <c r="F16" s="10">
        <f t="shared" si="1"/>
        <v>47.102040816326543</v>
      </c>
      <c r="G16" s="10">
        <f t="shared" si="2"/>
        <v>117.36111111111107</v>
      </c>
      <c r="H16" s="2">
        <f t="shared" si="3"/>
        <v>47.102040816326543</v>
      </c>
      <c r="I16" s="17">
        <f t="shared" si="4"/>
        <v>2</v>
      </c>
      <c r="J16" s="2"/>
      <c r="K16" s="2"/>
      <c r="L16" s="2"/>
      <c r="M16" s="2"/>
      <c r="N16" s="2"/>
      <c r="O16" s="2"/>
      <c r="P16" s="2"/>
    </row>
    <row r="17" spans="1:16" ht="22.2">
      <c r="A17" s="5">
        <v>16</v>
      </c>
      <c r="B17" s="4">
        <v>35</v>
      </c>
      <c r="C17" s="4">
        <v>8</v>
      </c>
      <c r="D17" s="19">
        <v>3</v>
      </c>
      <c r="E17" s="10">
        <f t="shared" si="0"/>
        <v>165.38775510204076</v>
      </c>
      <c r="F17" s="10">
        <f t="shared" si="1"/>
        <v>192.67346938775515</v>
      </c>
      <c r="G17" s="10">
        <f t="shared" si="2"/>
        <v>34.694444444444471</v>
      </c>
      <c r="H17" s="2">
        <f t="shared" si="3"/>
        <v>34.694444444444471</v>
      </c>
      <c r="I17" s="15">
        <f t="shared" si="4"/>
        <v>3</v>
      </c>
      <c r="J17" s="2"/>
      <c r="K17" s="2"/>
      <c r="L17" s="2"/>
      <c r="M17" s="2"/>
      <c r="N17" s="2"/>
      <c r="O17" s="2"/>
      <c r="P17" s="2"/>
    </row>
    <row r="18" spans="1:16" ht="22.2">
      <c r="A18" s="5">
        <v>17</v>
      </c>
      <c r="B18" s="4">
        <v>44</v>
      </c>
      <c r="C18" s="4">
        <v>10</v>
      </c>
      <c r="D18" s="19">
        <v>3</v>
      </c>
      <c r="E18" s="10">
        <f t="shared" si="0"/>
        <v>20.102040816326507</v>
      </c>
      <c r="F18" s="10">
        <f t="shared" si="1"/>
        <v>22.244897959183682</v>
      </c>
      <c r="G18" s="10">
        <f t="shared" si="2"/>
        <v>13.694444444444427</v>
      </c>
      <c r="H18" s="2">
        <f t="shared" si="3"/>
        <v>13.694444444444427</v>
      </c>
      <c r="I18" s="15">
        <f t="shared" si="4"/>
        <v>3</v>
      </c>
      <c r="J18" s="2"/>
      <c r="K18" s="2"/>
      <c r="L18" s="2"/>
      <c r="M18" s="2"/>
      <c r="N18" s="2"/>
      <c r="O18" s="2"/>
      <c r="P18" s="2"/>
    </row>
    <row r="19" spans="1:16" ht="22.2">
      <c r="A19" s="5">
        <v>18</v>
      </c>
      <c r="B19" s="4">
        <v>28</v>
      </c>
      <c r="C19" s="4">
        <v>10</v>
      </c>
      <c r="D19" s="19">
        <v>3</v>
      </c>
      <c r="E19" s="10">
        <f t="shared" si="0"/>
        <v>399.53061224489784</v>
      </c>
      <c r="F19" s="10">
        <f t="shared" si="1"/>
        <v>429.10204081632656</v>
      </c>
      <c r="G19" s="10">
        <f t="shared" si="2"/>
        <v>152.36111111111117</v>
      </c>
      <c r="H19" s="2">
        <f t="shared" si="3"/>
        <v>152.36111111111117</v>
      </c>
      <c r="I19" s="15">
        <f t="shared" si="4"/>
        <v>3</v>
      </c>
      <c r="J19" s="2"/>
      <c r="K19" s="2"/>
      <c r="L19" s="2"/>
      <c r="M19" s="2"/>
      <c r="N19" s="2"/>
      <c r="O19" s="2"/>
      <c r="P19" s="2"/>
    </row>
    <row r="20" spans="1:16" ht="22.2">
      <c r="A20" s="5">
        <v>19</v>
      </c>
      <c r="B20" s="4">
        <v>41</v>
      </c>
      <c r="C20" s="4">
        <v>8</v>
      </c>
      <c r="D20" s="19">
        <v>3</v>
      </c>
      <c r="E20" s="10">
        <f t="shared" si="0"/>
        <v>47.102040816326493</v>
      </c>
      <c r="F20" s="10">
        <f t="shared" si="1"/>
        <v>64.10204081632655</v>
      </c>
      <c r="G20" s="10">
        <f t="shared" si="2"/>
        <v>6.6944444444444411</v>
      </c>
      <c r="H20" s="2">
        <f t="shared" si="3"/>
        <v>6.6944444444444411</v>
      </c>
      <c r="I20" s="15">
        <f t="shared" si="4"/>
        <v>3</v>
      </c>
      <c r="J20" s="2"/>
      <c r="K20" s="2"/>
      <c r="L20" s="2"/>
      <c r="M20" s="2"/>
      <c r="N20" s="2"/>
      <c r="O20" s="2"/>
      <c r="P20" s="2"/>
    </row>
    <row r="21" spans="1:16" ht="22.2">
      <c r="A21" s="5">
        <v>20</v>
      </c>
      <c r="B21" s="4">
        <v>45</v>
      </c>
      <c r="C21" s="4">
        <v>10</v>
      </c>
      <c r="D21" s="19">
        <v>3</v>
      </c>
      <c r="E21" s="10">
        <f t="shared" si="0"/>
        <v>13.387755102040799</v>
      </c>
      <c r="F21" s="10">
        <f t="shared" si="1"/>
        <v>13.816326530612253</v>
      </c>
      <c r="G21" s="10">
        <f t="shared" si="2"/>
        <v>22.027777777777757</v>
      </c>
      <c r="H21" s="2">
        <f t="shared" si="3"/>
        <v>13.387755102040799</v>
      </c>
      <c r="I21" s="17">
        <f t="shared" si="4"/>
        <v>1</v>
      </c>
      <c r="J21" s="2"/>
      <c r="K21" s="2"/>
      <c r="L21" s="2"/>
      <c r="M21" s="2"/>
      <c r="N21" s="2"/>
      <c r="O21" s="2"/>
      <c r="P21" s="2"/>
    </row>
    <row r="22" spans="1:16" ht="22.2">
      <c r="A22" s="2"/>
      <c r="B22" s="20"/>
      <c r="C22" s="20"/>
      <c r="D22" s="20"/>
      <c r="E22" s="10"/>
      <c r="F22" s="10"/>
      <c r="G22" s="10"/>
      <c r="H22" s="2"/>
      <c r="I22" s="2"/>
      <c r="J22" s="2"/>
      <c r="K22" s="2"/>
      <c r="L22" s="2"/>
      <c r="M22" s="2"/>
      <c r="N22" s="2"/>
      <c r="O22" s="2"/>
      <c r="P22" s="2"/>
    </row>
    <row r="23" spans="1:16" ht="22.2">
      <c r="A23" s="2"/>
      <c r="B23" s="20"/>
      <c r="C23" s="20"/>
      <c r="D23" s="20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22.2">
      <c r="A24" s="2"/>
      <c r="B24" s="20"/>
      <c r="C24" s="20"/>
      <c r="D24" s="20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</sheetData>
  <sortState ref="K25:N43">
    <sortCondition ref="L24"/>
  </sortState>
  <mergeCells count="1">
    <mergeCell ref="K1:N1"/>
  </mergeCells>
  <phoneticPr fontId="4" type="noConversion"/>
  <pageMargins left="0.7" right="0.7" top="0.75" bottom="0.75" header="0.3" footer="0.3"/>
  <pageSetup paperSize="9" scale="5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zoomScale="70" zoomScaleNormal="70" workbookViewId="0">
      <selection activeCell="H1" sqref="H1"/>
    </sheetView>
  </sheetViews>
  <sheetFormatPr defaultRowHeight="16.2"/>
  <cols>
    <col min="1" max="1" width="6" bestFit="1" customWidth="1"/>
    <col min="2" max="2" width="11.6640625" customWidth="1"/>
    <col min="3" max="3" width="12.44140625" customWidth="1"/>
    <col min="4" max="4" width="26.88671875" bestFit="1" customWidth="1"/>
    <col min="5" max="5" width="5.44140625" style="25" customWidth="1"/>
    <col min="6" max="6" width="13.21875" customWidth="1"/>
    <col min="7" max="7" width="15.21875" customWidth="1"/>
    <col min="8" max="8" width="26.88671875" bestFit="1" customWidth="1"/>
    <col min="9" max="12" width="18.6640625" bestFit="1" customWidth="1"/>
    <col min="13" max="13" width="17.88671875" bestFit="1" customWidth="1"/>
    <col min="15" max="15" width="14.44140625" bestFit="1" customWidth="1"/>
    <col min="16" max="16" width="19.77734375" bestFit="1" customWidth="1"/>
    <col min="17" max="17" width="18.6640625" bestFit="1" customWidth="1"/>
    <col min="18" max="18" width="19.77734375" bestFit="1" customWidth="1"/>
    <col min="19" max="19" width="9.44140625" customWidth="1"/>
  </cols>
  <sheetData>
    <row r="1" spans="1:20" s="22" customFormat="1" ht="22.2">
      <c r="A1" s="6" t="s">
        <v>1</v>
      </c>
      <c r="B1" s="6" t="s">
        <v>4</v>
      </c>
      <c r="C1" s="6" t="s">
        <v>5</v>
      </c>
      <c r="D1" s="7" t="s">
        <v>36</v>
      </c>
      <c r="E1" s="23"/>
      <c r="F1" s="6" t="s">
        <v>4</v>
      </c>
      <c r="G1" s="6" t="s">
        <v>5</v>
      </c>
      <c r="H1" s="49" t="s">
        <v>25</v>
      </c>
      <c r="I1" s="7" t="s">
        <v>12</v>
      </c>
      <c r="J1" s="7" t="s">
        <v>15</v>
      </c>
      <c r="K1" s="7" t="s">
        <v>16</v>
      </c>
      <c r="L1" s="7" t="s">
        <v>23</v>
      </c>
      <c r="M1" s="7" t="s">
        <v>17</v>
      </c>
      <c r="N1" s="7"/>
      <c r="O1" s="46" t="s">
        <v>32</v>
      </c>
      <c r="P1" s="47"/>
      <c r="Q1" s="47"/>
      <c r="R1" s="48"/>
      <c r="S1" s="7"/>
      <c r="T1" s="7"/>
    </row>
    <row r="2" spans="1:20" ht="22.2">
      <c r="A2" s="5">
        <v>1</v>
      </c>
      <c r="B2" s="4">
        <v>40</v>
      </c>
      <c r="C2" s="4">
        <v>5</v>
      </c>
      <c r="D2" s="11">
        <v>3</v>
      </c>
      <c r="E2" s="24"/>
      <c r="F2" s="4">
        <v>46</v>
      </c>
      <c r="G2" s="4">
        <v>6</v>
      </c>
      <c r="H2" s="11">
        <v>1</v>
      </c>
      <c r="I2" s="10">
        <f>SUMXMY2($F2:$G2,P$3:P$4)</f>
        <v>54.125</v>
      </c>
      <c r="J2" s="10">
        <f>SUMXMY2($F2:$G2,Q$3:Q$4)</f>
        <v>108.25</v>
      </c>
      <c r="K2" s="10">
        <f>SUMXMY2($F2:$G2,R$3:R$4)</f>
        <v>80.930000000000049</v>
      </c>
      <c r="L2" s="10">
        <f>MIN(I2:K2)</f>
        <v>54.125</v>
      </c>
      <c r="M2" s="15">
        <f>IF(L2=I2,1,IF(L2=J2,2,3))</f>
        <v>1</v>
      </c>
      <c r="N2" s="2"/>
      <c r="O2" s="12"/>
      <c r="P2" s="13" t="s">
        <v>9</v>
      </c>
      <c r="Q2" s="14" t="s">
        <v>10</v>
      </c>
      <c r="R2" s="13" t="s">
        <v>11</v>
      </c>
      <c r="S2" s="2"/>
      <c r="T2" s="2"/>
    </row>
    <row r="3" spans="1:20" ht="22.2">
      <c r="A3" s="5">
        <v>2</v>
      </c>
      <c r="B3" s="4">
        <v>44</v>
      </c>
      <c r="C3" s="4">
        <v>14</v>
      </c>
      <c r="D3" s="15">
        <v>3</v>
      </c>
      <c r="E3" s="24"/>
      <c r="F3" s="4">
        <v>63</v>
      </c>
      <c r="G3" s="4">
        <v>3</v>
      </c>
      <c r="H3" s="11">
        <v>1</v>
      </c>
      <c r="I3" s="10">
        <f t="shared" ref="I3:I21" si="0">SUMXMY2($F3:$G3,P$3:P$4)</f>
        <v>98.125</v>
      </c>
      <c r="J3" s="10">
        <f t="shared" ref="J3:J21" si="1">SUMXMY2($F3:$G3,Q$3:Q$4)</f>
        <v>153.25</v>
      </c>
      <c r="K3" s="10">
        <f t="shared" ref="K3:K21" si="2">SUMXMY2($F3:$G3,R$3:R$4)</f>
        <v>679.93000000000018</v>
      </c>
      <c r="L3" s="10">
        <f t="shared" ref="L3:L21" si="3">MIN(I3:K3)</f>
        <v>98.125</v>
      </c>
      <c r="M3" s="17">
        <f t="shared" ref="M3:M21" si="4">IF(L3=I3,1,IF(L3=J3,2,3))</f>
        <v>1</v>
      </c>
      <c r="N3" s="2"/>
      <c r="O3" s="12" t="s">
        <v>7</v>
      </c>
      <c r="P3" s="13">
        <f>AVERAGE(F2:F5)</f>
        <v>53.25</v>
      </c>
      <c r="Q3" s="14">
        <f>AVERAGE(F6:F11)</f>
        <v>54.5</v>
      </c>
      <c r="R3" s="13">
        <f>AVERAGE(F12:F21)</f>
        <v>37.799999999999997</v>
      </c>
      <c r="S3" s="2"/>
      <c r="T3" s="2"/>
    </row>
    <row r="4" spans="1:20" ht="22.2">
      <c r="A4" s="5">
        <v>3</v>
      </c>
      <c r="B4" s="4">
        <v>71</v>
      </c>
      <c r="C4" s="4">
        <v>2</v>
      </c>
      <c r="D4" s="11">
        <v>2</v>
      </c>
      <c r="E4" s="24"/>
      <c r="F4" s="4">
        <v>59</v>
      </c>
      <c r="G4" s="4">
        <v>0</v>
      </c>
      <c r="H4" s="11">
        <v>1</v>
      </c>
      <c r="I4" s="10">
        <f t="shared" si="0"/>
        <v>55.625</v>
      </c>
      <c r="J4" s="10">
        <f t="shared" si="1"/>
        <v>164.25</v>
      </c>
      <c r="K4" s="10">
        <f t="shared" si="2"/>
        <v>543.53000000000009</v>
      </c>
      <c r="L4" s="10">
        <f t="shared" si="3"/>
        <v>55.625</v>
      </c>
      <c r="M4" s="11">
        <f t="shared" si="4"/>
        <v>1</v>
      </c>
      <c r="N4" s="2"/>
      <c r="O4" s="26" t="s">
        <v>8</v>
      </c>
      <c r="P4" s="27">
        <f>AVERAGE(G2:G5)</f>
        <v>4.75</v>
      </c>
      <c r="Q4" s="7">
        <f>AVERAGE(G6:G11)</f>
        <v>12</v>
      </c>
      <c r="R4" s="27">
        <f>AVERAGE(G12:G21)</f>
        <v>9.6999999999999993</v>
      </c>
      <c r="S4" s="2"/>
      <c r="T4" s="2"/>
    </row>
    <row r="5" spans="1:20" ht="22.2">
      <c r="A5" s="5">
        <v>4</v>
      </c>
      <c r="B5" s="4">
        <v>46</v>
      </c>
      <c r="C5" s="4">
        <v>6</v>
      </c>
      <c r="D5" s="11">
        <v>1</v>
      </c>
      <c r="E5" s="24"/>
      <c r="F5" s="4">
        <v>45</v>
      </c>
      <c r="G5" s="4">
        <v>10</v>
      </c>
      <c r="H5" s="17">
        <v>1</v>
      </c>
      <c r="I5" s="10">
        <f t="shared" si="0"/>
        <v>95.625</v>
      </c>
      <c r="J5" s="10">
        <f t="shared" si="1"/>
        <v>94.25</v>
      </c>
      <c r="K5" s="10">
        <f t="shared" si="2"/>
        <v>51.930000000000042</v>
      </c>
      <c r="L5" s="10">
        <f t="shared" si="3"/>
        <v>51.930000000000042</v>
      </c>
      <c r="M5" s="11">
        <f t="shared" si="4"/>
        <v>3</v>
      </c>
      <c r="N5" s="2"/>
      <c r="O5" s="28"/>
      <c r="P5" s="29"/>
      <c r="Q5" s="29"/>
      <c r="R5" s="29"/>
      <c r="S5" s="2"/>
      <c r="T5" s="2"/>
    </row>
    <row r="6" spans="1:20" ht="22.2">
      <c r="A6" s="5">
        <v>5</v>
      </c>
      <c r="B6" s="4">
        <v>63</v>
      </c>
      <c r="C6" s="4">
        <v>3</v>
      </c>
      <c r="D6" s="11">
        <v>1</v>
      </c>
      <c r="E6" s="24"/>
      <c r="F6" s="4">
        <v>71</v>
      </c>
      <c r="G6" s="4">
        <v>2</v>
      </c>
      <c r="H6" s="11">
        <v>2</v>
      </c>
      <c r="I6" s="10">
        <f t="shared" si="0"/>
        <v>322.625</v>
      </c>
      <c r="J6" s="10">
        <f t="shared" si="1"/>
        <v>372.25</v>
      </c>
      <c r="K6" s="10">
        <f t="shared" si="2"/>
        <v>1161.5300000000002</v>
      </c>
      <c r="L6" s="10">
        <f t="shared" si="3"/>
        <v>322.625</v>
      </c>
      <c r="M6" s="11">
        <f t="shared" si="4"/>
        <v>1</v>
      </c>
      <c r="N6" s="2"/>
      <c r="O6" s="2"/>
      <c r="P6" s="2"/>
      <c r="Q6" s="2"/>
      <c r="R6" s="2"/>
      <c r="S6" s="2"/>
      <c r="T6" s="2"/>
    </row>
    <row r="7" spans="1:20" ht="22.2">
      <c r="A7" s="5">
        <v>6</v>
      </c>
      <c r="B7" s="4">
        <v>49</v>
      </c>
      <c r="C7" s="4">
        <v>11</v>
      </c>
      <c r="D7" s="17">
        <v>2</v>
      </c>
      <c r="E7" s="24"/>
      <c r="F7" s="4">
        <v>49</v>
      </c>
      <c r="G7" s="4">
        <v>11</v>
      </c>
      <c r="H7" s="17">
        <v>2</v>
      </c>
      <c r="I7" s="10">
        <f t="shared" si="0"/>
        <v>57.125</v>
      </c>
      <c r="J7" s="10">
        <f t="shared" si="1"/>
        <v>31.25</v>
      </c>
      <c r="K7" s="10">
        <f t="shared" si="2"/>
        <v>127.13000000000007</v>
      </c>
      <c r="L7" s="10">
        <f t="shared" si="3"/>
        <v>31.25</v>
      </c>
      <c r="M7" s="17">
        <f t="shared" si="4"/>
        <v>2</v>
      </c>
      <c r="N7" s="2"/>
      <c r="O7" s="2"/>
      <c r="P7" s="2"/>
      <c r="Q7" s="2"/>
      <c r="R7" s="2"/>
      <c r="S7" s="2"/>
      <c r="T7" s="2"/>
    </row>
    <row r="8" spans="1:20" ht="22.2">
      <c r="A8" s="5">
        <v>7</v>
      </c>
      <c r="B8" s="4">
        <v>22</v>
      </c>
      <c r="C8" s="4">
        <v>13</v>
      </c>
      <c r="D8" s="15">
        <v>3</v>
      </c>
      <c r="E8" s="24"/>
      <c r="F8" s="4">
        <v>46</v>
      </c>
      <c r="G8" s="4">
        <v>10</v>
      </c>
      <c r="H8" s="17">
        <v>2</v>
      </c>
      <c r="I8" s="10">
        <f t="shared" si="0"/>
        <v>80.125</v>
      </c>
      <c r="J8" s="10">
        <f t="shared" si="1"/>
        <v>76.25</v>
      </c>
      <c r="K8" s="10">
        <f t="shared" si="2"/>
        <v>67.330000000000055</v>
      </c>
      <c r="L8" s="10">
        <f t="shared" si="3"/>
        <v>67.330000000000055</v>
      </c>
      <c r="M8" s="15">
        <f t="shared" si="4"/>
        <v>3</v>
      </c>
      <c r="N8" s="2"/>
      <c r="O8" s="2"/>
      <c r="P8" s="2"/>
      <c r="Q8" s="2"/>
      <c r="R8" s="2"/>
      <c r="S8" s="2"/>
      <c r="T8" s="2"/>
    </row>
    <row r="9" spans="1:20" ht="22.2">
      <c r="A9" s="5">
        <v>8</v>
      </c>
      <c r="B9" s="4">
        <v>59</v>
      </c>
      <c r="C9" s="4">
        <v>0</v>
      </c>
      <c r="D9" s="11">
        <v>1</v>
      </c>
      <c r="E9" s="24"/>
      <c r="F9" s="4">
        <v>55</v>
      </c>
      <c r="G9" s="4">
        <v>18</v>
      </c>
      <c r="H9" s="17">
        <v>2</v>
      </c>
      <c r="I9" s="10">
        <f t="shared" si="0"/>
        <v>178.625</v>
      </c>
      <c r="J9" s="10">
        <f t="shared" si="1"/>
        <v>36.25</v>
      </c>
      <c r="K9" s="10">
        <f t="shared" si="2"/>
        <v>364.73000000000013</v>
      </c>
      <c r="L9" s="10">
        <f t="shared" si="3"/>
        <v>36.25</v>
      </c>
      <c r="M9" s="11">
        <f t="shared" si="4"/>
        <v>2</v>
      </c>
      <c r="N9" s="2"/>
      <c r="O9" s="2"/>
      <c r="P9" s="2"/>
      <c r="Q9" s="2"/>
      <c r="R9" s="2"/>
      <c r="S9" s="2"/>
      <c r="T9" s="2"/>
    </row>
    <row r="10" spans="1:20" ht="22.2">
      <c r="A10" s="5">
        <v>9</v>
      </c>
      <c r="B10" s="4">
        <v>38</v>
      </c>
      <c r="C10" s="4">
        <v>10</v>
      </c>
      <c r="D10" s="15">
        <v>3</v>
      </c>
      <c r="E10" s="24"/>
      <c r="F10" s="4">
        <v>57</v>
      </c>
      <c r="G10" s="4">
        <v>14</v>
      </c>
      <c r="H10" s="17">
        <v>2</v>
      </c>
      <c r="I10" s="10">
        <f t="shared" si="0"/>
        <v>99.625</v>
      </c>
      <c r="J10" s="10">
        <f t="shared" si="1"/>
        <v>10.25</v>
      </c>
      <c r="K10" s="10">
        <f t="shared" si="2"/>
        <v>387.13000000000011</v>
      </c>
      <c r="L10" s="10">
        <f t="shared" si="3"/>
        <v>10.25</v>
      </c>
      <c r="M10" s="15">
        <f t="shared" si="4"/>
        <v>2</v>
      </c>
      <c r="N10" s="2"/>
      <c r="O10" s="2"/>
      <c r="P10" s="2"/>
      <c r="Q10" s="2"/>
      <c r="R10" s="2"/>
      <c r="S10" s="2"/>
      <c r="T10" s="2"/>
    </row>
    <row r="11" spans="1:20" ht="22.2">
      <c r="A11" s="5">
        <v>10</v>
      </c>
      <c r="B11" s="4">
        <v>46</v>
      </c>
      <c r="C11" s="4">
        <v>10</v>
      </c>
      <c r="D11" s="17">
        <v>2</v>
      </c>
      <c r="E11" s="24"/>
      <c r="F11" s="4">
        <v>49</v>
      </c>
      <c r="G11" s="4">
        <v>17</v>
      </c>
      <c r="H11" s="17">
        <v>2</v>
      </c>
      <c r="I11" s="10">
        <f t="shared" si="0"/>
        <v>168.125</v>
      </c>
      <c r="J11" s="10">
        <f t="shared" si="1"/>
        <v>55.25</v>
      </c>
      <c r="K11" s="10">
        <f t="shared" si="2"/>
        <v>178.73000000000008</v>
      </c>
      <c r="L11" s="10">
        <f t="shared" si="3"/>
        <v>55.25</v>
      </c>
      <c r="M11" s="17">
        <f t="shared" si="4"/>
        <v>2</v>
      </c>
      <c r="N11" s="2"/>
      <c r="O11" s="2"/>
      <c r="P11" s="2"/>
      <c r="Q11" s="2"/>
      <c r="R11" s="2"/>
      <c r="S11" s="2"/>
      <c r="T11" s="2"/>
    </row>
    <row r="12" spans="1:20" ht="22.2">
      <c r="A12" s="5">
        <v>11</v>
      </c>
      <c r="B12" s="4">
        <v>55</v>
      </c>
      <c r="C12" s="4">
        <v>18</v>
      </c>
      <c r="D12" s="17">
        <v>2</v>
      </c>
      <c r="E12" s="24"/>
      <c r="F12" s="4">
        <v>40</v>
      </c>
      <c r="G12" s="4">
        <v>5</v>
      </c>
      <c r="H12" s="11">
        <v>3</v>
      </c>
      <c r="I12" s="10">
        <f t="shared" si="0"/>
        <v>175.625</v>
      </c>
      <c r="J12" s="10">
        <f t="shared" si="1"/>
        <v>259.25</v>
      </c>
      <c r="K12" s="10">
        <f t="shared" si="2"/>
        <v>26.930000000000007</v>
      </c>
      <c r="L12" s="10">
        <f t="shared" si="3"/>
        <v>26.930000000000007</v>
      </c>
      <c r="M12" s="17">
        <f t="shared" si="4"/>
        <v>3</v>
      </c>
      <c r="N12" s="2"/>
      <c r="O12" s="2"/>
      <c r="P12" s="2"/>
      <c r="Q12" s="2"/>
      <c r="R12" s="2"/>
      <c r="S12" s="2"/>
      <c r="T12" s="2"/>
    </row>
    <row r="13" spans="1:20" ht="22.2">
      <c r="A13" s="5">
        <v>12</v>
      </c>
      <c r="B13" s="4">
        <v>43</v>
      </c>
      <c r="C13" s="4">
        <v>8</v>
      </c>
      <c r="D13" s="11">
        <v>3</v>
      </c>
      <c r="E13" s="24"/>
      <c r="F13" s="4">
        <v>44</v>
      </c>
      <c r="G13" s="4">
        <v>14</v>
      </c>
      <c r="H13" s="15">
        <v>3</v>
      </c>
      <c r="I13" s="10">
        <f t="shared" si="0"/>
        <v>171.125</v>
      </c>
      <c r="J13" s="10">
        <f t="shared" si="1"/>
        <v>114.25</v>
      </c>
      <c r="K13" s="10">
        <f t="shared" si="2"/>
        <v>56.930000000000035</v>
      </c>
      <c r="L13" s="10">
        <f t="shared" si="3"/>
        <v>56.930000000000035</v>
      </c>
      <c r="M13" s="15">
        <f t="shared" si="4"/>
        <v>3</v>
      </c>
      <c r="N13" s="2"/>
      <c r="O13" s="2"/>
      <c r="P13" s="2"/>
      <c r="Q13" s="2"/>
      <c r="R13" s="2"/>
      <c r="S13" s="2"/>
      <c r="T13" s="2"/>
    </row>
    <row r="14" spans="1:20" ht="22.2">
      <c r="A14" s="5">
        <v>13</v>
      </c>
      <c r="B14" s="4">
        <v>43</v>
      </c>
      <c r="C14" s="4">
        <v>11</v>
      </c>
      <c r="D14" s="15">
        <v>3</v>
      </c>
      <c r="E14" s="24"/>
      <c r="F14" s="4">
        <v>22</v>
      </c>
      <c r="G14" s="4">
        <v>13</v>
      </c>
      <c r="H14" s="15">
        <v>3</v>
      </c>
      <c r="I14" s="10">
        <f t="shared" si="0"/>
        <v>1044.625</v>
      </c>
      <c r="J14" s="10">
        <f t="shared" si="1"/>
        <v>1057.25</v>
      </c>
      <c r="K14" s="10">
        <f t="shared" si="2"/>
        <v>260.52999999999992</v>
      </c>
      <c r="L14" s="10">
        <f t="shared" si="3"/>
        <v>260.52999999999992</v>
      </c>
      <c r="M14" s="15">
        <f t="shared" si="4"/>
        <v>3</v>
      </c>
      <c r="N14" s="2"/>
      <c r="O14" s="2"/>
      <c r="P14" s="2"/>
      <c r="Q14" s="2"/>
      <c r="R14" s="2"/>
      <c r="S14" s="2"/>
      <c r="T14" s="2"/>
    </row>
    <row r="15" spans="1:20" ht="22.2">
      <c r="A15" s="5">
        <v>14</v>
      </c>
      <c r="B15" s="4">
        <v>57</v>
      </c>
      <c r="C15" s="4">
        <v>14</v>
      </c>
      <c r="D15" s="17">
        <v>2</v>
      </c>
      <c r="E15" s="24"/>
      <c r="F15" s="4">
        <v>38</v>
      </c>
      <c r="G15" s="4">
        <v>10</v>
      </c>
      <c r="H15" s="15">
        <v>3</v>
      </c>
      <c r="I15" s="10">
        <f t="shared" si="0"/>
        <v>260.125</v>
      </c>
      <c r="J15" s="10">
        <f t="shared" si="1"/>
        <v>276.25</v>
      </c>
      <c r="K15" s="10">
        <f t="shared" si="2"/>
        <v>0.13000000000000156</v>
      </c>
      <c r="L15" s="10">
        <f t="shared" si="3"/>
        <v>0.13000000000000156</v>
      </c>
      <c r="M15" s="17">
        <f t="shared" si="4"/>
        <v>3</v>
      </c>
      <c r="N15" s="2"/>
      <c r="O15" s="2"/>
      <c r="P15" s="2"/>
      <c r="Q15" s="2"/>
      <c r="R15" s="2"/>
      <c r="S15" s="2"/>
      <c r="T15" s="2"/>
    </row>
    <row r="16" spans="1:20" ht="22.2">
      <c r="A16" s="5">
        <v>15</v>
      </c>
      <c r="B16" s="4">
        <v>49</v>
      </c>
      <c r="C16" s="4">
        <v>17</v>
      </c>
      <c r="D16" s="17">
        <v>2</v>
      </c>
      <c r="E16" s="24"/>
      <c r="F16" s="4">
        <v>43</v>
      </c>
      <c r="G16" s="4">
        <v>8</v>
      </c>
      <c r="H16" s="11">
        <v>3</v>
      </c>
      <c r="I16" s="10">
        <f t="shared" si="0"/>
        <v>115.625</v>
      </c>
      <c r="J16" s="10">
        <f t="shared" si="1"/>
        <v>148.25</v>
      </c>
      <c r="K16" s="10">
        <f t="shared" si="2"/>
        <v>29.930000000000028</v>
      </c>
      <c r="L16" s="10">
        <f t="shared" si="3"/>
        <v>29.930000000000028</v>
      </c>
      <c r="M16" s="17">
        <f t="shared" si="4"/>
        <v>3</v>
      </c>
      <c r="N16" s="2"/>
      <c r="O16" s="2"/>
      <c r="P16" s="2"/>
      <c r="Q16" s="2"/>
      <c r="R16" s="2"/>
      <c r="S16" s="2"/>
      <c r="T16" s="2"/>
    </row>
    <row r="17" spans="1:20" ht="22.2">
      <c r="A17" s="5">
        <v>16</v>
      </c>
      <c r="B17" s="4">
        <v>35</v>
      </c>
      <c r="C17" s="4">
        <v>8</v>
      </c>
      <c r="D17" s="15">
        <v>3</v>
      </c>
      <c r="E17" s="24"/>
      <c r="F17" s="4">
        <v>43</v>
      </c>
      <c r="G17" s="4">
        <v>11</v>
      </c>
      <c r="H17" s="15">
        <v>3</v>
      </c>
      <c r="I17" s="10">
        <f t="shared" si="0"/>
        <v>144.125</v>
      </c>
      <c r="J17" s="10">
        <f t="shared" si="1"/>
        <v>133.25</v>
      </c>
      <c r="K17" s="10">
        <f t="shared" si="2"/>
        <v>28.730000000000032</v>
      </c>
      <c r="L17" s="10">
        <f t="shared" si="3"/>
        <v>28.730000000000032</v>
      </c>
      <c r="M17" s="15">
        <f t="shared" si="4"/>
        <v>3</v>
      </c>
      <c r="N17" s="2"/>
      <c r="O17" s="2"/>
      <c r="P17" s="2"/>
      <c r="Q17" s="2"/>
      <c r="R17" s="2"/>
      <c r="S17" s="2"/>
      <c r="T17" s="2"/>
    </row>
    <row r="18" spans="1:20" ht="22.2">
      <c r="A18" s="5">
        <v>17</v>
      </c>
      <c r="B18" s="4">
        <v>44</v>
      </c>
      <c r="C18" s="4">
        <v>10</v>
      </c>
      <c r="D18" s="15">
        <v>3</v>
      </c>
      <c r="E18" s="24"/>
      <c r="F18" s="4">
        <v>35</v>
      </c>
      <c r="G18" s="4">
        <v>8</v>
      </c>
      <c r="H18" s="15">
        <v>3</v>
      </c>
      <c r="I18" s="10">
        <f t="shared" si="0"/>
        <v>343.625</v>
      </c>
      <c r="J18" s="10">
        <f t="shared" si="1"/>
        <v>396.25</v>
      </c>
      <c r="K18" s="10">
        <f t="shared" si="2"/>
        <v>10.729999999999981</v>
      </c>
      <c r="L18" s="10">
        <f t="shared" si="3"/>
        <v>10.729999999999981</v>
      </c>
      <c r="M18" s="15">
        <f t="shared" si="4"/>
        <v>3</v>
      </c>
      <c r="N18" s="2"/>
      <c r="O18" s="2"/>
      <c r="P18" s="2"/>
      <c r="Q18" s="2"/>
      <c r="R18" s="2"/>
      <c r="S18" s="2"/>
      <c r="T18" s="2"/>
    </row>
    <row r="19" spans="1:20" ht="22.2">
      <c r="A19" s="5">
        <v>18</v>
      </c>
      <c r="B19" s="4">
        <v>28</v>
      </c>
      <c r="C19" s="4">
        <v>10</v>
      </c>
      <c r="D19" s="15">
        <v>3</v>
      </c>
      <c r="E19" s="24"/>
      <c r="F19" s="4">
        <v>44</v>
      </c>
      <c r="G19" s="4">
        <v>10</v>
      </c>
      <c r="H19" s="15">
        <v>3</v>
      </c>
      <c r="I19" s="10">
        <f t="shared" si="0"/>
        <v>113.125</v>
      </c>
      <c r="J19" s="10">
        <f t="shared" si="1"/>
        <v>114.25</v>
      </c>
      <c r="K19" s="10">
        <f t="shared" si="2"/>
        <v>38.530000000000037</v>
      </c>
      <c r="L19" s="10">
        <f t="shared" si="3"/>
        <v>38.530000000000037</v>
      </c>
      <c r="M19" s="15">
        <f t="shared" si="4"/>
        <v>3</v>
      </c>
      <c r="N19" s="2"/>
      <c r="O19" s="2"/>
      <c r="P19" s="2"/>
      <c r="Q19" s="2"/>
      <c r="R19" s="2"/>
      <c r="S19" s="2"/>
      <c r="T19" s="2"/>
    </row>
    <row r="20" spans="1:20" ht="22.2">
      <c r="A20" s="5">
        <v>19</v>
      </c>
      <c r="B20" s="4">
        <v>41</v>
      </c>
      <c r="C20" s="4">
        <v>8</v>
      </c>
      <c r="D20" s="15">
        <v>3</v>
      </c>
      <c r="E20" s="24"/>
      <c r="F20" s="4">
        <v>28</v>
      </c>
      <c r="G20" s="4">
        <v>10</v>
      </c>
      <c r="H20" s="15">
        <v>3</v>
      </c>
      <c r="I20" s="10">
        <f t="shared" si="0"/>
        <v>665.125</v>
      </c>
      <c r="J20" s="10">
        <f t="shared" si="1"/>
        <v>706.25</v>
      </c>
      <c r="K20" s="10">
        <f t="shared" si="2"/>
        <v>96.129999999999953</v>
      </c>
      <c r="L20" s="10">
        <f t="shared" si="3"/>
        <v>96.129999999999953</v>
      </c>
      <c r="M20" s="15">
        <f t="shared" si="4"/>
        <v>3</v>
      </c>
      <c r="N20" s="2"/>
      <c r="O20" s="2"/>
      <c r="P20" s="2"/>
      <c r="Q20" s="2"/>
      <c r="R20" s="2"/>
      <c r="S20" s="2"/>
      <c r="T20" s="2"/>
    </row>
    <row r="21" spans="1:20" ht="22.2">
      <c r="A21" s="5">
        <v>20</v>
      </c>
      <c r="B21" s="4">
        <v>45</v>
      </c>
      <c r="C21" s="4">
        <v>10</v>
      </c>
      <c r="D21" s="17">
        <v>1</v>
      </c>
      <c r="E21" s="24"/>
      <c r="F21" s="4">
        <v>41</v>
      </c>
      <c r="G21" s="4">
        <v>8</v>
      </c>
      <c r="H21" s="15">
        <v>3</v>
      </c>
      <c r="I21" s="10">
        <f t="shared" si="0"/>
        <v>160.625</v>
      </c>
      <c r="J21" s="10">
        <f t="shared" si="1"/>
        <v>198.25</v>
      </c>
      <c r="K21" s="10">
        <f t="shared" si="2"/>
        <v>13.130000000000015</v>
      </c>
      <c r="L21" s="10">
        <f t="shared" si="3"/>
        <v>13.130000000000015</v>
      </c>
      <c r="M21" s="15">
        <f t="shared" si="4"/>
        <v>3</v>
      </c>
      <c r="N21" s="2"/>
      <c r="O21" s="2"/>
      <c r="P21" s="2"/>
      <c r="Q21" s="2"/>
      <c r="R21" s="2"/>
      <c r="S21" s="2"/>
      <c r="T21" s="2"/>
    </row>
    <row r="22" spans="1:20" ht="22.2">
      <c r="A22" s="2"/>
      <c r="B22" s="2"/>
      <c r="C22" s="2"/>
      <c r="D22" s="2"/>
      <c r="E22" s="24"/>
      <c r="F22" s="2"/>
      <c r="G22" s="2"/>
      <c r="H22" s="2"/>
      <c r="I22" s="10"/>
      <c r="J22" s="10"/>
      <c r="K22" s="10"/>
      <c r="L22" s="10"/>
      <c r="M22" s="2"/>
      <c r="N22" s="2"/>
      <c r="O22" s="2"/>
      <c r="P22" s="2"/>
      <c r="Q22" s="2"/>
      <c r="R22" s="2"/>
      <c r="S22" s="2"/>
      <c r="T22" s="2"/>
    </row>
    <row r="23" spans="1:20" ht="22.2">
      <c r="A23" s="2"/>
      <c r="B23" s="2"/>
      <c r="C23" s="2"/>
      <c r="D23" s="2"/>
      <c r="E23" s="2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22.2">
      <c r="A24" s="2"/>
      <c r="B24" s="2"/>
      <c r="C24" s="2"/>
      <c r="D24" s="2"/>
      <c r="E24" s="2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22.2">
      <c r="A25" s="2"/>
      <c r="B25" s="2"/>
      <c r="C25" s="2"/>
      <c r="D25" s="2"/>
      <c r="E25" s="2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22.2">
      <c r="A26" s="2"/>
      <c r="B26" s="2"/>
      <c r="C26" s="2"/>
      <c r="D26" s="2"/>
      <c r="E26" s="2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22.2">
      <c r="A27" s="2"/>
      <c r="B27" s="2"/>
      <c r="C27" s="2"/>
      <c r="D27" s="2"/>
      <c r="E27" s="2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</sheetData>
  <sortState ref="F2:H27">
    <sortCondition ref="H2:H27"/>
  </sortState>
  <mergeCells count="1">
    <mergeCell ref="O1:R1"/>
  </mergeCells>
  <phoneticPr fontId="4" type="noConversion"/>
  <pageMargins left="0.7" right="0.7" top="0.75" bottom="0.75" header="0.3" footer="0.3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"/>
  <sheetViews>
    <sheetView zoomScale="70" zoomScaleNormal="70" workbookViewId="0">
      <selection activeCell="I1" sqref="I1:I1048576"/>
    </sheetView>
  </sheetViews>
  <sheetFormatPr defaultRowHeight="16.2"/>
  <cols>
    <col min="1" max="1" width="6" bestFit="1" customWidth="1"/>
    <col min="2" max="2" width="10.33203125" customWidth="1"/>
    <col min="3" max="3" width="11.6640625" customWidth="1"/>
    <col min="4" max="4" width="17.88671875" bestFit="1" customWidth="1"/>
    <col min="5" max="5" width="4.77734375" style="31" customWidth="1"/>
    <col min="6" max="6" width="6" bestFit="1" customWidth="1"/>
    <col min="7" max="7" width="10.33203125" customWidth="1"/>
    <col min="8" max="8" width="11.6640625" customWidth="1"/>
    <col min="9" max="9" width="24.5546875" customWidth="1"/>
    <col min="10" max="13" width="18.6640625" bestFit="1" customWidth="1"/>
    <col min="14" max="14" width="17.88671875" bestFit="1" customWidth="1"/>
    <col min="16" max="16" width="14.44140625" bestFit="1" customWidth="1"/>
    <col min="17" max="17" width="19.77734375" bestFit="1" customWidth="1"/>
    <col min="18" max="18" width="18.6640625" bestFit="1" customWidth="1"/>
    <col min="19" max="19" width="19.77734375" bestFit="1" customWidth="1"/>
  </cols>
  <sheetData>
    <row r="1" spans="1:21" ht="22.2">
      <c r="A1" s="3" t="s">
        <v>1</v>
      </c>
      <c r="B1" s="3" t="s">
        <v>4</v>
      </c>
      <c r="C1" s="3" t="s">
        <v>5</v>
      </c>
      <c r="D1" s="7" t="s">
        <v>24</v>
      </c>
      <c r="E1" s="30"/>
      <c r="F1" s="3" t="s">
        <v>1</v>
      </c>
      <c r="G1" s="3" t="s">
        <v>4</v>
      </c>
      <c r="H1" s="3" t="s">
        <v>5</v>
      </c>
      <c r="I1" s="49" t="s">
        <v>37</v>
      </c>
      <c r="J1" s="3" t="s">
        <v>18</v>
      </c>
      <c r="K1" s="3" t="s">
        <v>19</v>
      </c>
      <c r="L1" s="3" t="s">
        <v>20</v>
      </c>
      <c r="M1" s="3" t="s">
        <v>22</v>
      </c>
      <c r="N1" s="6" t="s">
        <v>21</v>
      </c>
      <c r="O1" s="2"/>
      <c r="P1" s="46" t="s">
        <v>33</v>
      </c>
      <c r="Q1" s="47"/>
      <c r="R1" s="47"/>
      <c r="S1" s="48"/>
      <c r="T1" s="2"/>
      <c r="U1" s="2"/>
    </row>
    <row r="2" spans="1:21" ht="22.2">
      <c r="A2" s="5">
        <v>1</v>
      </c>
      <c r="B2" s="8">
        <v>46</v>
      </c>
      <c r="C2" s="8">
        <v>6</v>
      </c>
      <c r="D2" s="15">
        <v>1</v>
      </c>
      <c r="E2" s="30"/>
      <c r="F2" s="5">
        <v>1</v>
      </c>
      <c r="G2" s="8">
        <v>46</v>
      </c>
      <c r="H2" s="8">
        <v>6</v>
      </c>
      <c r="I2" s="15">
        <v>1</v>
      </c>
      <c r="J2" s="2">
        <f>SUMXMY2($G2:$H2,Q$3:Q$4)</f>
        <v>199.625</v>
      </c>
      <c r="K2" s="2">
        <f>SUMXMY2($G2:$H2,R$3:R$4)</f>
        <v>123.25</v>
      </c>
      <c r="L2" s="2">
        <f>SUMXMY2($G2:$H2,S$3:S$4)</f>
        <v>61.902777777777743</v>
      </c>
      <c r="M2" s="2">
        <f>MIN(J2:L2)</f>
        <v>61.902777777777743</v>
      </c>
      <c r="N2" s="15">
        <f>IF(M2=J2,1,IF(M2=K2,2,3))</f>
        <v>3</v>
      </c>
      <c r="O2" s="2"/>
      <c r="P2" s="12"/>
      <c r="Q2" s="13" t="s">
        <v>9</v>
      </c>
      <c r="R2" s="14" t="s">
        <v>10</v>
      </c>
      <c r="S2" s="13" t="s">
        <v>11</v>
      </c>
      <c r="T2" s="2"/>
      <c r="U2" s="2"/>
    </row>
    <row r="3" spans="1:21" ht="22.2">
      <c r="A3" s="5">
        <v>2</v>
      </c>
      <c r="B3" s="8">
        <v>63</v>
      </c>
      <c r="C3" s="8">
        <v>3</v>
      </c>
      <c r="D3" s="17">
        <v>1</v>
      </c>
      <c r="E3" s="30"/>
      <c r="F3" s="5">
        <v>2</v>
      </c>
      <c r="G3" s="8">
        <v>63</v>
      </c>
      <c r="H3" s="8">
        <v>3</v>
      </c>
      <c r="I3" s="17">
        <v>1</v>
      </c>
      <c r="J3" s="2">
        <f t="shared" ref="J3:J21" si="0">SUMXMY2($G3:$H3,Q$3:Q$4)</f>
        <v>10.625</v>
      </c>
      <c r="K3" s="2">
        <f t="shared" ref="K3:K21" si="1">SUMXMY2($G3:$H3,R$3:R$4)</f>
        <v>254.25</v>
      </c>
      <c r="L3" s="2">
        <f t="shared" ref="L3:L21" si="2">SUMXMY2($G3:$H3,S$3:S$4)</f>
        <v>617.56944444444434</v>
      </c>
      <c r="M3" s="2">
        <f t="shared" ref="M3:M21" si="3">MIN(J3:L3)</f>
        <v>10.625</v>
      </c>
      <c r="N3" s="17">
        <f t="shared" ref="N3:N21" si="4">IF(M3=J3,1,IF(M3=K3,2,3))</f>
        <v>1</v>
      </c>
      <c r="O3" s="2"/>
      <c r="P3" s="12" t="s">
        <v>7</v>
      </c>
      <c r="Q3" s="13">
        <f>AVERAGE(G2:G5)</f>
        <v>59.75</v>
      </c>
      <c r="R3" s="14">
        <f>AVERAGE(G6:G9)</f>
        <v>52.5</v>
      </c>
      <c r="S3" s="13">
        <f>AVERAGE(G10:G21)</f>
        <v>39.083333333333336</v>
      </c>
      <c r="T3" s="2"/>
      <c r="U3" s="2"/>
    </row>
    <row r="4" spans="1:21" ht="22.2">
      <c r="A4" s="5">
        <v>3</v>
      </c>
      <c r="B4" s="8">
        <v>59</v>
      </c>
      <c r="C4" s="8">
        <v>0</v>
      </c>
      <c r="D4" s="11">
        <v>1</v>
      </c>
      <c r="E4" s="30"/>
      <c r="F4" s="5">
        <v>3</v>
      </c>
      <c r="G4" s="8">
        <v>59</v>
      </c>
      <c r="H4" s="8">
        <v>0</v>
      </c>
      <c r="I4" s="11">
        <v>1</v>
      </c>
      <c r="J4" s="2">
        <f t="shared" si="0"/>
        <v>8.125</v>
      </c>
      <c r="K4" s="2">
        <f t="shared" si="1"/>
        <v>267.25</v>
      </c>
      <c r="L4" s="2">
        <f t="shared" si="2"/>
        <v>491.73611111111103</v>
      </c>
      <c r="M4" s="2">
        <f t="shared" si="3"/>
        <v>8.125</v>
      </c>
      <c r="N4" s="11">
        <f t="shared" si="4"/>
        <v>1</v>
      </c>
      <c r="O4" s="2"/>
      <c r="P4" s="12" t="s">
        <v>8</v>
      </c>
      <c r="Q4" s="13">
        <f>AVERAGE(H2:H5)</f>
        <v>2.75</v>
      </c>
      <c r="R4" s="2">
        <f>AVERAGE(H6:H9)</f>
        <v>15</v>
      </c>
      <c r="S4" s="13">
        <f>AVERAGE(H10:H21)</f>
        <v>9.75</v>
      </c>
      <c r="T4" s="2"/>
      <c r="U4" s="2"/>
    </row>
    <row r="5" spans="1:21" ht="22.2">
      <c r="A5" s="5">
        <v>4</v>
      </c>
      <c r="B5" s="8">
        <v>45</v>
      </c>
      <c r="C5" s="8">
        <v>10</v>
      </c>
      <c r="D5" s="11">
        <v>3</v>
      </c>
      <c r="E5" s="30"/>
      <c r="F5" s="5">
        <v>5</v>
      </c>
      <c r="G5" s="8">
        <v>71</v>
      </c>
      <c r="H5" s="8">
        <v>2</v>
      </c>
      <c r="I5" s="11">
        <v>1</v>
      </c>
      <c r="J5" s="2">
        <f t="shared" si="0"/>
        <v>127.125</v>
      </c>
      <c r="K5" s="2">
        <f t="shared" si="1"/>
        <v>511.25</v>
      </c>
      <c r="L5" s="2">
        <f t="shared" si="2"/>
        <v>1078.7361111111109</v>
      </c>
      <c r="M5" s="2">
        <f t="shared" si="3"/>
        <v>127.125</v>
      </c>
      <c r="N5" s="15">
        <f t="shared" si="4"/>
        <v>1</v>
      </c>
      <c r="O5" s="2"/>
      <c r="P5" s="12"/>
      <c r="Q5" s="16"/>
      <c r="R5" s="16"/>
      <c r="S5" s="16"/>
      <c r="T5" s="2"/>
      <c r="U5" s="2"/>
    </row>
    <row r="6" spans="1:21" ht="22.2">
      <c r="A6" s="5">
        <v>5</v>
      </c>
      <c r="B6" s="8">
        <v>71</v>
      </c>
      <c r="C6" s="8">
        <v>2</v>
      </c>
      <c r="D6" s="11">
        <v>1</v>
      </c>
      <c r="E6" s="30"/>
      <c r="F6" s="5">
        <v>6</v>
      </c>
      <c r="G6" s="8">
        <v>49</v>
      </c>
      <c r="H6" s="8">
        <v>11</v>
      </c>
      <c r="I6" s="17">
        <v>2</v>
      </c>
      <c r="J6" s="2">
        <f t="shared" si="0"/>
        <v>183.625</v>
      </c>
      <c r="K6" s="2">
        <f t="shared" si="1"/>
        <v>28.25</v>
      </c>
      <c r="L6" s="2">
        <f t="shared" si="2"/>
        <v>99.902777777777729</v>
      </c>
      <c r="M6" s="2">
        <f t="shared" si="3"/>
        <v>28.25</v>
      </c>
      <c r="N6" s="11">
        <f t="shared" si="4"/>
        <v>2</v>
      </c>
      <c r="O6" s="2"/>
      <c r="P6" s="2"/>
      <c r="Q6" s="2"/>
      <c r="R6" s="2"/>
      <c r="S6" s="2"/>
      <c r="T6" s="2"/>
      <c r="U6" s="2"/>
    </row>
    <row r="7" spans="1:21" ht="22.2">
      <c r="A7" s="5">
        <v>6</v>
      </c>
      <c r="B7" s="8">
        <v>49</v>
      </c>
      <c r="C7" s="8">
        <v>11</v>
      </c>
      <c r="D7" s="17">
        <v>2</v>
      </c>
      <c r="E7" s="30"/>
      <c r="F7" s="5">
        <v>8</v>
      </c>
      <c r="G7" s="8">
        <v>55</v>
      </c>
      <c r="H7" s="8">
        <v>18</v>
      </c>
      <c r="I7" s="11">
        <v>2</v>
      </c>
      <c r="J7" s="2">
        <f t="shared" si="0"/>
        <v>255.125</v>
      </c>
      <c r="K7" s="2">
        <f t="shared" si="1"/>
        <v>15.25</v>
      </c>
      <c r="L7" s="2">
        <f t="shared" si="2"/>
        <v>321.40277777777771</v>
      </c>
      <c r="M7" s="2">
        <f t="shared" si="3"/>
        <v>15.25</v>
      </c>
      <c r="N7" s="17">
        <f t="shared" si="4"/>
        <v>2</v>
      </c>
      <c r="O7" s="2"/>
      <c r="P7" s="2"/>
      <c r="Q7" s="2"/>
      <c r="R7" s="2"/>
      <c r="S7" s="2"/>
      <c r="T7" s="2"/>
      <c r="U7" s="2"/>
    </row>
    <row r="8" spans="1:21" ht="22.2">
      <c r="A8" s="5">
        <v>7</v>
      </c>
      <c r="B8" s="8">
        <v>46</v>
      </c>
      <c r="C8" s="8">
        <v>10</v>
      </c>
      <c r="D8" s="15">
        <v>3</v>
      </c>
      <c r="E8" s="30"/>
      <c r="F8" s="5">
        <v>9</v>
      </c>
      <c r="G8" s="8">
        <v>57</v>
      </c>
      <c r="H8" s="8">
        <v>14</v>
      </c>
      <c r="I8" s="15">
        <v>2</v>
      </c>
      <c r="J8" s="2">
        <f t="shared" si="0"/>
        <v>134.125</v>
      </c>
      <c r="K8" s="2">
        <f t="shared" si="1"/>
        <v>21.25</v>
      </c>
      <c r="L8" s="2">
        <f t="shared" si="2"/>
        <v>339.06944444444434</v>
      </c>
      <c r="M8" s="2">
        <f t="shared" si="3"/>
        <v>21.25</v>
      </c>
      <c r="N8" s="15">
        <f t="shared" si="4"/>
        <v>2</v>
      </c>
      <c r="O8" s="2"/>
      <c r="P8" s="2"/>
      <c r="Q8" s="2"/>
      <c r="R8" s="2"/>
      <c r="S8" s="2"/>
      <c r="T8" s="2"/>
      <c r="U8" s="2"/>
    </row>
    <row r="9" spans="1:21" ht="22.2">
      <c r="A9" s="5">
        <v>8</v>
      </c>
      <c r="B9" s="8">
        <v>55</v>
      </c>
      <c r="C9" s="8">
        <v>18</v>
      </c>
      <c r="D9" s="11">
        <v>2</v>
      </c>
      <c r="E9" s="30"/>
      <c r="F9" s="5">
        <v>10</v>
      </c>
      <c r="G9" s="8">
        <v>49</v>
      </c>
      <c r="H9" s="8">
        <v>17</v>
      </c>
      <c r="I9" s="17">
        <v>2</v>
      </c>
      <c r="J9" s="2">
        <f t="shared" si="0"/>
        <v>318.625</v>
      </c>
      <c r="K9" s="2">
        <f t="shared" si="1"/>
        <v>16.25</v>
      </c>
      <c r="L9" s="2">
        <f t="shared" si="2"/>
        <v>150.90277777777771</v>
      </c>
      <c r="M9" s="2">
        <f t="shared" si="3"/>
        <v>16.25</v>
      </c>
      <c r="N9" s="11">
        <f t="shared" si="4"/>
        <v>2</v>
      </c>
      <c r="O9" s="2"/>
      <c r="P9" s="2"/>
      <c r="Q9" s="2"/>
      <c r="R9" s="2"/>
      <c r="S9" s="2"/>
      <c r="T9" s="2"/>
      <c r="U9" s="2"/>
    </row>
    <row r="10" spans="1:21" ht="22.2">
      <c r="A10" s="5">
        <v>9</v>
      </c>
      <c r="B10" s="8">
        <v>57</v>
      </c>
      <c r="C10" s="8">
        <v>14</v>
      </c>
      <c r="D10" s="15">
        <v>2</v>
      </c>
      <c r="E10" s="30"/>
      <c r="F10" s="5">
        <v>4</v>
      </c>
      <c r="G10" s="8">
        <v>45</v>
      </c>
      <c r="H10" s="8">
        <v>10</v>
      </c>
      <c r="I10" s="11">
        <v>3</v>
      </c>
      <c r="J10" s="2">
        <f t="shared" si="0"/>
        <v>270.125</v>
      </c>
      <c r="K10" s="2">
        <f t="shared" si="1"/>
        <v>81.25</v>
      </c>
      <c r="L10" s="2">
        <f t="shared" si="2"/>
        <v>35.069444444444414</v>
      </c>
      <c r="M10" s="2">
        <f t="shared" si="3"/>
        <v>35.069444444444414</v>
      </c>
      <c r="N10" s="15">
        <f t="shared" si="4"/>
        <v>3</v>
      </c>
      <c r="O10" s="2"/>
      <c r="P10" s="2"/>
      <c r="Q10" s="2"/>
      <c r="R10" s="2"/>
      <c r="S10" s="2"/>
      <c r="T10" s="2"/>
      <c r="U10" s="2"/>
    </row>
    <row r="11" spans="1:21" ht="22.2">
      <c r="A11" s="5">
        <v>10</v>
      </c>
      <c r="B11" s="8">
        <v>49</v>
      </c>
      <c r="C11" s="8">
        <v>17</v>
      </c>
      <c r="D11" s="17">
        <v>2</v>
      </c>
      <c r="E11" s="30"/>
      <c r="F11" s="5">
        <v>7</v>
      </c>
      <c r="G11" s="8">
        <v>46</v>
      </c>
      <c r="H11" s="8">
        <v>10</v>
      </c>
      <c r="I11" s="15">
        <v>3</v>
      </c>
      <c r="J11" s="2">
        <f t="shared" si="0"/>
        <v>241.625</v>
      </c>
      <c r="K11" s="2">
        <f t="shared" si="1"/>
        <v>67.25</v>
      </c>
      <c r="L11" s="2">
        <f t="shared" si="2"/>
        <v>47.902777777777743</v>
      </c>
      <c r="M11" s="2">
        <f t="shared" si="3"/>
        <v>47.902777777777743</v>
      </c>
      <c r="N11" s="15">
        <f t="shared" si="4"/>
        <v>3</v>
      </c>
      <c r="O11" s="2"/>
      <c r="P11" s="2"/>
      <c r="Q11" s="2"/>
      <c r="R11" s="2"/>
      <c r="S11" s="2"/>
      <c r="T11" s="2"/>
      <c r="U11" s="2"/>
    </row>
    <row r="12" spans="1:21" ht="22.2">
      <c r="A12" s="5">
        <v>11</v>
      </c>
      <c r="B12" s="8">
        <v>40</v>
      </c>
      <c r="C12" s="8">
        <v>5</v>
      </c>
      <c r="D12" s="17">
        <v>3</v>
      </c>
      <c r="E12" s="30"/>
      <c r="F12" s="5">
        <v>11</v>
      </c>
      <c r="G12" s="8">
        <v>40</v>
      </c>
      <c r="H12" s="8">
        <v>5</v>
      </c>
      <c r="I12" s="17">
        <v>3</v>
      </c>
      <c r="J12" s="2">
        <f t="shared" si="0"/>
        <v>395.125</v>
      </c>
      <c r="K12" s="2">
        <f t="shared" si="1"/>
        <v>256.25</v>
      </c>
      <c r="L12" s="2">
        <f t="shared" si="2"/>
        <v>23.402777777777775</v>
      </c>
      <c r="M12" s="2">
        <f t="shared" si="3"/>
        <v>23.402777777777775</v>
      </c>
      <c r="N12" s="17">
        <f t="shared" si="4"/>
        <v>3</v>
      </c>
      <c r="O12" s="2"/>
      <c r="P12" s="2"/>
      <c r="Q12" s="2"/>
      <c r="R12" s="2"/>
      <c r="S12" s="2"/>
      <c r="T12" s="2"/>
      <c r="U12" s="2"/>
    </row>
    <row r="13" spans="1:21" ht="22.2">
      <c r="A13" s="5">
        <v>12</v>
      </c>
      <c r="B13" s="8">
        <v>44</v>
      </c>
      <c r="C13" s="8">
        <v>14</v>
      </c>
      <c r="D13" s="15">
        <v>3</v>
      </c>
      <c r="E13" s="30"/>
      <c r="F13" s="5">
        <v>12</v>
      </c>
      <c r="G13" s="8">
        <v>44</v>
      </c>
      <c r="H13" s="8">
        <v>14</v>
      </c>
      <c r="I13" s="15">
        <v>3</v>
      </c>
      <c r="J13" s="2">
        <f t="shared" si="0"/>
        <v>374.625</v>
      </c>
      <c r="K13" s="2">
        <f t="shared" si="1"/>
        <v>73.25</v>
      </c>
      <c r="L13" s="2">
        <f t="shared" si="2"/>
        <v>42.236111111111086</v>
      </c>
      <c r="M13" s="2">
        <f t="shared" si="3"/>
        <v>42.236111111111086</v>
      </c>
      <c r="N13" s="15">
        <f t="shared" si="4"/>
        <v>3</v>
      </c>
      <c r="O13" s="2"/>
      <c r="P13" s="2"/>
      <c r="Q13" s="2"/>
      <c r="R13" s="2"/>
      <c r="S13" s="2"/>
      <c r="T13" s="2"/>
      <c r="U13" s="2"/>
    </row>
    <row r="14" spans="1:21" ht="22.2">
      <c r="A14" s="5">
        <v>13</v>
      </c>
      <c r="B14" s="8">
        <v>22</v>
      </c>
      <c r="C14" s="8">
        <v>13</v>
      </c>
      <c r="D14" s="15">
        <v>3</v>
      </c>
      <c r="E14" s="30"/>
      <c r="F14" s="5">
        <v>13</v>
      </c>
      <c r="G14" s="8">
        <v>22</v>
      </c>
      <c r="H14" s="8">
        <v>13</v>
      </c>
      <c r="I14" s="15">
        <v>3</v>
      </c>
      <c r="J14" s="2">
        <f t="shared" si="0"/>
        <v>1530.125</v>
      </c>
      <c r="K14" s="2">
        <f t="shared" si="1"/>
        <v>934.25</v>
      </c>
      <c r="L14" s="2">
        <f t="shared" si="2"/>
        <v>302.40277777777789</v>
      </c>
      <c r="M14" s="2">
        <f t="shared" si="3"/>
        <v>302.40277777777789</v>
      </c>
      <c r="N14" s="15">
        <f t="shared" si="4"/>
        <v>3</v>
      </c>
      <c r="O14" s="2"/>
      <c r="P14" s="2"/>
      <c r="Q14" s="2"/>
      <c r="R14" s="2"/>
      <c r="S14" s="2"/>
      <c r="T14" s="2"/>
      <c r="U14" s="2"/>
    </row>
    <row r="15" spans="1:21" ht="22.2">
      <c r="A15" s="5">
        <v>14</v>
      </c>
      <c r="B15" s="8">
        <v>38</v>
      </c>
      <c r="C15" s="8">
        <v>10</v>
      </c>
      <c r="D15" s="17">
        <v>3</v>
      </c>
      <c r="E15" s="30"/>
      <c r="F15" s="5">
        <v>14</v>
      </c>
      <c r="G15" s="8">
        <v>38</v>
      </c>
      <c r="H15" s="8">
        <v>10</v>
      </c>
      <c r="I15" s="17">
        <v>3</v>
      </c>
      <c r="J15" s="2">
        <f t="shared" si="0"/>
        <v>525.625</v>
      </c>
      <c r="K15" s="2">
        <f t="shared" si="1"/>
        <v>235.25</v>
      </c>
      <c r="L15" s="2">
        <f t="shared" si="2"/>
        <v>1.2361111111111163</v>
      </c>
      <c r="M15" s="2">
        <f t="shared" si="3"/>
        <v>1.2361111111111163</v>
      </c>
      <c r="N15" s="17">
        <f t="shared" si="4"/>
        <v>3</v>
      </c>
      <c r="O15" s="2"/>
      <c r="P15" s="2"/>
      <c r="Q15" s="2"/>
      <c r="R15" s="2"/>
      <c r="S15" s="2"/>
      <c r="T15" s="2"/>
      <c r="U15" s="2"/>
    </row>
    <row r="16" spans="1:21" ht="22.2">
      <c r="A16" s="5">
        <v>15</v>
      </c>
      <c r="B16" s="8">
        <v>43</v>
      </c>
      <c r="C16" s="8">
        <v>8</v>
      </c>
      <c r="D16" s="17">
        <v>3</v>
      </c>
      <c r="E16" s="30"/>
      <c r="F16" s="5">
        <v>15</v>
      </c>
      <c r="G16" s="8">
        <v>43</v>
      </c>
      <c r="H16" s="8">
        <v>8</v>
      </c>
      <c r="I16" s="17">
        <v>3</v>
      </c>
      <c r="J16" s="2">
        <f t="shared" si="0"/>
        <v>308.125</v>
      </c>
      <c r="K16" s="2">
        <f t="shared" si="1"/>
        <v>139.25</v>
      </c>
      <c r="L16" s="2">
        <f t="shared" si="2"/>
        <v>18.402777777777757</v>
      </c>
      <c r="M16" s="2">
        <f t="shared" si="3"/>
        <v>18.402777777777757</v>
      </c>
      <c r="N16" s="17">
        <f t="shared" si="4"/>
        <v>3</v>
      </c>
      <c r="O16" s="2"/>
      <c r="P16" s="2"/>
      <c r="Q16" s="2"/>
      <c r="R16" s="2"/>
      <c r="S16" s="2"/>
      <c r="T16" s="2"/>
      <c r="U16" s="2"/>
    </row>
    <row r="17" spans="1:21" ht="22.2">
      <c r="A17" s="5">
        <v>16</v>
      </c>
      <c r="B17" s="8">
        <v>43</v>
      </c>
      <c r="C17" s="8">
        <v>11</v>
      </c>
      <c r="D17" s="15">
        <v>3</v>
      </c>
      <c r="E17" s="30"/>
      <c r="F17" s="5">
        <v>16</v>
      </c>
      <c r="G17" s="8">
        <v>43</v>
      </c>
      <c r="H17" s="8">
        <v>11</v>
      </c>
      <c r="I17" s="15">
        <v>3</v>
      </c>
      <c r="J17" s="2">
        <f t="shared" si="0"/>
        <v>348.625</v>
      </c>
      <c r="K17" s="2">
        <f t="shared" si="1"/>
        <v>106.25</v>
      </c>
      <c r="L17" s="2">
        <f t="shared" si="2"/>
        <v>16.902777777777757</v>
      </c>
      <c r="M17" s="2">
        <f t="shared" si="3"/>
        <v>16.902777777777757</v>
      </c>
      <c r="N17" s="15">
        <f t="shared" si="4"/>
        <v>3</v>
      </c>
      <c r="O17" s="2"/>
      <c r="P17" s="2"/>
      <c r="Q17" s="2"/>
      <c r="R17" s="2"/>
      <c r="S17" s="2"/>
      <c r="T17" s="2"/>
      <c r="U17" s="2"/>
    </row>
    <row r="18" spans="1:21" ht="22.2">
      <c r="A18" s="5">
        <v>17</v>
      </c>
      <c r="B18" s="8">
        <v>35</v>
      </c>
      <c r="C18" s="8">
        <v>8</v>
      </c>
      <c r="D18" s="15">
        <v>3</v>
      </c>
      <c r="E18" s="30"/>
      <c r="F18" s="5">
        <v>17</v>
      </c>
      <c r="G18" s="8">
        <v>35</v>
      </c>
      <c r="H18" s="8">
        <v>8</v>
      </c>
      <c r="I18" s="15">
        <v>3</v>
      </c>
      <c r="J18" s="2">
        <f t="shared" si="0"/>
        <v>640.125</v>
      </c>
      <c r="K18" s="2">
        <f t="shared" si="1"/>
        <v>355.25</v>
      </c>
      <c r="L18" s="2">
        <f t="shared" si="2"/>
        <v>19.736111111111132</v>
      </c>
      <c r="M18" s="2">
        <f t="shared" si="3"/>
        <v>19.736111111111132</v>
      </c>
      <c r="N18" s="15">
        <f t="shared" si="4"/>
        <v>3</v>
      </c>
      <c r="O18" s="2"/>
      <c r="P18" s="2"/>
      <c r="Q18" s="2"/>
      <c r="R18" s="2"/>
      <c r="S18" s="2"/>
      <c r="T18" s="2"/>
      <c r="U18" s="2"/>
    </row>
    <row r="19" spans="1:21" ht="22.2">
      <c r="A19" s="5">
        <v>18</v>
      </c>
      <c r="B19" s="8">
        <v>44</v>
      </c>
      <c r="C19" s="8">
        <v>10</v>
      </c>
      <c r="D19" s="15">
        <v>3</v>
      </c>
      <c r="E19" s="30"/>
      <c r="F19" s="5">
        <v>18</v>
      </c>
      <c r="G19" s="8">
        <v>44</v>
      </c>
      <c r="H19" s="8">
        <v>10</v>
      </c>
      <c r="I19" s="15">
        <v>3</v>
      </c>
      <c r="J19" s="2">
        <f t="shared" si="0"/>
        <v>300.625</v>
      </c>
      <c r="K19" s="2">
        <f t="shared" si="1"/>
        <v>97.25</v>
      </c>
      <c r="L19" s="2">
        <f t="shared" si="2"/>
        <v>24.236111111111089</v>
      </c>
      <c r="M19" s="2">
        <f t="shared" si="3"/>
        <v>24.236111111111089</v>
      </c>
      <c r="N19" s="15">
        <f t="shared" si="4"/>
        <v>3</v>
      </c>
      <c r="O19" s="2"/>
      <c r="P19" s="2"/>
      <c r="Q19" s="2"/>
      <c r="R19" s="2"/>
      <c r="S19" s="2"/>
      <c r="T19" s="2"/>
      <c r="U19" s="2"/>
    </row>
    <row r="20" spans="1:21" ht="22.2">
      <c r="A20" s="5">
        <v>19</v>
      </c>
      <c r="B20" s="8">
        <v>28</v>
      </c>
      <c r="C20" s="8">
        <v>10</v>
      </c>
      <c r="D20" s="15">
        <v>3</v>
      </c>
      <c r="E20" s="30"/>
      <c r="F20" s="5">
        <v>19</v>
      </c>
      <c r="G20" s="8">
        <v>28</v>
      </c>
      <c r="H20" s="8">
        <v>10</v>
      </c>
      <c r="I20" s="15">
        <v>3</v>
      </c>
      <c r="J20" s="2">
        <f t="shared" si="0"/>
        <v>1060.625</v>
      </c>
      <c r="K20" s="2">
        <f t="shared" si="1"/>
        <v>625.25</v>
      </c>
      <c r="L20" s="2">
        <f t="shared" si="2"/>
        <v>122.90277777777783</v>
      </c>
      <c r="M20" s="2">
        <f t="shared" si="3"/>
        <v>122.90277777777783</v>
      </c>
      <c r="N20" s="15">
        <f t="shared" si="4"/>
        <v>3</v>
      </c>
      <c r="O20" s="2"/>
      <c r="P20" s="2"/>
      <c r="Q20" s="2"/>
      <c r="R20" s="2"/>
      <c r="S20" s="2"/>
      <c r="T20" s="2"/>
      <c r="U20" s="2"/>
    </row>
    <row r="21" spans="1:21" ht="22.2">
      <c r="A21" s="5">
        <v>20</v>
      </c>
      <c r="B21" s="8">
        <v>41</v>
      </c>
      <c r="C21" s="8">
        <v>8</v>
      </c>
      <c r="D21" s="15">
        <v>3</v>
      </c>
      <c r="E21" s="30"/>
      <c r="F21" s="5">
        <v>20</v>
      </c>
      <c r="G21" s="8">
        <v>41</v>
      </c>
      <c r="H21" s="8">
        <v>8</v>
      </c>
      <c r="I21" s="15">
        <v>3</v>
      </c>
      <c r="J21" s="2">
        <f t="shared" si="0"/>
        <v>379.125</v>
      </c>
      <c r="K21" s="2">
        <f t="shared" si="1"/>
        <v>181.25</v>
      </c>
      <c r="L21" s="2">
        <f t="shared" si="2"/>
        <v>6.7361111111111018</v>
      </c>
      <c r="M21" s="2">
        <f t="shared" si="3"/>
        <v>6.7361111111111018</v>
      </c>
      <c r="N21" s="15">
        <f t="shared" si="4"/>
        <v>3</v>
      </c>
      <c r="O21" s="2"/>
      <c r="P21" s="2"/>
      <c r="Q21" s="2"/>
      <c r="R21" s="2"/>
      <c r="S21" s="2"/>
      <c r="T21" s="2"/>
      <c r="U21" s="2"/>
    </row>
    <row r="22" spans="1:21" ht="22.2">
      <c r="A22" s="2"/>
      <c r="B22" s="2"/>
      <c r="C22" s="2"/>
      <c r="D22" s="2"/>
      <c r="E22" s="30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22.2">
      <c r="A23" s="2"/>
      <c r="B23" s="2"/>
      <c r="C23" s="2"/>
      <c r="D23" s="2"/>
      <c r="E23" s="30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ht="22.2">
      <c r="A24" s="2"/>
      <c r="B24" s="2"/>
      <c r="C24" s="2"/>
      <c r="D24" s="2"/>
      <c r="E24" s="30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ht="22.2">
      <c r="A25" s="2"/>
      <c r="B25" s="2"/>
      <c r="C25" s="2"/>
      <c r="D25" s="2"/>
      <c r="E25" s="30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ht="22.2">
      <c r="A26" s="2"/>
      <c r="B26" s="2"/>
      <c r="C26" s="2"/>
      <c r="D26" s="2"/>
      <c r="E26" s="30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ht="22.2">
      <c r="A27" s="2"/>
      <c r="B27" s="2"/>
      <c r="C27" s="2"/>
      <c r="D27" s="2"/>
      <c r="E27" s="30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ht="22.2">
      <c r="A28" s="2"/>
      <c r="B28" s="2"/>
      <c r="C28" s="2"/>
      <c r="D28" s="2"/>
      <c r="E28" s="30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</sheetData>
  <sortState ref="F2:I28">
    <sortCondition ref="I2:I28"/>
  </sortState>
  <mergeCells count="1">
    <mergeCell ref="P1:S1"/>
  </mergeCells>
  <phoneticPr fontId="4" type="noConversion"/>
  <pageMargins left="0.7" right="0.7" top="0.75" bottom="0.75" header="0.3" footer="0.3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Views>
    <sheetView tabSelected="1" topLeftCell="C1" zoomScale="70" zoomScaleNormal="70" workbookViewId="0">
      <selection activeCell="I22" sqref="I22"/>
    </sheetView>
  </sheetViews>
  <sheetFormatPr defaultRowHeight="16.2"/>
  <cols>
    <col min="1" max="1" width="5.44140625" customWidth="1"/>
    <col min="2" max="2" width="9.88671875" customWidth="1"/>
    <col min="3" max="3" width="10.21875" customWidth="1"/>
    <col min="4" max="4" width="17.44140625" bestFit="1" customWidth="1"/>
    <col min="5" max="5" width="4.77734375" style="25" customWidth="1"/>
    <col min="6" max="6" width="5.44140625" customWidth="1"/>
    <col min="7" max="7" width="9.88671875" customWidth="1"/>
    <col min="8" max="8" width="10.21875" customWidth="1"/>
    <col min="9" max="9" width="27.77734375" bestFit="1" customWidth="1"/>
    <col min="10" max="13" width="18.44140625" bestFit="1" customWidth="1"/>
    <col min="14" max="14" width="17.44140625" bestFit="1" customWidth="1"/>
    <col min="16" max="16" width="14.21875" bestFit="1" customWidth="1"/>
    <col min="17" max="17" width="19.44140625" bestFit="1" customWidth="1"/>
    <col min="18" max="18" width="18.44140625" bestFit="1" customWidth="1"/>
    <col min="19" max="19" width="19.44140625" bestFit="1" customWidth="1"/>
  </cols>
  <sheetData>
    <row r="1" spans="1:23" ht="22.2">
      <c r="A1" s="3" t="s">
        <v>1</v>
      </c>
      <c r="B1" s="3" t="s">
        <v>4</v>
      </c>
      <c r="C1" s="3" t="s">
        <v>5</v>
      </c>
      <c r="D1" s="6" t="s">
        <v>21</v>
      </c>
      <c r="E1" s="24"/>
      <c r="F1" s="3" t="s">
        <v>1</v>
      </c>
      <c r="G1" s="3" t="s">
        <v>4</v>
      </c>
      <c r="H1" s="3" t="s">
        <v>5</v>
      </c>
      <c r="I1" s="50" t="s">
        <v>38</v>
      </c>
      <c r="J1" s="3" t="s">
        <v>18</v>
      </c>
      <c r="K1" s="3" t="s">
        <v>19</v>
      </c>
      <c r="L1" s="3" t="s">
        <v>20</v>
      </c>
      <c r="M1" s="3" t="s">
        <v>26</v>
      </c>
      <c r="N1" s="6" t="s">
        <v>27</v>
      </c>
      <c r="O1" s="2"/>
      <c r="P1" s="45" t="s">
        <v>34</v>
      </c>
      <c r="Q1" s="45"/>
      <c r="R1" s="45"/>
      <c r="S1" s="45"/>
      <c r="T1" s="2"/>
      <c r="U1" s="2"/>
    </row>
    <row r="2" spans="1:23" ht="22.2">
      <c r="A2" s="5">
        <v>1</v>
      </c>
      <c r="B2" s="8">
        <v>46</v>
      </c>
      <c r="C2" s="8">
        <v>6</v>
      </c>
      <c r="D2" s="15">
        <v>3</v>
      </c>
      <c r="E2" s="24"/>
      <c r="F2" s="5">
        <v>2</v>
      </c>
      <c r="G2" s="8">
        <v>63</v>
      </c>
      <c r="H2" s="8">
        <v>3</v>
      </c>
      <c r="I2" s="17">
        <v>1</v>
      </c>
      <c r="J2" s="2">
        <f>SUMXMY2($G2:$H2,$Q$3:$Q$4)</f>
        <v>3.5555555555555429</v>
      </c>
      <c r="K2" s="2">
        <f>SUMXMY2($G2:$H2,R$3:R$4)</f>
        <v>254.25</v>
      </c>
      <c r="L2" s="2">
        <f>SUMXMY2($G2:$H2,S$3:S$4)</f>
        <v>588.59171597633144</v>
      </c>
      <c r="M2" s="2">
        <f>MIN(J2:L2)</f>
        <v>3.5555555555555429</v>
      </c>
      <c r="N2" s="15">
        <f>IF(M2=J2,1,IF(M2=K2,2,3))</f>
        <v>1</v>
      </c>
      <c r="O2" s="2"/>
      <c r="P2" s="12"/>
      <c r="Q2" s="13" t="s">
        <v>9</v>
      </c>
      <c r="R2" s="14" t="s">
        <v>10</v>
      </c>
      <c r="S2" s="13" t="s">
        <v>11</v>
      </c>
      <c r="T2" s="2"/>
      <c r="U2" s="33" t="s">
        <v>28</v>
      </c>
      <c r="V2" s="34"/>
      <c r="W2" s="34"/>
    </row>
    <row r="3" spans="1:23" ht="22.2">
      <c r="A3" s="5">
        <v>2</v>
      </c>
      <c r="B3" s="8">
        <v>63</v>
      </c>
      <c r="C3" s="8">
        <v>3</v>
      </c>
      <c r="D3" s="17">
        <v>1</v>
      </c>
      <c r="E3" s="24"/>
      <c r="F3" s="5">
        <v>3</v>
      </c>
      <c r="G3" s="8">
        <v>59</v>
      </c>
      <c r="H3" s="8">
        <v>0</v>
      </c>
      <c r="I3" s="11">
        <v>1</v>
      </c>
      <c r="J3" s="2">
        <f t="shared" ref="J3:J21" si="0">SUMXMY2($G3:$H3,$Q$3:$Q$4)</f>
        <v>31.222222222222172</v>
      </c>
      <c r="K3" s="2">
        <f t="shared" ref="K3:K21" si="1">SUMXMY2($G3:$H3,R$3:R$4)</f>
        <v>267.25</v>
      </c>
      <c r="L3" s="2">
        <f t="shared" ref="L3:L21" si="2">SUMXMY2($G3:$H3,S$3:S$4)</f>
        <v>465.28402366863918</v>
      </c>
      <c r="M3" s="2">
        <f t="shared" ref="M3:M21" si="3">MIN(J3:L3)</f>
        <v>31.222222222222172</v>
      </c>
      <c r="N3" s="17">
        <f t="shared" ref="N3:N21" si="4">IF(M3=J3,1,IF(M3=K3,2,3))</f>
        <v>1</v>
      </c>
      <c r="O3" s="2"/>
      <c r="P3" s="12" t="s">
        <v>7</v>
      </c>
      <c r="Q3" s="32">
        <f>AVERAGE(G2:G4)</f>
        <v>64.333333333333329</v>
      </c>
      <c r="R3" s="12">
        <f>AVERAGE(G5:G8)</f>
        <v>52.5</v>
      </c>
      <c r="S3" s="12">
        <f>AVERAGE(G9:G21)</f>
        <v>39.615384615384613</v>
      </c>
      <c r="T3" s="2"/>
      <c r="U3" s="33" t="s">
        <v>29</v>
      </c>
      <c r="V3" s="34"/>
      <c r="W3" s="34"/>
    </row>
    <row r="4" spans="1:23" ht="22.2">
      <c r="A4" s="5">
        <v>3</v>
      </c>
      <c r="B4" s="8">
        <v>59</v>
      </c>
      <c r="C4" s="8">
        <v>0</v>
      </c>
      <c r="D4" s="11">
        <v>1</v>
      </c>
      <c r="E4" s="24"/>
      <c r="F4" s="5">
        <v>4</v>
      </c>
      <c r="G4" s="8">
        <v>71</v>
      </c>
      <c r="H4" s="8">
        <v>2</v>
      </c>
      <c r="I4" s="15">
        <v>1</v>
      </c>
      <c r="J4" s="2">
        <f t="shared" si="0"/>
        <v>44.555555555555621</v>
      </c>
      <c r="K4" s="2">
        <f t="shared" si="1"/>
        <v>511.25</v>
      </c>
      <c r="L4" s="2">
        <f t="shared" si="2"/>
        <v>1040.6686390532545</v>
      </c>
      <c r="M4" s="2">
        <f t="shared" si="3"/>
        <v>44.555555555555621</v>
      </c>
      <c r="N4" s="11">
        <f t="shared" si="4"/>
        <v>1</v>
      </c>
      <c r="O4" s="2"/>
      <c r="P4" s="12" t="s">
        <v>8</v>
      </c>
      <c r="Q4" s="13">
        <f>AVERAGE(H2:H4)</f>
        <v>1.6666666666666667</v>
      </c>
      <c r="R4" s="12">
        <f>AVERAGE(H5:H8)</f>
        <v>15</v>
      </c>
      <c r="S4" s="12">
        <f>AVERAGE(H9:H21)</f>
        <v>9.4615384615384617</v>
      </c>
      <c r="T4" s="2"/>
      <c r="U4" s="33" t="s">
        <v>30</v>
      </c>
      <c r="V4" s="34"/>
      <c r="W4" s="34"/>
    </row>
    <row r="5" spans="1:23" ht="22.2">
      <c r="A5" s="5">
        <v>4</v>
      </c>
      <c r="B5" s="8">
        <v>71</v>
      </c>
      <c r="C5" s="8">
        <v>2</v>
      </c>
      <c r="D5" s="15">
        <v>1</v>
      </c>
      <c r="E5" s="24"/>
      <c r="F5" s="5">
        <v>5</v>
      </c>
      <c r="G5" s="8">
        <v>49</v>
      </c>
      <c r="H5" s="8">
        <v>11</v>
      </c>
      <c r="I5" s="11">
        <v>2</v>
      </c>
      <c r="J5" s="2">
        <f t="shared" si="0"/>
        <v>322.22222222222211</v>
      </c>
      <c r="K5" s="2">
        <f t="shared" si="1"/>
        <v>28.25</v>
      </c>
      <c r="L5" s="2">
        <f t="shared" si="2"/>
        <v>90.437869822485254</v>
      </c>
      <c r="M5" s="2">
        <f t="shared" si="3"/>
        <v>28.25</v>
      </c>
      <c r="N5" s="15">
        <f t="shared" si="4"/>
        <v>2</v>
      </c>
      <c r="O5" s="2"/>
      <c r="P5" s="12"/>
      <c r="Q5" s="21"/>
      <c r="R5" s="21"/>
      <c r="S5" s="21"/>
      <c r="T5" s="2"/>
      <c r="U5" s="2"/>
    </row>
    <row r="6" spans="1:23" ht="22.2">
      <c r="A6" s="5">
        <v>5</v>
      </c>
      <c r="B6" s="8">
        <v>49</v>
      </c>
      <c r="C6" s="8">
        <v>11</v>
      </c>
      <c r="D6" s="11">
        <v>2</v>
      </c>
      <c r="E6" s="24"/>
      <c r="F6" s="5">
        <v>6</v>
      </c>
      <c r="G6" s="8">
        <v>55</v>
      </c>
      <c r="H6" s="8">
        <v>18</v>
      </c>
      <c r="I6" s="17">
        <v>2</v>
      </c>
      <c r="J6" s="2">
        <f t="shared" si="0"/>
        <v>353.88888888888874</v>
      </c>
      <c r="K6" s="2">
        <f t="shared" si="1"/>
        <v>15.25</v>
      </c>
      <c r="L6" s="2">
        <f t="shared" si="2"/>
        <v>309.59171597633144</v>
      </c>
      <c r="M6" s="2">
        <f t="shared" si="3"/>
        <v>15.25</v>
      </c>
      <c r="N6" s="11">
        <f t="shared" si="4"/>
        <v>2</v>
      </c>
      <c r="O6" s="2"/>
      <c r="P6" s="2"/>
      <c r="Q6" s="2"/>
      <c r="R6" s="2"/>
      <c r="S6" s="2"/>
      <c r="T6" s="2"/>
      <c r="U6" s="2"/>
    </row>
    <row r="7" spans="1:23" ht="22.2">
      <c r="A7" s="5">
        <v>6</v>
      </c>
      <c r="B7" s="8">
        <v>55</v>
      </c>
      <c r="C7" s="8">
        <v>18</v>
      </c>
      <c r="D7" s="17">
        <v>2</v>
      </c>
      <c r="E7" s="24"/>
      <c r="F7" s="5">
        <v>7</v>
      </c>
      <c r="G7" s="8">
        <v>57</v>
      </c>
      <c r="H7" s="8">
        <v>14</v>
      </c>
      <c r="I7" s="15">
        <v>2</v>
      </c>
      <c r="J7" s="2">
        <f t="shared" si="0"/>
        <v>205.88888888888883</v>
      </c>
      <c r="K7" s="2">
        <f t="shared" si="1"/>
        <v>21.25</v>
      </c>
      <c r="L7" s="2">
        <f t="shared" si="2"/>
        <v>322.82248520710067</v>
      </c>
      <c r="M7" s="2">
        <f t="shared" si="3"/>
        <v>21.25</v>
      </c>
      <c r="N7" s="17">
        <f t="shared" si="4"/>
        <v>2</v>
      </c>
      <c r="O7" s="2"/>
      <c r="P7" s="2"/>
      <c r="Q7" s="2"/>
      <c r="R7" s="2"/>
      <c r="S7" s="2"/>
      <c r="T7" s="2"/>
      <c r="U7" s="2"/>
    </row>
    <row r="8" spans="1:23" ht="22.2">
      <c r="A8" s="5">
        <v>7</v>
      </c>
      <c r="B8" s="8">
        <v>57</v>
      </c>
      <c r="C8" s="8">
        <v>14</v>
      </c>
      <c r="D8" s="15">
        <v>2</v>
      </c>
      <c r="E8" s="24"/>
      <c r="F8" s="5">
        <v>8</v>
      </c>
      <c r="G8" s="8">
        <v>49</v>
      </c>
      <c r="H8" s="8">
        <v>17</v>
      </c>
      <c r="I8" s="11">
        <v>2</v>
      </c>
      <c r="J8" s="2">
        <f t="shared" si="0"/>
        <v>470.22222222222211</v>
      </c>
      <c r="K8" s="2">
        <f t="shared" si="1"/>
        <v>16.25</v>
      </c>
      <c r="L8" s="2">
        <f t="shared" si="2"/>
        <v>144.89940828402371</v>
      </c>
      <c r="M8" s="2">
        <f t="shared" si="3"/>
        <v>16.25</v>
      </c>
      <c r="N8" s="15">
        <f t="shared" si="4"/>
        <v>2</v>
      </c>
      <c r="O8" s="2"/>
      <c r="P8" s="2"/>
      <c r="Q8" s="2"/>
      <c r="R8" s="2"/>
      <c r="S8" s="2"/>
      <c r="T8" s="2"/>
      <c r="U8" s="2"/>
    </row>
    <row r="9" spans="1:23" ht="22.2">
      <c r="A9" s="5">
        <v>8</v>
      </c>
      <c r="B9" s="8">
        <v>49</v>
      </c>
      <c r="C9" s="8">
        <v>17</v>
      </c>
      <c r="D9" s="11">
        <v>2</v>
      </c>
      <c r="E9" s="24"/>
      <c r="F9" s="5">
        <v>1</v>
      </c>
      <c r="G9" s="8">
        <v>46</v>
      </c>
      <c r="H9" s="8">
        <v>6</v>
      </c>
      <c r="I9" s="15">
        <v>3</v>
      </c>
      <c r="J9" s="2">
        <f t="shared" si="0"/>
        <v>354.88888888888869</v>
      </c>
      <c r="K9" s="2">
        <f t="shared" si="1"/>
        <v>123.25</v>
      </c>
      <c r="L9" s="2">
        <f t="shared" si="2"/>
        <v>52.745562130177539</v>
      </c>
      <c r="M9" s="2">
        <f t="shared" si="3"/>
        <v>52.745562130177539</v>
      </c>
      <c r="N9" s="11">
        <f t="shared" si="4"/>
        <v>3</v>
      </c>
      <c r="O9" s="2"/>
      <c r="P9" s="2"/>
      <c r="Q9" s="2"/>
      <c r="R9" s="2"/>
      <c r="S9" s="2"/>
      <c r="T9" s="2"/>
      <c r="U9" s="2"/>
    </row>
    <row r="10" spans="1:23" ht="22.2">
      <c r="A10" s="5">
        <v>9</v>
      </c>
      <c r="B10" s="8">
        <v>45</v>
      </c>
      <c r="C10" s="8">
        <v>10</v>
      </c>
      <c r="D10" s="15">
        <v>3</v>
      </c>
      <c r="E10" s="24"/>
      <c r="F10" s="5">
        <v>9</v>
      </c>
      <c r="G10" s="8">
        <v>45</v>
      </c>
      <c r="H10" s="8">
        <v>10</v>
      </c>
      <c r="I10" s="15">
        <v>3</v>
      </c>
      <c r="J10" s="2">
        <f t="shared" si="0"/>
        <v>443.22222222222206</v>
      </c>
      <c r="K10" s="2">
        <f t="shared" si="1"/>
        <v>81.25</v>
      </c>
      <c r="L10" s="2">
        <f t="shared" si="2"/>
        <v>29.284023668639076</v>
      </c>
      <c r="M10" s="2">
        <f t="shared" si="3"/>
        <v>29.284023668639076</v>
      </c>
      <c r="N10" s="15">
        <f t="shared" si="4"/>
        <v>3</v>
      </c>
      <c r="O10" s="2"/>
      <c r="P10" s="2"/>
      <c r="Q10" s="2"/>
      <c r="R10" s="2"/>
      <c r="S10" s="2"/>
      <c r="T10" s="2"/>
      <c r="U10" s="2"/>
    </row>
    <row r="11" spans="1:23" ht="22.2">
      <c r="A11" s="5">
        <v>10</v>
      </c>
      <c r="B11" s="8">
        <v>46</v>
      </c>
      <c r="C11" s="8">
        <v>10</v>
      </c>
      <c r="D11" s="15">
        <v>3</v>
      </c>
      <c r="E11" s="24"/>
      <c r="F11" s="5">
        <v>10</v>
      </c>
      <c r="G11" s="8">
        <v>46</v>
      </c>
      <c r="H11" s="8">
        <v>10</v>
      </c>
      <c r="I11" s="15">
        <v>3</v>
      </c>
      <c r="J11" s="2">
        <f t="shared" si="0"/>
        <v>405.55555555555537</v>
      </c>
      <c r="K11" s="2">
        <f t="shared" si="1"/>
        <v>67.25</v>
      </c>
      <c r="L11" s="2">
        <f t="shared" si="2"/>
        <v>41.053254437869846</v>
      </c>
      <c r="M11" s="2">
        <f t="shared" si="3"/>
        <v>41.053254437869846</v>
      </c>
      <c r="N11" s="15">
        <f t="shared" si="4"/>
        <v>3</v>
      </c>
      <c r="O11" s="2"/>
      <c r="P11" s="2"/>
      <c r="Q11" s="2"/>
      <c r="R11" s="2"/>
      <c r="S11" s="2"/>
      <c r="T11" s="2"/>
      <c r="U11" s="2"/>
    </row>
    <row r="12" spans="1:23" ht="22.2">
      <c r="A12" s="5">
        <v>11</v>
      </c>
      <c r="B12" s="8">
        <v>40</v>
      </c>
      <c r="C12" s="8">
        <v>5</v>
      </c>
      <c r="D12" s="17">
        <v>3</v>
      </c>
      <c r="E12" s="24"/>
      <c r="F12" s="5">
        <v>11</v>
      </c>
      <c r="G12" s="8">
        <v>40</v>
      </c>
      <c r="H12" s="8">
        <v>5</v>
      </c>
      <c r="I12" s="17">
        <v>3</v>
      </c>
      <c r="J12" s="2">
        <f t="shared" si="0"/>
        <v>603.22222222222194</v>
      </c>
      <c r="K12" s="2">
        <f t="shared" si="1"/>
        <v>256.25</v>
      </c>
      <c r="L12" s="2">
        <f t="shared" si="2"/>
        <v>20.053254437869825</v>
      </c>
      <c r="M12" s="2">
        <f t="shared" si="3"/>
        <v>20.053254437869825</v>
      </c>
      <c r="N12" s="17">
        <f t="shared" si="4"/>
        <v>3</v>
      </c>
      <c r="O12" s="2"/>
      <c r="P12" s="2"/>
      <c r="Q12" s="2"/>
      <c r="R12" s="2"/>
      <c r="S12" s="2"/>
      <c r="T12" s="2"/>
      <c r="U12" s="2"/>
    </row>
    <row r="13" spans="1:23" ht="22.2">
      <c r="A13" s="5">
        <v>12</v>
      </c>
      <c r="B13" s="8">
        <v>44</v>
      </c>
      <c r="C13" s="8">
        <v>14</v>
      </c>
      <c r="D13" s="15">
        <v>3</v>
      </c>
      <c r="E13" s="24"/>
      <c r="F13" s="5">
        <v>12</v>
      </c>
      <c r="G13" s="8">
        <v>44</v>
      </c>
      <c r="H13" s="8">
        <v>14</v>
      </c>
      <c r="I13" s="15">
        <v>3</v>
      </c>
      <c r="J13" s="2">
        <f t="shared" si="0"/>
        <v>565.55555555555532</v>
      </c>
      <c r="K13" s="2">
        <f t="shared" si="1"/>
        <v>73.25</v>
      </c>
      <c r="L13" s="2">
        <f t="shared" si="2"/>
        <v>39.822485207100613</v>
      </c>
      <c r="M13" s="2">
        <f t="shared" si="3"/>
        <v>39.822485207100613</v>
      </c>
      <c r="N13" s="15">
        <f t="shared" si="4"/>
        <v>3</v>
      </c>
      <c r="O13" s="2"/>
      <c r="P13" s="2"/>
      <c r="Q13" s="2"/>
      <c r="R13" s="2"/>
      <c r="S13" s="2"/>
      <c r="T13" s="2"/>
      <c r="U13" s="2"/>
    </row>
    <row r="14" spans="1:23" ht="22.2">
      <c r="A14" s="5">
        <v>13</v>
      </c>
      <c r="B14" s="8">
        <v>22</v>
      </c>
      <c r="C14" s="8">
        <v>13</v>
      </c>
      <c r="D14" s="15">
        <v>3</v>
      </c>
      <c r="E14" s="24"/>
      <c r="F14" s="5">
        <v>13</v>
      </c>
      <c r="G14" s="8">
        <v>22</v>
      </c>
      <c r="H14" s="8">
        <v>13</v>
      </c>
      <c r="I14" s="15">
        <v>3</v>
      </c>
      <c r="J14" s="2">
        <f t="shared" si="0"/>
        <v>1920.5555555555552</v>
      </c>
      <c r="K14" s="2">
        <f t="shared" si="1"/>
        <v>934.25</v>
      </c>
      <c r="L14" s="2">
        <f t="shared" si="2"/>
        <v>322.82248520710056</v>
      </c>
      <c r="M14" s="2">
        <f t="shared" si="3"/>
        <v>322.82248520710056</v>
      </c>
      <c r="N14" s="15">
        <f t="shared" si="4"/>
        <v>3</v>
      </c>
      <c r="O14" s="2"/>
      <c r="P14" s="2"/>
      <c r="Q14" s="2"/>
      <c r="R14" s="2"/>
      <c r="S14" s="2"/>
      <c r="T14" s="2"/>
      <c r="U14" s="2"/>
    </row>
    <row r="15" spans="1:23" ht="22.2">
      <c r="A15" s="5">
        <v>14</v>
      </c>
      <c r="B15" s="8">
        <v>38</v>
      </c>
      <c r="C15" s="8">
        <v>10</v>
      </c>
      <c r="D15" s="17">
        <v>3</v>
      </c>
      <c r="E15" s="24"/>
      <c r="F15" s="5">
        <v>14</v>
      </c>
      <c r="G15" s="8">
        <v>38</v>
      </c>
      <c r="H15" s="8">
        <v>10</v>
      </c>
      <c r="I15" s="17">
        <v>3</v>
      </c>
      <c r="J15" s="2">
        <f t="shared" si="0"/>
        <v>762.88888888888869</v>
      </c>
      <c r="K15" s="2">
        <f t="shared" si="1"/>
        <v>235.25</v>
      </c>
      <c r="L15" s="2">
        <f t="shared" si="2"/>
        <v>2.8994082840236617</v>
      </c>
      <c r="M15" s="2">
        <f t="shared" si="3"/>
        <v>2.8994082840236617</v>
      </c>
      <c r="N15" s="17">
        <f t="shared" si="4"/>
        <v>3</v>
      </c>
      <c r="O15" s="2"/>
      <c r="P15" s="2"/>
      <c r="Q15" s="2"/>
      <c r="R15" s="2"/>
      <c r="S15" s="2"/>
      <c r="T15" s="2"/>
      <c r="U15" s="2"/>
    </row>
    <row r="16" spans="1:23" ht="22.2">
      <c r="A16" s="5">
        <v>15</v>
      </c>
      <c r="B16" s="8">
        <v>43</v>
      </c>
      <c r="C16" s="8">
        <v>8</v>
      </c>
      <c r="D16" s="17">
        <v>3</v>
      </c>
      <c r="E16" s="24"/>
      <c r="F16" s="5">
        <v>15</v>
      </c>
      <c r="G16" s="8">
        <v>43</v>
      </c>
      <c r="H16" s="8">
        <v>8</v>
      </c>
      <c r="I16" s="17">
        <v>3</v>
      </c>
      <c r="J16" s="2">
        <f t="shared" si="0"/>
        <v>495.222222222222</v>
      </c>
      <c r="K16" s="2">
        <f t="shared" si="1"/>
        <v>139.25</v>
      </c>
      <c r="L16" s="2">
        <f t="shared" si="2"/>
        <v>13.591715976331376</v>
      </c>
      <c r="M16" s="2">
        <f t="shared" si="3"/>
        <v>13.591715976331376</v>
      </c>
      <c r="N16" s="17">
        <f t="shared" si="4"/>
        <v>3</v>
      </c>
      <c r="O16" s="2"/>
      <c r="P16" s="2"/>
      <c r="Q16" s="2"/>
      <c r="R16" s="2"/>
      <c r="S16" s="2"/>
      <c r="T16" s="2"/>
      <c r="U16" s="2"/>
    </row>
    <row r="17" spans="1:21" ht="22.2">
      <c r="A17" s="5">
        <v>16</v>
      </c>
      <c r="B17" s="8">
        <v>43</v>
      </c>
      <c r="C17" s="8">
        <v>11</v>
      </c>
      <c r="D17" s="15">
        <v>3</v>
      </c>
      <c r="E17" s="24"/>
      <c r="F17" s="5">
        <v>16</v>
      </c>
      <c r="G17" s="8">
        <v>43</v>
      </c>
      <c r="H17" s="8">
        <v>11</v>
      </c>
      <c r="I17" s="15">
        <v>3</v>
      </c>
      <c r="J17" s="2">
        <f t="shared" si="0"/>
        <v>542.22222222222206</v>
      </c>
      <c r="K17" s="2">
        <f t="shared" si="1"/>
        <v>106.25</v>
      </c>
      <c r="L17" s="2">
        <f t="shared" si="2"/>
        <v>13.822485207100605</v>
      </c>
      <c r="M17" s="2">
        <f t="shared" si="3"/>
        <v>13.822485207100605</v>
      </c>
      <c r="N17" s="15">
        <f t="shared" si="4"/>
        <v>3</v>
      </c>
      <c r="O17" s="2"/>
      <c r="P17" s="2"/>
      <c r="Q17" s="2"/>
      <c r="R17" s="2"/>
      <c r="S17" s="2"/>
      <c r="T17" s="2"/>
      <c r="U17" s="2"/>
    </row>
    <row r="18" spans="1:21" ht="22.2">
      <c r="A18" s="5">
        <v>17</v>
      </c>
      <c r="B18" s="8">
        <v>35</v>
      </c>
      <c r="C18" s="8">
        <v>8</v>
      </c>
      <c r="D18" s="15">
        <v>3</v>
      </c>
      <c r="E18" s="24"/>
      <c r="F18" s="5">
        <v>17</v>
      </c>
      <c r="G18" s="8">
        <v>35</v>
      </c>
      <c r="H18" s="8">
        <v>8</v>
      </c>
      <c r="I18" s="15">
        <v>3</v>
      </c>
      <c r="J18" s="2">
        <f t="shared" si="0"/>
        <v>900.5555555555552</v>
      </c>
      <c r="K18" s="2">
        <f t="shared" si="1"/>
        <v>355.25</v>
      </c>
      <c r="L18" s="2">
        <f t="shared" si="2"/>
        <v>23.43786982248519</v>
      </c>
      <c r="M18" s="2">
        <f t="shared" si="3"/>
        <v>23.43786982248519</v>
      </c>
      <c r="N18" s="15">
        <f t="shared" si="4"/>
        <v>3</v>
      </c>
      <c r="O18" s="2"/>
      <c r="P18" s="2"/>
      <c r="Q18" s="2"/>
      <c r="R18" s="2"/>
      <c r="S18" s="2"/>
      <c r="T18" s="2"/>
      <c r="U18" s="2"/>
    </row>
    <row r="19" spans="1:21" ht="22.2">
      <c r="A19" s="5">
        <v>18</v>
      </c>
      <c r="B19" s="8">
        <v>44</v>
      </c>
      <c r="C19" s="8">
        <v>10</v>
      </c>
      <c r="D19" s="15">
        <v>3</v>
      </c>
      <c r="E19" s="24"/>
      <c r="F19" s="5">
        <v>18</v>
      </c>
      <c r="G19" s="8">
        <v>44</v>
      </c>
      <c r="H19" s="8">
        <v>10</v>
      </c>
      <c r="I19" s="15">
        <v>3</v>
      </c>
      <c r="J19" s="2">
        <f t="shared" si="0"/>
        <v>482.88888888888869</v>
      </c>
      <c r="K19" s="2">
        <f t="shared" si="1"/>
        <v>97.25</v>
      </c>
      <c r="L19" s="2">
        <f t="shared" si="2"/>
        <v>19.514792899408302</v>
      </c>
      <c r="M19" s="2">
        <f t="shared" si="3"/>
        <v>19.514792899408302</v>
      </c>
      <c r="N19" s="15">
        <f t="shared" si="4"/>
        <v>3</v>
      </c>
      <c r="O19" s="2"/>
      <c r="P19" s="2"/>
      <c r="Q19" s="2"/>
      <c r="R19" s="2"/>
      <c r="S19" s="2"/>
      <c r="T19" s="2"/>
      <c r="U19" s="2"/>
    </row>
    <row r="20" spans="1:21" ht="22.2">
      <c r="A20" s="5">
        <v>19</v>
      </c>
      <c r="B20" s="8">
        <v>28</v>
      </c>
      <c r="C20" s="8">
        <v>10</v>
      </c>
      <c r="D20" s="15">
        <v>3</v>
      </c>
      <c r="E20" s="24"/>
      <c r="F20" s="5">
        <v>19</v>
      </c>
      <c r="G20" s="8">
        <v>28</v>
      </c>
      <c r="H20" s="8">
        <v>10</v>
      </c>
      <c r="I20" s="15">
        <v>3</v>
      </c>
      <c r="J20" s="2">
        <f t="shared" si="0"/>
        <v>1389.5555555555552</v>
      </c>
      <c r="K20" s="2">
        <f t="shared" si="1"/>
        <v>625.25</v>
      </c>
      <c r="L20" s="2">
        <f t="shared" si="2"/>
        <v>135.20710059171591</v>
      </c>
      <c r="M20" s="2">
        <f t="shared" si="3"/>
        <v>135.20710059171591</v>
      </c>
      <c r="N20" s="15">
        <f t="shared" si="4"/>
        <v>3</v>
      </c>
      <c r="O20" s="2"/>
      <c r="P20" s="2"/>
      <c r="Q20" s="2"/>
      <c r="R20" s="2"/>
      <c r="S20" s="2"/>
      <c r="T20" s="2"/>
      <c r="U20" s="2"/>
    </row>
    <row r="21" spans="1:21" ht="22.2">
      <c r="A21" s="5">
        <v>20</v>
      </c>
      <c r="B21" s="8">
        <v>41</v>
      </c>
      <c r="C21" s="8">
        <v>8</v>
      </c>
      <c r="D21" s="15">
        <v>3</v>
      </c>
      <c r="E21" s="24"/>
      <c r="F21" s="5">
        <v>20</v>
      </c>
      <c r="G21" s="8">
        <v>41</v>
      </c>
      <c r="H21" s="8">
        <v>8</v>
      </c>
      <c r="I21" s="15">
        <v>3</v>
      </c>
      <c r="J21" s="2">
        <f t="shared" si="0"/>
        <v>584.55555555555532</v>
      </c>
      <c r="K21" s="2">
        <f t="shared" si="1"/>
        <v>181.25</v>
      </c>
      <c r="L21" s="2">
        <f t="shared" si="2"/>
        <v>4.0532544378698292</v>
      </c>
      <c r="M21" s="2">
        <f t="shared" si="3"/>
        <v>4.0532544378698292</v>
      </c>
      <c r="N21" s="15">
        <f t="shared" si="4"/>
        <v>3</v>
      </c>
      <c r="O21" s="2"/>
      <c r="P21" s="2"/>
      <c r="Q21" s="2"/>
      <c r="R21" s="2"/>
      <c r="S21" s="2"/>
      <c r="T21" s="2"/>
      <c r="U21" s="2"/>
    </row>
    <row r="22" spans="1:21" ht="22.2">
      <c r="A22" s="2"/>
      <c r="B22" s="2"/>
      <c r="C22" s="2"/>
      <c r="D22" s="2"/>
      <c r="E22" s="2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22.2">
      <c r="A23" s="2"/>
      <c r="B23" s="2"/>
      <c r="C23" s="2"/>
      <c r="D23" s="2"/>
      <c r="E23" s="2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ht="22.2">
      <c r="A24" s="2"/>
      <c r="B24" s="2"/>
      <c r="C24" s="2"/>
      <c r="D24" s="2"/>
      <c r="E24" s="2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ht="22.2">
      <c r="A25" s="2"/>
      <c r="B25" s="2"/>
      <c r="C25" s="2"/>
      <c r="D25" s="2"/>
      <c r="E25" s="2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ht="22.2">
      <c r="A26" s="2"/>
      <c r="B26" s="2"/>
      <c r="C26" s="2"/>
      <c r="D26" s="2"/>
      <c r="E26" s="2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</sheetData>
  <sortState ref="F2:I26">
    <sortCondition ref="I2:I26"/>
  </sortState>
  <mergeCells count="1">
    <mergeCell ref="P1:S1"/>
  </mergeCells>
  <phoneticPr fontId="4" type="noConversion"/>
  <pageMargins left="0.7" right="0.7" top="0.75" bottom="0.75" header="0.3" footer="0.3"/>
  <pageSetup paperSize="9" scale="4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工作表1</vt:lpstr>
      <vt:lpstr>工作表2</vt:lpstr>
      <vt:lpstr>工作表3</vt:lpstr>
      <vt:lpstr>工作表4</vt:lpstr>
      <vt:lpstr>工作表5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2021-10-14T09:56:49Z</cp:lastPrinted>
  <dcterms:created xsi:type="dcterms:W3CDTF">2021-10-01T08:13:38Z</dcterms:created>
  <dcterms:modified xsi:type="dcterms:W3CDTF">2025-09-23T08:28:54Z</dcterms:modified>
</cp:coreProperties>
</file>