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期中考期末考\"/>
    </mc:Choice>
  </mc:AlternateContent>
  <bookViews>
    <workbookView xWindow="0" yWindow="0" windowWidth="23040" windowHeight="9720" tabRatio="893" firstSheet="1" activeTab="6"/>
  </bookViews>
  <sheets>
    <sheet name="題目1-分群分析(K-means的方法)" sheetId="1" r:id="rId1"/>
    <sheet name="題目1-K-means(1)" sheetId="2" r:id="rId2"/>
    <sheet name="題目1-K-means(2)" sheetId="3" r:id="rId3"/>
    <sheet name="題目1-K-means(3)" sheetId="4" r:id="rId4"/>
    <sheet name="題目1-K-means-Outcome" sheetId="8" r:id="rId5"/>
    <sheet name="題目2-分類分析-KNN的方法" sheetId="5" r:id="rId6"/>
    <sheet name="題目2-分類分析-KNN-Outcome" sheetId="6" r:id="rId7"/>
    <sheet name="題目3&amp;4申論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6" l="1"/>
  <c r="F2" i="6"/>
  <c r="F21" i="6" l="1"/>
  <c r="G21" i="6"/>
  <c r="H21" i="6"/>
  <c r="I21" i="6"/>
  <c r="J21" i="6"/>
  <c r="K21" i="6"/>
  <c r="L21" i="6"/>
  <c r="E21" i="6"/>
  <c r="L5" i="6"/>
  <c r="L6" i="6"/>
  <c r="L7" i="6"/>
  <c r="L8" i="6"/>
  <c r="L9" i="6"/>
  <c r="L10" i="6"/>
  <c r="L11" i="6"/>
  <c r="K11" i="6"/>
  <c r="K5" i="6"/>
  <c r="K6" i="6"/>
  <c r="K7" i="6"/>
  <c r="K8" i="6"/>
  <c r="K9" i="6"/>
  <c r="K10" i="6"/>
  <c r="J5" i="6"/>
  <c r="J6" i="6"/>
  <c r="J7" i="6"/>
  <c r="J8" i="6"/>
  <c r="J9" i="6"/>
  <c r="J10" i="6"/>
  <c r="J11" i="6"/>
  <c r="I11" i="6"/>
  <c r="I5" i="6"/>
  <c r="I6" i="6"/>
  <c r="I7" i="6"/>
  <c r="I8" i="6"/>
  <c r="I9" i="6"/>
  <c r="I10" i="6"/>
  <c r="H5" i="6"/>
  <c r="H6" i="6"/>
  <c r="H7" i="6"/>
  <c r="H8" i="6"/>
  <c r="H9" i="6"/>
  <c r="H10" i="6"/>
  <c r="H11" i="6"/>
  <c r="G5" i="6"/>
  <c r="G6" i="6"/>
  <c r="G7" i="6"/>
  <c r="G8" i="6"/>
  <c r="G9" i="6"/>
  <c r="G10" i="6"/>
  <c r="G11" i="6"/>
  <c r="F5" i="6"/>
  <c r="F6" i="6"/>
  <c r="F7" i="6"/>
  <c r="F8" i="6"/>
  <c r="F9" i="6"/>
  <c r="F10" i="6"/>
  <c r="F11" i="6"/>
  <c r="F4" i="6"/>
  <c r="F19" i="6" s="1"/>
  <c r="G4" i="6"/>
  <c r="G19" i="6" s="1"/>
  <c r="H4" i="6"/>
  <c r="H19" i="6" s="1"/>
  <c r="I4" i="6"/>
  <c r="I19" i="6" s="1"/>
  <c r="J4" i="6"/>
  <c r="J19" i="6" s="1"/>
  <c r="K4" i="6"/>
  <c r="K19" i="6" s="1"/>
  <c r="L4" i="6"/>
  <c r="L19" i="6" s="1"/>
  <c r="E5" i="6"/>
  <c r="E6" i="6"/>
  <c r="E7" i="6"/>
  <c r="E8" i="6"/>
  <c r="E9" i="6"/>
  <c r="E10" i="6"/>
  <c r="E11" i="6"/>
  <c r="E4" i="6"/>
  <c r="E19" i="6" s="1"/>
  <c r="C9" i="5"/>
  <c r="I15" i="5" s="1"/>
  <c r="B9" i="5"/>
  <c r="H21" i="5" s="1"/>
  <c r="C8" i="5"/>
  <c r="I12" i="5" s="1"/>
  <c r="B8" i="5"/>
  <c r="H16" i="5" s="1"/>
  <c r="J5" i="8"/>
  <c r="K5" i="8"/>
  <c r="I5" i="8"/>
  <c r="J4" i="8"/>
  <c r="K4" i="8"/>
  <c r="I4" i="8"/>
  <c r="E3" i="8"/>
  <c r="E4" i="8"/>
  <c r="E5" i="8"/>
  <c r="E6" i="8"/>
  <c r="E7" i="8"/>
  <c r="E8" i="8"/>
  <c r="E9" i="8"/>
  <c r="E2" i="8"/>
  <c r="D3" i="8"/>
  <c r="D4" i="8"/>
  <c r="D5" i="8"/>
  <c r="D6" i="8"/>
  <c r="D7" i="8"/>
  <c r="D8" i="8"/>
  <c r="D9" i="8"/>
  <c r="D2" i="8"/>
  <c r="G3" i="4"/>
  <c r="G6" i="4"/>
  <c r="F3" i="4"/>
  <c r="F4" i="4"/>
  <c r="F5" i="4"/>
  <c r="F6" i="4"/>
  <c r="F7" i="4"/>
  <c r="F8" i="4"/>
  <c r="O3" i="4"/>
  <c r="O2" i="4"/>
  <c r="G9" i="4" s="1"/>
  <c r="N3" i="4"/>
  <c r="N2" i="4"/>
  <c r="F9" i="4" s="1"/>
  <c r="M3" i="4"/>
  <c r="M2" i="4"/>
  <c r="E3" i="4" s="1"/>
  <c r="H3" i="4" s="1"/>
  <c r="I3" i="4" s="1"/>
  <c r="O3" i="3"/>
  <c r="G4" i="3" s="1"/>
  <c r="G3" i="3"/>
  <c r="G6" i="3"/>
  <c r="E2" i="3"/>
  <c r="O2" i="3"/>
  <c r="G7" i="3" s="1"/>
  <c r="N3" i="3"/>
  <c r="N2" i="3"/>
  <c r="F3" i="3" s="1"/>
  <c r="M3" i="3"/>
  <c r="M2" i="3"/>
  <c r="E8" i="3" s="1"/>
  <c r="G5" i="2"/>
  <c r="O3" i="2"/>
  <c r="O2" i="2"/>
  <c r="N3" i="2"/>
  <c r="N2" i="2"/>
  <c r="F3" i="2" s="1"/>
  <c r="M3" i="2"/>
  <c r="M2" i="2"/>
  <c r="E4" i="2" s="1"/>
  <c r="C14" i="1"/>
  <c r="B14" i="1"/>
  <c r="C13" i="1"/>
  <c r="B13" i="1"/>
  <c r="C12" i="1"/>
  <c r="G22" i="1" s="1"/>
  <c r="B12" i="1"/>
  <c r="C11" i="1"/>
  <c r="B11" i="1"/>
  <c r="G17" i="1" l="1"/>
  <c r="F17" i="1"/>
  <c r="F2" i="3"/>
  <c r="I14" i="5"/>
  <c r="H17" i="5"/>
  <c r="E7" i="3"/>
  <c r="H7" i="3" s="1"/>
  <c r="I7" i="3" s="1"/>
  <c r="G8" i="4"/>
  <c r="H15" i="5"/>
  <c r="E6" i="3"/>
  <c r="H6" i="3" s="1"/>
  <c r="I6" i="3" s="1"/>
  <c r="G7" i="4"/>
  <c r="H14" i="5"/>
  <c r="E2" i="4"/>
  <c r="H13" i="5"/>
  <c r="F6" i="2"/>
  <c r="E4" i="3"/>
  <c r="H4" i="3" s="1"/>
  <c r="I4" i="3" s="1"/>
  <c r="G2" i="4"/>
  <c r="G5" i="4"/>
  <c r="H12" i="5"/>
  <c r="F16" i="1"/>
  <c r="G6" i="2"/>
  <c r="E3" i="3"/>
  <c r="F2" i="4"/>
  <c r="G4" i="4"/>
  <c r="I11" i="5"/>
  <c r="I16" i="5"/>
  <c r="G20" i="1"/>
  <c r="H19" i="5"/>
  <c r="G19" i="1"/>
  <c r="G18" i="1"/>
  <c r="F9" i="3"/>
  <c r="E9" i="4"/>
  <c r="H9" i="4" s="1"/>
  <c r="I9" i="4" s="1"/>
  <c r="I26" i="5"/>
  <c r="I25" i="5"/>
  <c r="I13" i="5"/>
  <c r="H18" i="5"/>
  <c r="E9" i="3"/>
  <c r="E5" i="3"/>
  <c r="F23" i="1"/>
  <c r="F22" i="1"/>
  <c r="F2" i="2"/>
  <c r="F8" i="3"/>
  <c r="E8" i="4"/>
  <c r="F21" i="1"/>
  <c r="E7" i="2"/>
  <c r="F7" i="3"/>
  <c r="E7" i="4"/>
  <c r="H7" i="4" s="1"/>
  <c r="I7" i="4" s="1"/>
  <c r="F20" i="1"/>
  <c r="E3" i="2"/>
  <c r="F6" i="3"/>
  <c r="E6" i="4"/>
  <c r="H6" i="4" s="1"/>
  <c r="I6" i="4" s="1"/>
  <c r="H11" i="5"/>
  <c r="I23" i="5"/>
  <c r="I24" i="5"/>
  <c r="F19" i="1"/>
  <c r="G9" i="2"/>
  <c r="F5" i="3"/>
  <c r="E5" i="4"/>
  <c r="H5" i="4" s="1"/>
  <c r="I5" i="4" s="1"/>
  <c r="H26" i="5"/>
  <c r="I22" i="5"/>
  <c r="G23" i="1"/>
  <c r="G21" i="1"/>
  <c r="H20" i="5"/>
  <c r="F18" i="1"/>
  <c r="F4" i="3"/>
  <c r="H3" i="3"/>
  <c r="I3" i="3" s="1"/>
  <c r="E4" i="4"/>
  <c r="H4" i="4" s="1"/>
  <c r="I4" i="4" s="1"/>
  <c r="H25" i="5"/>
  <c r="I21" i="5"/>
  <c r="H24" i="5"/>
  <c r="I20" i="5"/>
  <c r="G16" i="1"/>
  <c r="H23" i="5"/>
  <c r="I19" i="5"/>
  <c r="H22" i="5"/>
  <c r="I18" i="5"/>
  <c r="I17" i="5"/>
  <c r="H4" i="2"/>
  <c r="I4" i="2" s="1"/>
  <c r="H7" i="2"/>
  <c r="I7" i="2" s="1"/>
  <c r="G2" i="2"/>
  <c r="E6" i="2"/>
  <c r="F9" i="2"/>
  <c r="F5" i="2"/>
  <c r="G8" i="2"/>
  <c r="G4" i="2"/>
  <c r="E9" i="2"/>
  <c r="E5" i="2"/>
  <c r="H5" i="2" s="1"/>
  <c r="I5" i="2" s="1"/>
  <c r="F8" i="2"/>
  <c r="F4" i="2"/>
  <c r="G7" i="2"/>
  <c r="G3" i="2"/>
  <c r="H3" i="2" s="1"/>
  <c r="I3" i="2" s="1"/>
  <c r="E2" i="2"/>
  <c r="E8" i="2"/>
  <c r="F7" i="2"/>
  <c r="G9" i="3"/>
  <c r="G5" i="3"/>
  <c r="G2" i="3"/>
  <c r="H2" i="3" s="1"/>
  <c r="I2" i="3" s="1"/>
  <c r="G8" i="3"/>
  <c r="H8" i="3" s="1"/>
  <c r="I8" i="3" s="1"/>
  <c r="H9" i="3" l="1"/>
  <c r="I9" i="3" s="1"/>
  <c r="H2" i="2"/>
  <c r="I2" i="2" s="1"/>
  <c r="H2" i="4"/>
  <c r="I2" i="4" s="1"/>
  <c r="H9" i="2"/>
  <c r="I9" i="2" s="1"/>
  <c r="H8" i="4"/>
  <c r="I8" i="4" s="1"/>
  <c r="H5" i="3"/>
  <c r="I5" i="3" s="1"/>
  <c r="H6" i="2"/>
  <c r="I6" i="2" s="1"/>
  <c r="H8" i="2"/>
  <c r="I8" i="2" s="1"/>
</calcChain>
</file>

<file path=xl/sharedStrings.xml><?xml version="1.0" encoding="utf-8"?>
<sst xmlns="http://schemas.openxmlformats.org/spreadsheetml/2006/main" count="133" uniqueCount="84">
  <si>
    <t>Age</t>
    <phoneticPr fontId="7" type="noConversion"/>
  </si>
  <si>
    <t>Income</t>
    <phoneticPr fontId="7" type="noConversion"/>
  </si>
  <si>
    <t>No</t>
    <phoneticPr fontId="7" type="noConversion"/>
  </si>
  <si>
    <t>原始聚類</t>
    <phoneticPr fontId="1" type="noConversion"/>
  </si>
  <si>
    <t>Age</t>
    <phoneticPr fontId="1" type="noConversion"/>
  </si>
  <si>
    <t>Income</t>
    <phoneticPr fontId="1" type="noConversion"/>
  </si>
  <si>
    <t>STD標準差</t>
    <phoneticPr fontId="1" type="noConversion"/>
  </si>
  <si>
    <t>Average平均數</t>
    <phoneticPr fontId="1" type="noConversion"/>
  </si>
  <si>
    <t>最小</t>
    <phoneticPr fontId="1" type="noConversion"/>
  </si>
  <si>
    <t>最大</t>
    <phoneticPr fontId="1" type="noConversion"/>
  </si>
  <si>
    <t>1.陽光旅行社共收集到8筆客戶資料,有年齡及收入兩欄</t>
    <phoneticPr fontId="1" type="noConversion"/>
  </si>
  <si>
    <t>4.因兩個欄位的尺度不相同，因此資料須先作資料正歸化後方能計算</t>
    <phoneticPr fontId="1" type="noConversion"/>
  </si>
  <si>
    <t>2.主管希望將收集到的資料分成3群再將其分給3個業務員去作推銷</t>
    <phoneticPr fontId="1" type="noConversion"/>
  </si>
  <si>
    <t>去年有參加 ?</t>
    <phoneticPr fontId="1" type="noConversion"/>
  </si>
  <si>
    <t>2.主管希望依此資料作成KNN的分類model，將訓練好的model用來預測今年收集到的資料，以預測今年的業績</t>
    <phoneticPr fontId="1" type="noConversion"/>
  </si>
  <si>
    <t>5.因兩個欄位的尺度不相同，因此資料須先作資料正歸化後方能計算</t>
    <phoneticPr fontId="1" type="noConversion"/>
  </si>
  <si>
    <r>
      <rPr>
        <b/>
        <sz val="12"/>
        <color rgb="FFFF9900"/>
        <rFont val="標楷體"/>
        <family val="4"/>
        <charset val="136"/>
      </rPr>
      <t>3.請將資料分成對半，前8筆用來訓練model，後8筆用來驗證model</t>
    </r>
    <phoneticPr fontId="1" type="noConversion"/>
  </si>
  <si>
    <t>1.陽光旅行社去年總共向16位民眾推銷旅遊團活動，總共有10位參加，資料如下,共有年齡、收入及參加否三個欄位</t>
    <phoneticPr fontId="1" type="noConversion"/>
  </si>
  <si>
    <t>學號: 10943038     姓名: 胡珍鳳</t>
    <phoneticPr fontId="1" type="noConversion"/>
  </si>
  <si>
    <t>Age</t>
  </si>
  <si>
    <t>Age</t>
    <phoneticPr fontId="1" type="noConversion"/>
  </si>
  <si>
    <t>Income</t>
  </si>
  <si>
    <t>No</t>
  </si>
  <si>
    <t>D1</t>
    <phoneticPr fontId="1" type="noConversion"/>
  </si>
  <si>
    <t>D2</t>
    <phoneticPr fontId="1" type="noConversion"/>
  </si>
  <si>
    <t>D3</t>
    <phoneticPr fontId="1" type="noConversion"/>
  </si>
  <si>
    <t>MIN</t>
    <phoneticPr fontId="1" type="noConversion"/>
  </si>
  <si>
    <t>聚類中心</t>
    <phoneticPr fontId="1" type="noConversion"/>
  </si>
  <si>
    <t>Income</t>
    <phoneticPr fontId="1" type="noConversion"/>
  </si>
  <si>
    <t>聚類1</t>
    <phoneticPr fontId="1" type="noConversion"/>
  </si>
  <si>
    <t>聚類2</t>
    <phoneticPr fontId="1" type="noConversion"/>
  </si>
  <si>
    <t>聚類3</t>
    <phoneticPr fontId="1" type="noConversion"/>
  </si>
  <si>
    <t>第一次聚類</t>
    <phoneticPr fontId="1" type="noConversion"/>
  </si>
  <si>
    <t>第一次聚類與原始聚類不同，繼續</t>
    <phoneticPr fontId="1" type="noConversion"/>
  </si>
  <si>
    <t>D2</t>
    <phoneticPr fontId="1" type="noConversion"/>
  </si>
  <si>
    <t>D3</t>
    <phoneticPr fontId="1" type="noConversion"/>
  </si>
  <si>
    <t>MIN</t>
    <phoneticPr fontId="1" type="noConversion"/>
  </si>
  <si>
    <t>第一次聚類(排序)</t>
    <phoneticPr fontId="1" type="noConversion"/>
  </si>
  <si>
    <t>第二次聚類</t>
    <phoneticPr fontId="1" type="noConversion"/>
  </si>
  <si>
    <t>第二次聚類與第一次聚類不同，繼續</t>
    <phoneticPr fontId="1" type="noConversion"/>
  </si>
  <si>
    <t>MIN</t>
    <phoneticPr fontId="1" type="noConversion"/>
  </si>
  <si>
    <t>第三次聚類</t>
    <phoneticPr fontId="1" type="noConversion"/>
  </si>
  <si>
    <t>第三次聚類與第二次聚類相同，結束</t>
    <phoneticPr fontId="1" type="noConversion"/>
  </si>
  <si>
    <t>Age-RE</t>
    <phoneticPr fontId="1" type="noConversion"/>
  </si>
  <si>
    <t>Income-RE</t>
    <phoneticPr fontId="1" type="noConversion"/>
  </si>
  <si>
    <t>Age-RE</t>
    <phoneticPr fontId="1" type="noConversion"/>
  </si>
  <si>
    <t>Income</t>
    <phoneticPr fontId="1" type="noConversion"/>
  </si>
  <si>
    <t>Income-RE</t>
    <phoneticPr fontId="1" type="noConversion"/>
  </si>
  <si>
    <t>分類</t>
    <phoneticPr fontId="1" type="noConversion"/>
  </si>
  <si>
    <t>No</t>
    <phoneticPr fontId="7" type="noConversion"/>
  </si>
  <si>
    <t>NO</t>
    <phoneticPr fontId="7" type="noConversion"/>
  </si>
  <si>
    <t>原分類</t>
    <phoneticPr fontId="7" type="noConversion"/>
  </si>
  <si>
    <t>最近距離</t>
    <phoneticPr fontId="7" type="noConversion"/>
  </si>
  <si>
    <t>預測分類</t>
    <phoneticPr fontId="7" type="noConversion"/>
  </si>
  <si>
    <t>預測正確(Y)/錯誤(N)</t>
    <phoneticPr fontId="7" type="noConversion"/>
  </si>
  <si>
    <t>K</t>
    <phoneticPr fontId="7" type="noConversion"/>
  </si>
  <si>
    <t>Income</t>
    <phoneticPr fontId="7" type="noConversion"/>
  </si>
  <si>
    <t>誤判率</t>
    <phoneticPr fontId="7" type="noConversion"/>
  </si>
  <si>
    <t>Average平均數</t>
    <phoneticPr fontId="1" type="noConversion"/>
  </si>
  <si>
    <t>No</t>
    <phoneticPr fontId="1" type="noConversion"/>
  </si>
  <si>
    <t>Age</t>
    <phoneticPr fontId="1" type="noConversion"/>
  </si>
  <si>
    <t>聚類中心</t>
    <phoneticPr fontId="1" type="noConversion"/>
  </si>
  <si>
    <t>Income</t>
    <phoneticPr fontId="1" type="noConversion"/>
  </si>
  <si>
    <t>聚類1</t>
    <phoneticPr fontId="1" type="noConversion"/>
  </si>
  <si>
    <t>聚類2</t>
    <phoneticPr fontId="1" type="noConversion"/>
  </si>
  <si>
    <t>聚類3</t>
    <phoneticPr fontId="1" type="noConversion"/>
  </si>
  <si>
    <t>意義</t>
    <phoneticPr fontId="1" type="noConversion"/>
  </si>
  <si>
    <t>年齡中
收入高</t>
    <phoneticPr fontId="1" type="noConversion"/>
  </si>
  <si>
    <t>年齡高
收入低</t>
    <phoneticPr fontId="1" type="noConversion"/>
  </si>
  <si>
    <t>年齡低
收入中</t>
    <phoneticPr fontId="1" type="noConversion"/>
  </si>
  <si>
    <r>
      <t>4.Outcome必須包括:</t>
    </r>
    <r>
      <rPr>
        <b/>
        <sz val="12"/>
        <color rgb="FFFF0D0D"/>
        <rFont val="標楷體"/>
        <family val="4"/>
        <charset val="136"/>
      </rPr>
      <t>後8筆參加與否的預測、及預測的誤差率</t>
    </r>
    <r>
      <rPr>
        <b/>
        <sz val="12"/>
        <color rgb="FFFF9900"/>
        <rFont val="標楷體"/>
        <family val="4"/>
        <charset val="136"/>
      </rPr>
      <t>需使用課本的方法</t>
    </r>
    <phoneticPr fontId="1" type="noConversion"/>
  </si>
  <si>
    <t>113學年度上學期資料探勘期中考試 (範本)</t>
    <phoneticPr fontId="1" type="noConversion"/>
  </si>
  <si>
    <t>題目2說明:(35分)</t>
    <phoneticPr fontId="1" type="noConversion"/>
  </si>
  <si>
    <t>題目1說明:(35分)</t>
    <phoneticPr fontId="1" type="noConversion"/>
  </si>
  <si>
    <t>標準化</t>
    <phoneticPr fontId="7" type="noConversion"/>
  </si>
  <si>
    <r>
      <t>題目1：請說明什麼是:</t>
    </r>
    <r>
      <rPr>
        <sz val="12"/>
        <color rgb="FF3333FF"/>
        <rFont val="標楷體"/>
        <family val="4"/>
        <charset val="136"/>
      </rPr>
      <t>分群分析</t>
    </r>
    <r>
      <rPr>
        <sz val="12"/>
        <color theme="1"/>
        <rFont val="標楷體"/>
        <family val="4"/>
        <charset val="136"/>
      </rPr>
      <t>(聚類分析)Clustering analysis，須包括它主要拿來作什麼用途？  (6分)</t>
    </r>
    <phoneticPr fontId="1" type="noConversion"/>
  </si>
  <si>
    <r>
      <t>題目3：請說明什麼是:</t>
    </r>
    <r>
      <rPr>
        <sz val="12"/>
        <color rgb="FF3333FF"/>
        <rFont val="標楷體"/>
        <family val="4"/>
        <charset val="136"/>
      </rPr>
      <t>分類Classification</t>
    </r>
    <r>
      <rPr>
        <sz val="12"/>
        <color theme="1"/>
        <rFont val="標楷體"/>
        <family val="4"/>
        <charset val="136"/>
      </rPr>
      <t>，須包括它主要拿來作什麼用途 ?  (6分)</t>
    </r>
    <phoneticPr fontId="1" type="noConversion"/>
  </si>
  <si>
    <r>
      <t>題目5：請說明什麼為什麼在資料探勘前，資料必須作</t>
    </r>
    <r>
      <rPr>
        <sz val="12"/>
        <color rgb="FF3333FF"/>
        <rFont val="標楷體"/>
        <family val="4"/>
        <charset val="136"/>
      </rPr>
      <t>「資料標準化」</t>
    </r>
    <r>
      <rPr>
        <sz val="12"/>
        <color theme="1"/>
        <rFont val="標楷體"/>
        <family val="4"/>
        <charset val="136"/>
      </rPr>
      <t>呢?（也可使用</t>
    </r>
    <r>
      <rPr>
        <sz val="12"/>
        <color rgb="FF3333FF"/>
        <rFont val="標楷體"/>
        <family val="4"/>
        <charset val="136"/>
      </rPr>
      <t>「資料正規化」</t>
    </r>
    <r>
      <rPr>
        <sz val="12"/>
        <color theme="1"/>
        <rFont val="標楷體"/>
        <family val="4"/>
        <charset val="136"/>
      </rPr>
      <t>) (6分)</t>
    </r>
    <phoneticPr fontId="1" type="noConversion"/>
  </si>
  <si>
    <r>
      <t>題目2：請說明什麼是</t>
    </r>
    <r>
      <rPr>
        <sz val="12"/>
        <color rgb="FF3333FF"/>
        <rFont val="標楷體"/>
        <family val="4"/>
        <charset val="136"/>
      </rPr>
      <t>均值K-means分群分析</t>
    </r>
    <r>
      <rPr>
        <sz val="12"/>
        <color theme="1"/>
        <rFont val="標楷體"/>
        <family val="4"/>
        <charset val="136"/>
      </rPr>
      <t>，須說明均值K-means的計算原理(演算法Algorithm)   (6分)</t>
    </r>
    <phoneticPr fontId="1" type="noConversion"/>
  </si>
  <si>
    <r>
      <t>題目4：請說明什麼是</t>
    </r>
    <r>
      <rPr>
        <sz val="12"/>
        <color rgb="FF3333FF"/>
        <rFont val="標楷體"/>
        <family val="4"/>
        <charset val="136"/>
      </rPr>
      <t>最近鄰居法分類法</t>
    </r>
    <r>
      <rPr>
        <sz val="12"/>
        <color theme="1"/>
        <rFont val="標楷體"/>
        <family val="4"/>
        <charset val="136"/>
      </rPr>
      <t>(Ｋ-Nearest-Neighbor,KNN)? 須說明最近鄰居法分類法的計算原理(演算法Algorithm) (6分)</t>
    </r>
    <phoneticPr fontId="1" type="noConversion"/>
  </si>
  <si>
    <t>第三次聚類</t>
  </si>
  <si>
    <r>
      <t>3.Outcome必須包括:</t>
    </r>
    <r>
      <rPr>
        <sz val="12"/>
        <color rgb="FF3333FF"/>
        <rFont val="標楷體"/>
        <family val="4"/>
        <charset val="136"/>
      </rPr>
      <t xml:space="preserve"> a).</t>
    </r>
    <r>
      <rPr>
        <sz val="12"/>
        <color rgb="FFFF0000"/>
        <rFont val="標楷體"/>
        <family val="4"/>
        <charset val="136"/>
      </rPr>
      <t>8筆資料最終正確歸屬那一個聚類</t>
    </r>
    <r>
      <rPr>
        <sz val="12"/>
        <color rgb="FF3333FF"/>
        <rFont val="標楷體"/>
        <family val="4"/>
        <charset val="136"/>
      </rPr>
      <t>、b).</t>
    </r>
    <r>
      <rPr>
        <sz val="12"/>
        <color rgb="FFFF0000"/>
        <rFont val="標楷體"/>
        <family val="4"/>
        <charset val="136"/>
      </rPr>
      <t>3個聚類的形心(請以原始樣本數據來表示)、</t>
    </r>
    <phoneticPr fontId="1" type="noConversion"/>
  </si>
  <si>
    <r>
      <t xml:space="preserve">    </t>
    </r>
    <r>
      <rPr>
        <sz val="12"/>
        <color rgb="FF3333FF"/>
        <rFont val="標楷體"/>
        <family val="4"/>
        <charset val="136"/>
      </rPr>
      <t xml:space="preserve"> c).</t>
    </r>
    <r>
      <rPr>
        <sz val="12"/>
        <color rgb="FFFF0000"/>
        <rFont val="標楷體"/>
        <family val="4"/>
        <charset val="136"/>
      </rPr>
      <t>散佈圖(請以原始樣本數據來呈現) 、</t>
    </r>
    <r>
      <rPr>
        <sz val="12"/>
        <color rgb="FF3333FF"/>
        <rFont val="標楷體"/>
        <family val="4"/>
        <charset val="136"/>
      </rPr>
      <t>d).</t>
    </r>
    <r>
      <rPr>
        <sz val="12"/>
        <color rgb="FFFF0000"/>
        <rFont val="標楷體"/>
        <family val="4"/>
        <charset val="136"/>
      </rPr>
      <t>對分成3群客戶的特性分別作簡單的說明</t>
    </r>
    <phoneticPr fontId="7" type="noConversion"/>
  </si>
  <si>
    <t>誤差均方根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</si>
</sst>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_ "/>
    <numFmt numFmtId="178" formatCode="0.0000_ 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2"/>
      <color rgb="FFFF9900"/>
      <name val="標楷體"/>
      <family val="4"/>
      <charset val="136"/>
    </font>
    <font>
      <b/>
      <sz val="12"/>
      <color rgb="FFFF0D0D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</font>
    <font>
      <sz val="12"/>
      <color rgb="FF3333FF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0000FF"/>
      <name val="新細明體"/>
      <family val="1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00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2" borderId="0" xfId="1" applyFill="1" applyAlignment="1">
      <alignment horizontal="center" vertical="center"/>
    </xf>
    <xf numFmtId="0" fontId="5" fillId="4" borderId="0" xfId="1" applyFill="1">
      <alignment vertical="center"/>
    </xf>
    <xf numFmtId="0" fontId="0" fillId="0" borderId="0" xfId="0" quotePrefix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1" fillId="6" borderId="0" xfId="2" applyAlignment="1">
      <alignment horizontal="center" vertical="center"/>
    </xf>
    <xf numFmtId="0" fontId="12" fillId="7" borderId="0" xfId="3" applyAlignment="1">
      <alignment horizontal="center" vertical="center"/>
    </xf>
    <xf numFmtId="0" fontId="13" fillId="8" borderId="0" xfId="4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77" fontId="0" fillId="10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7" fillId="3" borderId="11" xfId="1" applyFont="1" applyFill="1" applyBorder="1" applyAlignment="1">
      <alignment horizontal="center" vertical="center"/>
    </xf>
    <xf numFmtId="0" fontId="4" fillId="0" borderId="0" xfId="0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quotePrefix="1" applyFont="1" applyBorder="1" applyAlignment="1">
      <alignment horizontal="center" vertical="center"/>
    </xf>
    <xf numFmtId="0" fontId="9" fillId="0" borderId="0" xfId="0" quotePrefix="1" applyFont="1" applyBorder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0" fillId="14" borderId="0" xfId="0" applyFill="1">
      <alignment vertical="center"/>
    </xf>
    <xf numFmtId="0" fontId="19" fillId="0" borderId="0" xfId="0" quotePrefix="1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0" borderId="0" xfId="0" quotePrefix="1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0" fillId="12" borderId="0" xfId="0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5">
    <cellStyle name="一般" xfId="0" builtinId="0"/>
    <cellStyle name="一般 2" xfId="1"/>
    <cellStyle name="中等" xfId="4" builtinId="28"/>
    <cellStyle name="好" xfId="2" builtinId="26"/>
    <cellStyle name="壞" xfId="3" builtinId="27"/>
  </cellStyles>
  <dxfs count="0"/>
  <tableStyles count="0" defaultTableStyle="TableStyleMedium2" defaultPivotStyle="PivotStyleLight16"/>
  <colors>
    <mruColors>
      <color rgb="FF0000FF"/>
      <color rgb="FF3399FF"/>
      <color rgb="FFFF9900"/>
      <color rgb="FFFF0D0D"/>
      <color rgb="FFFF99FF"/>
      <color rgb="FF00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'題目1-K-means-Outcome'!$D$2:$D$9</c:f>
              <c:numCache>
                <c:formatCode>General</c:formatCode>
                <c:ptCount val="8"/>
                <c:pt idx="0">
                  <c:v>60</c:v>
                </c:pt>
                <c:pt idx="1">
                  <c:v>25</c:v>
                </c:pt>
                <c:pt idx="2">
                  <c:v>48</c:v>
                </c:pt>
                <c:pt idx="3">
                  <c:v>17.000000000000004</c:v>
                </c:pt>
                <c:pt idx="4">
                  <c:v>57</c:v>
                </c:pt>
                <c:pt idx="5">
                  <c:v>37</c:v>
                </c:pt>
                <c:pt idx="6">
                  <c:v>72</c:v>
                </c:pt>
                <c:pt idx="7">
                  <c:v>21</c:v>
                </c:pt>
              </c:numCache>
            </c:numRef>
          </c:xVal>
          <c:yVal>
            <c:numRef>
              <c:f>'題目1-K-means-Outcome'!$E$2:$E$9</c:f>
              <c:numCache>
                <c:formatCode>General</c:formatCode>
                <c:ptCount val="8"/>
                <c:pt idx="0">
                  <c:v>5</c:v>
                </c:pt>
                <c:pt idx="1">
                  <c:v>15</c:v>
                </c:pt>
                <c:pt idx="2">
                  <c:v>19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0F-4131-8C35-4E01DBD86D6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triangle"/>
            <c:size val="11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700F-4131-8C35-4E01DBD86D67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00F-4131-8C35-4E01DBD86D67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3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700F-4131-8C35-4E01DBD86D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'題目1-K-means-Outcome'!$I$4:$K$4</c:f>
              <c:numCache>
                <c:formatCode>0_ </c:formatCode>
                <c:ptCount val="3"/>
                <c:pt idx="0">
                  <c:v>47.333333333333336</c:v>
                </c:pt>
                <c:pt idx="1">
                  <c:v>21</c:v>
                </c:pt>
                <c:pt idx="2">
                  <c:v>66</c:v>
                </c:pt>
              </c:numCache>
            </c:numRef>
          </c:xVal>
          <c:yVal>
            <c:numRef>
              <c:f>'題目1-K-means-Outcome'!$I$5:$K$5</c:f>
              <c:numCache>
                <c:formatCode>0.0_ </c:formatCode>
                <c:ptCount val="3"/>
                <c:pt idx="0">
                  <c:v>16.333333333333336</c:v>
                </c:pt>
                <c:pt idx="1">
                  <c:v>11</c:v>
                </c:pt>
                <c:pt idx="2">
                  <c:v>3.4999999999999991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0F-4131-8C35-4E01DBD86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784143"/>
        <c:axId val="1880779567"/>
      </c:scatterChart>
      <c:valAx>
        <c:axId val="188078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100" b="1"/>
                  <a:t>Age</a:t>
                </a:r>
                <a:endParaRPr lang="zh-TW" alt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0779567"/>
        <c:crosses val="autoZero"/>
        <c:crossBetween val="midCat"/>
      </c:valAx>
      <c:valAx>
        <c:axId val="188077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100" b="1"/>
                  <a:t>Income</a:t>
                </a:r>
                <a:endParaRPr lang="zh-TW" altLang="en-US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0784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8</xdr:row>
      <xdr:rowOff>23812</xdr:rowOff>
    </xdr:from>
    <xdr:to>
      <xdr:col>15</xdr:col>
      <xdr:colOff>11112</xdr:colOff>
      <xdr:row>26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A1:V23"/>
  <sheetViews>
    <sheetView workbookViewId="0">
      <selection activeCell="N19" sqref="N19"/>
    </sheetView>
  </sheetViews>
  <sheetFormatPr defaultRowHeight="16.2"/>
  <cols>
    <col min="1" max="1" width="16" customWidth="1"/>
    <col min="2" max="3" width="7.44140625" bestFit="1" customWidth="1"/>
    <col min="4" max="4" width="10.88671875" customWidth="1"/>
    <col min="6" max="6" width="12.77734375" bestFit="1" customWidth="1"/>
    <col min="7" max="7" width="12.33203125" bestFit="1" customWidth="1"/>
    <col min="14" max="14" width="8.88671875" customWidth="1"/>
  </cols>
  <sheetData>
    <row r="1" spans="1:22" s="1" customFormat="1">
      <c r="A1" s="55" t="s">
        <v>71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s="1" customFormat="1">
      <c r="A2" s="57" t="s">
        <v>18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s="1" customFormat="1">
      <c r="A3" s="51" t="s">
        <v>73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s="1" customFormat="1">
      <c r="A4" s="51" t="s">
        <v>10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1" customFormat="1">
      <c r="A5" s="51" t="s">
        <v>12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67" customFormat="1">
      <c r="A6" s="61" t="s">
        <v>81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6"/>
      <c r="N6" s="66"/>
      <c r="O6" s="66"/>
      <c r="P6" s="66"/>
      <c r="Q6" s="66"/>
      <c r="R6" s="66"/>
      <c r="S6" s="66"/>
      <c r="T6" s="66"/>
      <c r="U6" s="66"/>
      <c r="V6" s="66"/>
    </row>
    <row r="7" spans="1:22" s="67" customFormat="1">
      <c r="A7" s="63"/>
      <c r="B7" s="64" t="s">
        <v>82</v>
      </c>
      <c r="C7" s="64"/>
      <c r="D7" s="65"/>
      <c r="E7" s="65"/>
      <c r="F7" s="65"/>
      <c r="G7" s="65"/>
      <c r="H7" s="65"/>
      <c r="I7" s="65"/>
      <c r="J7" s="65"/>
      <c r="K7" s="65"/>
      <c r="L7" s="65"/>
      <c r="M7" s="66"/>
      <c r="N7" s="66"/>
      <c r="O7" s="66"/>
      <c r="P7" s="66"/>
      <c r="Q7" s="66"/>
      <c r="R7" s="66"/>
      <c r="S7" s="66"/>
      <c r="T7" s="66"/>
      <c r="U7" s="66"/>
      <c r="V7" s="66"/>
    </row>
    <row r="8" spans="1:22" s="1" customFormat="1">
      <c r="A8" s="51" t="s">
        <v>11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1" customFormat="1">
      <c r="A9" s="53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</row>
    <row r="10" spans="1:22">
      <c r="A10" s="2"/>
      <c r="B10" t="s">
        <v>4</v>
      </c>
      <c r="C10" t="s">
        <v>5</v>
      </c>
    </row>
    <row r="11" spans="1:22">
      <c r="A11" s="11" t="s">
        <v>7</v>
      </c>
      <c r="B11">
        <f>AVERAGE(B16:B23)</f>
        <v>42.125</v>
      </c>
      <c r="C11">
        <f>AVERAGE(C16:C23)</f>
        <v>11.125</v>
      </c>
    </row>
    <row r="12" spans="1:22">
      <c r="A12" s="11" t="s">
        <v>6</v>
      </c>
      <c r="B12">
        <f>STDEV(B16:B23)</f>
        <v>20.230369673905052</v>
      </c>
      <c r="C12">
        <f>STDEV(C16:C23)</f>
        <v>5.8660646336120683</v>
      </c>
    </row>
    <row r="13" spans="1:22">
      <c r="A13" s="2" t="s">
        <v>8</v>
      </c>
      <c r="B13">
        <f>MIN(B16:B23)</f>
        <v>17</v>
      </c>
      <c r="C13">
        <f>MIN(C16:C23)</f>
        <v>2</v>
      </c>
    </row>
    <row r="14" spans="1:22">
      <c r="A14" s="2" t="s">
        <v>9</v>
      </c>
      <c r="B14">
        <f>MAX(B16:B23)</f>
        <v>72</v>
      </c>
      <c r="C14">
        <f>MAX(C16:C23)</f>
        <v>19</v>
      </c>
      <c r="F14" s="50" t="s">
        <v>74</v>
      </c>
      <c r="G14" s="50"/>
    </row>
    <row r="15" spans="1:22" s="2" customFormat="1">
      <c r="A15" s="34" t="s">
        <v>2</v>
      </c>
      <c r="B15" s="35" t="s">
        <v>0</v>
      </c>
      <c r="C15" s="35" t="s">
        <v>1</v>
      </c>
      <c r="D15" s="36" t="s">
        <v>3</v>
      </c>
      <c r="F15" s="37" t="s">
        <v>0</v>
      </c>
      <c r="G15" s="37" t="s">
        <v>1</v>
      </c>
    </row>
    <row r="16" spans="1:22">
      <c r="A16" s="2">
        <v>1</v>
      </c>
      <c r="B16">
        <v>60</v>
      </c>
      <c r="C16">
        <v>5</v>
      </c>
      <c r="D16" s="12">
        <v>1</v>
      </c>
      <c r="F16">
        <f>($B16-$B$11)/$B$12</f>
        <v>0.88357258360220581</v>
      </c>
      <c r="G16">
        <f>($C16-$C$11)/$C$12</f>
        <v>-1.0441412399216083</v>
      </c>
    </row>
    <row r="17" spans="1:7">
      <c r="A17" s="2">
        <v>2</v>
      </c>
      <c r="B17">
        <v>25</v>
      </c>
      <c r="C17">
        <v>15</v>
      </c>
      <c r="D17" s="12">
        <v>1</v>
      </c>
      <c r="F17">
        <f t="shared" ref="F17:F23" si="0">($B17-$B$11)/$B$12</f>
        <v>-0.84649960806644886</v>
      </c>
      <c r="G17">
        <f t="shared" ref="G17:G23" si="1">($C17-$C$11)/$C$12</f>
        <v>0.66057915178714</v>
      </c>
    </row>
    <row r="18" spans="1:7">
      <c r="A18" s="2">
        <v>3</v>
      </c>
      <c r="B18">
        <v>48</v>
      </c>
      <c r="C18">
        <v>19</v>
      </c>
      <c r="D18" s="12">
        <v>1</v>
      </c>
      <c r="F18">
        <f t="shared" si="0"/>
        <v>0.2904049750300956</v>
      </c>
      <c r="G18">
        <f t="shared" si="1"/>
        <v>1.3424673084706393</v>
      </c>
    </row>
    <row r="19" spans="1:7">
      <c r="A19" s="2">
        <v>4</v>
      </c>
      <c r="B19">
        <v>17</v>
      </c>
      <c r="C19">
        <v>10</v>
      </c>
      <c r="D19" s="13">
        <v>2</v>
      </c>
      <c r="F19">
        <f t="shared" si="0"/>
        <v>-1.2419446804478556</v>
      </c>
      <c r="G19">
        <f t="shared" si="1"/>
        <v>-0.19178104406723417</v>
      </c>
    </row>
    <row r="20" spans="1:7">
      <c r="A20" s="2">
        <v>5</v>
      </c>
      <c r="B20">
        <v>57</v>
      </c>
      <c r="C20">
        <v>14</v>
      </c>
      <c r="D20" s="13">
        <v>2</v>
      </c>
      <c r="F20">
        <f t="shared" si="0"/>
        <v>0.73528068145917824</v>
      </c>
      <c r="G20">
        <f t="shared" si="1"/>
        <v>0.49010711261626511</v>
      </c>
    </row>
    <row r="21" spans="1:7">
      <c r="A21" s="2">
        <v>6</v>
      </c>
      <c r="B21">
        <v>37</v>
      </c>
      <c r="C21">
        <v>16</v>
      </c>
      <c r="D21" s="13">
        <v>2</v>
      </c>
      <c r="F21">
        <f t="shared" si="0"/>
        <v>-0.25333199949433871</v>
      </c>
      <c r="G21">
        <f t="shared" si="1"/>
        <v>0.83105119095801483</v>
      </c>
    </row>
    <row r="22" spans="1:7">
      <c r="A22" s="2">
        <v>7</v>
      </c>
      <c r="B22">
        <v>72</v>
      </c>
      <c r="C22">
        <v>2</v>
      </c>
      <c r="D22" s="14">
        <v>3</v>
      </c>
      <c r="F22">
        <f t="shared" si="0"/>
        <v>1.476740192174316</v>
      </c>
      <c r="G22">
        <f t="shared" si="1"/>
        <v>-1.5555573574342327</v>
      </c>
    </row>
    <row r="23" spans="1:7">
      <c r="A23" s="2">
        <v>8</v>
      </c>
      <c r="B23">
        <v>21</v>
      </c>
      <c r="C23">
        <v>8</v>
      </c>
      <c r="D23" s="14">
        <v>3</v>
      </c>
      <c r="F23">
        <f t="shared" si="0"/>
        <v>-1.0442221442571522</v>
      </c>
      <c r="G23">
        <f t="shared" si="1"/>
        <v>-0.53272512240898384</v>
      </c>
    </row>
  </sheetData>
  <mergeCells count="9">
    <mergeCell ref="F14:G14"/>
    <mergeCell ref="A8:L8"/>
    <mergeCell ref="A9:V9"/>
    <mergeCell ref="A1:L1"/>
    <mergeCell ref="A2:L2"/>
    <mergeCell ref="A3:L3"/>
    <mergeCell ref="A5:L5"/>
    <mergeCell ref="A4:L4"/>
    <mergeCell ref="A6:L6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selection activeCell="C16" sqref="C16:E16"/>
    </sheetView>
  </sheetViews>
  <sheetFormatPr defaultRowHeight="16.2"/>
  <cols>
    <col min="1" max="1" width="3.88671875" bestFit="1" customWidth="1"/>
    <col min="2" max="3" width="13.44140625" bestFit="1" customWidth="1"/>
    <col min="5" max="8" width="12.77734375" bestFit="1" customWidth="1"/>
    <col min="9" max="9" width="11.6640625" bestFit="1" customWidth="1"/>
    <col min="13" max="13" width="12.77734375" bestFit="1" customWidth="1"/>
    <col min="14" max="14" width="13.44140625" bestFit="1" customWidth="1"/>
    <col min="15" max="15" width="12.77734375" bestFit="1" customWidth="1"/>
  </cols>
  <sheetData>
    <row r="1" spans="1:15">
      <c r="A1" s="10" t="s">
        <v>22</v>
      </c>
      <c r="B1" s="10" t="s">
        <v>19</v>
      </c>
      <c r="C1" s="10" t="s">
        <v>21</v>
      </c>
      <c r="D1" s="24" t="s">
        <v>3</v>
      </c>
      <c r="E1" s="10" t="s">
        <v>23</v>
      </c>
      <c r="F1" s="10" t="s">
        <v>24</v>
      </c>
      <c r="G1" s="10" t="s">
        <v>25</v>
      </c>
      <c r="H1" s="10" t="s">
        <v>26</v>
      </c>
      <c r="I1" s="24" t="s">
        <v>32</v>
      </c>
      <c r="L1" s="15" t="s">
        <v>27</v>
      </c>
      <c r="M1" s="16" t="s">
        <v>29</v>
      </c>
      <c r="N1" s="16" t="s">
        <v>30</v>
      </c>
      <c r="O1" s="17" t="s">
        <v>31</v>
      </c>
    </row>
    <row r="2" spans="1:15">
      <c r="A2" s="10">
        <v>1</v>
      </c>
      <c r="B2" s="10">
        <v>0.88357258360220581</v>
      </c>
      <c r="C2" s="10">
        <v>-1.0441412399216083</v>
      </c>
      <c r="D2" s="12">
        <v>1</v>
      </c>
      <c r="E2">
        <f>SUMXMY2($B2:$C2,M$2:M$3)</f>
        <v>2.459601740614521</v>
      </c>
      <c r="F2">
        <f>SUMXMY2($B2:$C2,N$2:N$3)</f>
        <v>3.3106573185017805</v>
      </c>
      <c r="G2">
        <f>SUMXMY2($B2:$C2,O$2:O$3)</f>
        <v>0.44530738688424443</v>
      </c>
      <c r="H2">
        <f>MIN(E2:G2)</f>
        <v>0.44530738688424443</v>
      </c>
      <c r="I2" s="14">
        <f>IF($H2=$E2,1,IF($H2=$F2,2,3))</f>
        <v>3</v>
      </c>
      <c r="L2" s="18" t="s">
        <v>20</v>
      </c>
      <c r="M2" s="19">
        <f>AVERAGE(B2:B4)</f>
        <v>0.10915931685528418</v>
      </c>
      <c r="N2" s="19">
        <f>AVERAGE(B5:B7)</f>
        <v>-0.25333199949433866</v>
      </c>
      <c r="O2" s="20">
        <f>AVERAGE(B8:B9)</f>
        <v>0.21625902395858188</v>
      </c>
    </row>
    <row r="3" spans="1:15" ht="16.8" thickBot="1">
      <c r="A3" s="10">
        <v>2</v>
      </c>
      <c r="B3" s="10">
        <v>-0.84649960806644886</v>
      </c>
      <c r="C3" s="10">
        <v>0.66057915178714</v>
      </c>
      <c r="D3" s="12">
        <v>1</v>
      </c>
      <c r="E3">
        <f t="shared" ref="E3:E9" si="0">SUMXMY2($B3:$C3,M$2:M$3)</f>
        <v>1.0295268453388677</v>
      </c>
      <c r="F3">
        <f t="shared" ref="F3:F9" si="1">SUMXMY2($B3:$C3,N$2:N$3)</f>
        <v>0.43257202335659034</v>
      </c>
      <c r="G3">
        <f t="shared" ref="G3:G9" si="2">SUMXMY2($B3:$C3,O$2:O$3)</f>
        <v>4.0355275238513428</v>
      </c>
      <c r="H3">
        <f t="shared" ref="H3:H9" si="3">MIN(E3:G3)</f>
        <v>0.43257202335659034</v>
      </c>
      <c r="I3" s="13">
        <f t="shared" ref="I3:I9" si="4">IF($H3=$E3,1,IF($H3=$F3,2,3))</f>
        <v>2</v>
      </c>
      <c r="L3" s="21" t="s">
        <v>28</v>
      </c>
      <c r="M3" s="22">
        <f>AVERAGE(C2:C4)</f>
        <v>0.31963507344539033</v>
      </c>
      <c r="N3" s="22">
        <f>AVERAGE(C5:C7)</f>
        <v>0.37645908650234855</v>
      </c>
      <c r="O3" s="23">
        <f>AVERAGE(C8:C9)</f>
        <v>-1.0441412399216083</v>
      </c>
    </row>
    <row r="4" spans="1:15">
      <c r="A4" s="10">
        <v>3</v>
      </c>
      <c r="B4" s="10">
        <v>0.2904049750300956</v>
      </c>
      <c r="C4" s="10">
        <v>1.3424673084706393</v>
      </c>
      <c r="D4" s="12">
        <v>1</v>
      </c>
      <c r="E4">
        <f t="shared" si="0"/>
        <v>1.079035769613967</v>
      </c>
      <c r="F4">
        <f t="shared" si="1"/>
        <v>1.228821782375324</v>
      </c>
      <c r="G4">
        <f t="shared" si="2"/>
        <v>5.701397985319252</v>
      </c>
      <c r="H4">
        <f t="shared" si="3"/>
        <v>1.079035769613967</v>
      </c>
      <c r="I4" s="12">
        <f t="shared" si="4"/>
        <v>1</v>
      </c>
    </row>
    <row r="5" spans="1:15">
      <c r="A5" s="10">
        <v>4</v>
      </c>
      <c r="B5" s="10">
        <v>-1.2419446804478556</v>
      </c>
      <c r="C5" s="10">
        <v>-0.19178104406723417</v>
      </c>
      <c r="D5" s="13">
        <v>2</v>
      </c>
      <c r="E5">
        <f t="shared" si="0"/>
        <v>2.0870284567802093</v>
      </c>
      <c r="F5">
        <f t="shared" si="1"/>
        <v>1.3002518789318369</v>
      </c>
      <c r="G5">
        <f t="shared" si="2"/>
        <v>2.8528759470215634</v>
      </c>
      <c r="H5">
        <f t="shared" si="3"/>
        <v>1.3002518789318369</v>
      </c>
      <c r="I5" s="13">
        <f t="shared" si="4"/>
        <v>2</v>
      </c>
    </row>
    <row r="6" spans="1:15">
      <c r="A6" s="10">
        <v>5</v>
      </c>
      <c r="B6" s="10">
        <v>0.73528068145917824</v>
      </c>
      <c r="C6" s="10">
        <v>0.49010711261626511</v>
      </c>
      <c r="D6" s="13">
        <v>2</v>
      </c>
      <c r="E6">
        <f t="shared" si="0"/>
        <v>0.42108867935251881</v>
      </c>
      <c r="F6">
        <f t="shared" si="1"/>
        <v>0.99027090678168983</v>
      </c>
      <c r="G6">
        <f t="shared" si="2"/>
        <v>2.6233014882198451</v>
      </c>
      <c r="H6">
        <f t="shared" si="3"/>
        <v>0.42108867935251881</v>
      </c>
      <c r="I6" s="12">
        <f t="shared" si="4"/>
        <v>1</v>
      </c>
    </row>
    <row r="7" spans="1:15">
      <c r="A7" s="10">
        <v>6</v>
      </c>
      <c r="B7" s="10">
        <v>-0.25333199949433871</v>
      </c>
      <c r="C7" s="10">
        <v>0.83105119095801483</v>
      </c>
      <c r="D7" s="13">
        <v>2</v>
      </c>
      <c r="E7">
        <f t="shared" si="0"/>
        <v>0.39294639968056899</v>
      </c>
      <c r="F7">
        <f t="shared" si="1"/>
        <v>0.20665398143343139</v>
      </c>
      <c r="G7">
        <f t="shared" si="2"/>
        <v>3.7368623821357918</v>
      </c>
      <c r="H7">
        <f t="shared" si="3"/>
        <v>0.20665398143343139</v>
      </c>
      <c r="I7" s="13">
        <f t="shared" si="4"/>
        <v>2</v>
      </c>
    </row>
    <row r="8" spans="1:15">
      <c r="A8" s="10">
        <v>7</v>
      </c>
      <c r="B8" s="10">
        <v>1.476740192174316</v>
      </c>
      <c r="C8" s="10">
        <v>-1.5555573574342327</v>
      </c>
      <c r="D8" s="14">
        <v>3</v>
      </c>
      <c r="E8">
        <f t="shared" si="0"/>
        <v>5.3866241033665991</v>
      </c>
      <c r="F8">
        <f t="shared" si="1"/>
        <v>6.7258373280265342</v>
      </c>
      <c r="G8">
        <f t="shared" si="2"/>
        <v>1.8503592206781885</v>
      </c>
      <c r="H8">
        <f t="shared" si="3"/>
        <v>1.8503592206781885</v>
      </c>
      <c r="I8" s="14">
        <f t="shared" si="4"/>
        <v>3</v>
      </c>
    </row>
    <row r="9" spans="1:15">
      <c r="A9" s="10">
        <v>8</v>
      </c>
      <c r="B9" s="10">
        <v>-1.0442221442571522</v>
      </c>
      <c r="C9" s="10">
        <v>-0.53272512240898384</v>
      </c>
      <c r="D9" s="14">
        <v>3</v>
      </c>
      <c r="E9">
        <f t="shared" si="0"/>
        <v>2.0568066983147659</v>
      </c>
      <c r="F9">
        <f t="shared" si="1"/>
        <v>1.4521231468166698</v>
      </c>
      <c r="G9">
        <f t="shared" si="2"/>
        <v>1.8503592206781887</v>
      </c>
      <c r="H9">
        <f t="shared" si="3"/>
        <v>1.4521231468166698</v>
      </c>
      <c r="I9" s="13">
        <f t="shared" si="4"/>
        <v>2</v>
      </c>
    </row>
    <row r="16" spans="1:15">
      <c r="C16" s="59" t="s">
        <v>33</v>
      </c>
      <c r="D16" s="59"/>
      <c r="E16" s="59"/>
    </row>
  </sheetData>
  <mergeCells count="1">
    <mergeCell ref="C16:E16"/>
  </mergeCells>
  <phoneticPr fontId="1" type="noConversion"/>
  <pageMargins left="0.7" right="0.7" top="0.75" bottom="0.75" header="0.3" footer="0.3"/>
  <ignoredErrors>
    <ignoredError sqref="M2:M3 N2:O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opLeftCell="E1" workbookViewId="0">
      <selection activeCell="C4" sqref="C4"/>
    </sheetView>
  </sheetViews>
  <sheetFormatPr defaultColWidth="9" defaultRowHeight="16.2"/>
  <cols>
    <col min="1" max="1" width="3.88671875" style="10" bestFit="1" customWidth="1"/>
    <col min="2" max="3" width="13.44140625" style="10" bestFit="1" customWidth="1"/>
    <col min="4" max="4" width="11.6640625" style="10" bestFit="1" customWidth="1"/>
    <col min="5" max="5" width="12.77734375" style="10" bestFit="1" customWidth="1"/>
    <col min="6" max="6" width="11.6640625" style="10" bestFit="1" customWidth="1"/>
    <col min="7" max="8" width="12.77734375" style="10" bestFit="1" customWidth="1"/>
    <col min="9" max="9" width="11.6640625" style="10" bestFit="1" customWidth="1"/>
    <col min="10" max="11" width="9.44140625" style="10" customWidth="1"/>
    <col min="12" max="12" width="13.44140625" style="10" bestFit="1" customWidth="1"/>
    <col min="13" max="13" width="12.77734375" style="10" bestFit="1" customWidth="1"/>
    <col min="14" max="15" width="13.44140625" style="10" bestFit="1" customWidth="1"/>
    <col min="16" max="20" width="9" style="10"/>
    <col min="21" max="21" width="17.44140625" style="10" bestFit="1" customWidth="1"/>
    <col min="22" max="16384" width="9" style="10"/>
  </cols>
  <sheetData>
    <row r="1" spans="1:21">
      <c r="A1" s="10" t="s">
        <v>22</v>
      </c>
      <c r="B1" s="10" t="s">
        <v>19</v>
      </c>
      <c r="C1" s="10" t="s">
        <v>21</v>
      </c>
      <c r="D1" s="24" t="s">
        <v>32</v>
      </c>
      <c r="E1" s="10" t="s">
        <v>23</v>
      </c>
      <c r="F1" s="10" t="s">
        <v>34</v>
      </c>
      <c r="G1" s="10" t="s">
        <v>35</v>
      </c>
      <c r="H1" s="10" t="s">
        <v>36</v>
      </c>
      <c r="I1" s="24" t="s">
        <v>38</v>
      </c>
      <c r="L1" s="15" t="s">
        <v>27</v>
      </c>
      <c r="M1" s="16" t="s">
        <v>29</v>
      </c>
      <c r="N1" s="16" t="s">
        <v>30</v>
      </c>
      <c r="O1" s="17" t="s">
        <v>31</v>
      </c>
      <c r="R1" s="10" t="s">
        <v>22</v>
      </c>
      <c r="S1" s="10" t="s">
        <v>19</v>
      </c>
      <c r="T1" s="10" t="s">
        <v>21</v>
      </c>
      <c r="U1" s="24" t="s">
        <v>37</v>
      </c>
    </row>
    <row r="2" spans="1:21">
      <c r="A2" s="10">
        <v>1</v>
      </c>
      <c r="B2" s="10">
        <v>0.88357258360220581</v>
      </c>
      <c r="C2" s="10">
        <v>-1.0441412399216083</v>
      </c>
      <c r="D2" s="14">
        <v>3</v>
      </c>
      <c r="E2" s="10">
        <f>SUMXMY2($B2:$C2,M$2:M$3)</f>
        <v>3.9807202609003216</v>
      </c>
      <c r="F2" s="10">
        <f>SUMXMY2($B2:$C2,N$2:N$3)</f>
        <v>4.5206536804453794</v>
      </c>
      <c r="G2" s="10">
        <f>SUMXMY2($B2:$C2,O$2:O$3)</f>
        <v>0.15334856427771065</v>
      </c>
      <c r="H2" s="10">
        <f>MIN($E2:$G2)</f>
        <v>0.15334856427771065</v>
      </c>
      <c r="I2" s="14">
        <f>IF(H2=E2,1,IF(H2=F2,2,3))</f>
        <v>3</v>
      </c>
      <c r="L2" s="18" t="s">
        <v>20</v>
      </c>
      <c r="M2" s="19">
        <f>AVERAGE(S2:S3)</f>
        <v>0.51284282824463689</v>
      </c>
      <c r="N2" s="19">
        <f>AVERAGE(S4:S7)</f>
        <v>-0.84649960806644886</v>
      </c>
      <c r="O2" s="20">
        <f>AVERAGE(S8:S9)</f>
        <v>1.1801563878882608</v>
      </c>
      <c r="R2" s="10">
        <v>3</v>
      </c>
      <c r="S2" s="10">
        <v>0.2904049750300956</v>
      </c>
      <c r="T2" s="10">
        <v>1.3424673084706393</v>
      </c>
      <c r="U2" s="12">
        <v>1</v>
      </c>
    </row>
    <row r="3" spans="1:21" ht="16.8" thickBot="1">
      <c r="A3" s="10">
        <v>2</v>
      </c>
      <c r="B3" s="10">
        <v>-0.84649960806644886</v>
      </c>
      <c r="C3" s="10">
        <v>0.66057915178714</v>
      </c>
      <c r="D3" s="13">
        <v>2</v>
      </c>
      <c r="E3" s="10">
        <f t="shared" ref="E3:E9" si="0">SUMXMY2($B3:$C3,M$2:M$3)</f>
        <v>1.9131984704690799</v>
      </c>
      <c r="F3" s="10">
        <f t="shared" ref="F3:F9" si="1">SUMXMY2($B3:$C3,N$2:N$3)</f>
        <v>0.21977166580176441</v>
      </c>
      <c r="G3" s="10">
        <f t="shared" ref="G3:G9" si="2">SUMXMY2($B3:$C3,O$2:O$3)</f>
        <v>7.9506142353320151</v>
      </c>
      <c r="H3" s="10">
        <f t="shared" ref="H3:H9" si="3">MIN($E3:$G3)</f>
        <v>0.21977166580176441</v>
      </c>
      <c r="I3" s="13">
        <f t="shared" ref="I3:I9" si="4">IF(H3=E3,1,IF(H3=F3,2,3))</f>
        <v>2</v>
      </c>
      <c r="L3" s="21" t="s">
        <v>28</v>
      </c>
      <c r="M3" s="22">
        <f>AVERAGE(T2:T3)</f>
        <v>0.91628721054345219</v>
      </c>
      <c r="N3" s="22">
        <f>AVERAGE(T4:T7)</f>
        <v>0.1917810440672342</v>
      </c>
      <c r="O3" s="23">
        <f>AVERAGE(T8:T9)</f>
        <v>-1.2998492986779207</v>
      </c>
      <c r="R3" s="10">
        <v>5</v>
      </c>
      <c r="S3" s="10">
        <v>0.73528068145917824</v>
      </c>
      <c r="T3" s="10">
        <v>0.49010711261626511</v>
      </c>
      <c r="U3" s="12">
        <v>1</v>
      </c>
    </row>
    <row r="4" spans="1:21">
      <c r="A4" s="10">
        <v>3</v>
      </c>
      <c r="B4" s="10">
        <v>0.2904049750300956</v>
      </c>
      <c r="C4" s="10">
        <v>1.3424673084706393</v>
      </c>
      <c r="D4" s="12">
        <v>1</v>
      </c>
      <c r="E4" s="10">
        <f t="shared" si="0"/>
        <v>0.23110807441192063</v>
      </c>
      <c r="F4" s="10">
        <f t="shared" si="1"/>
        <v>2.6166309101525904</v>
      </c>
      <c r="G4" s="10">
        <f t="shared" si="2"/>
        <v>7.7734946290961782</v>
      </c>
      <c r="H4" s="10">
        <f t="shared" si="3"/>
        <v>0.23110807441192063</v>
      </c>
      <c r="I4" s="12">
        <f t="shared" si="4"/>
        <v>1</v>
      </c>
      <c r="R4" s="10">
        <v>2</v>
      </c>
      <c r="S4" s="10">
        <v>-0.84649960806644886</v>
      </c>
      <c r="T4" s="10">
        <v>0.66057915178714</v>
      </c>
      <c r="U4" s="13">
        <v>2</v>
      </c>
    </row>
    <row r="5" spans="1:21">
      <c r="A5" s="10">
        <v>4</v>
      </c>
      <c r="B5" s="10">
        <v>-1.2419446804478556</v>
      </c>
      <c r="C5" s="10">
        <v>-0.19178104406723417</v>
      </c>
      <c r="D5" s="13">
        <v>2</v>
      </c>
      <c r="E5" s="10">
        <f t="shared" si="0"/>
        <v>4.3070944575391774</v>
      </c>
      <c r="F5" s="10">
        <f t="shared" si="1"/>
        <v>0.30349668072480962</v>
      </c>
      <c r="G5" s="10">
        <f t="shared" si="2"/>
        <v>7.0943888421109298</v>
      </c>
      <c r="H5" s="10">
        <f t="shared" si="3"/>
        <v>0.30349668072480962</v>
      </c>
      <c r="I5" s="13">
        <f t="shared" si="4"/>
        <v>2</v>
      </c>
      <c r="R5" s="10">
        <v>4</v>
      </c>
      <c r="S5" s="10">
        <v>-1.2419446804478556</v>
      </c>
      <c r="T5" s="10">
        <v>-0.19178104406723417</v>
      </c>
      <c r="U5" s="13">
        <v>2</v>
      </c>
    </row>
    <row r="6" spans="1:21">
      <c r="A6" s="10">
        <v>5</v>
      </c>
      <c r="B6" s="10">
        <v>0.73528068145917824</v>
      </c>
      <c r="C6" s="10">
        <v>0.49010711261626511</v>
      </c>
      <c r="D6" s="12">
        <v>1</v>
      </c>
      <c r="E6" s="10">
        <f t="shared" si="0"/>
        <v>0.23110807441192063</v>
      </c>
      <c r="F6" s="10">
        <f t="shared" si="1"/>
        <v>2.5910273275076978</v>
      </c>
      <c r="G6" s="10">
        <f t="shared" si="2"/>
        <v>3.4018583485039358</v>
      </c>
      <c r="H6" s="10">
        <f t="shared" si="3"/>
        <v>0.23110807441192063</v>
      </c>
      <c r="I6" s="12">
        <f t="shared" si="4"/>
        <v>1</v>
      </c>
      <c r="R6" s="10">
        <v>6</v>
      </c>
      <c r="S6" s="10">
        <v>-0.25333199949433871</v>
      </c>
      <c r="T6" s="10">
        <v>0.83105119095801483</v>
      </c>
      <c r="U6" s="13">
        <v>2</v>
      </c>
    </row>
    <row r="7" spans="1:21">
      <c r="A7" s="10">
        <v>6</v>
      </c>
      <c r="B7" s="10">
        <v>-0.25333199949433871</v>
      </c>
      <c r="C7" s="10">
        <v>0.83105119095801483</v>
      </c>
      <c r="D7" s="13">
        <v>2</v>
      </c>
      <c r="E7" s="10">
        <f t="shared" si="0"/>
        <v>0.59428904569561802</v>
      </c>
      <c r="F7" s="10">
        <f t="shared" si="1"/>
        <v>0.76051413256491629</v>
      </c>
      <c r="G7" s="10">
        <f t="shared" si="2"/>
        <v>6.595625853491434</v>
      </c>
      <c r="H7" s="10">
        <f t="shared" si="3"/>
        <v>0.59428904569561802</v>
      </c>
      <c r="I7" s="12">
        <f t="shared" si="4"/>
        <v>1</v>
      </c>
      <c r="R7" s="10">
        <v>8</v>
      </c>
      <c r="S7" s="10">
        <v>-1.0442221442571522</v>
      </c>
      <c r="T7" s="10">
        <v>-0.53272512240898384</v>
      </c>
      <c r="U7" s="13">
        <v>2</v>
      </c>
    </row>
    <row r="8" spans="1:21">
      <c r="A8" s="10">
        <v>7</v>
      </c>
      <c r="B8" s="10">
        <v>1.476740192174316</v>
      </c>
      <c r="C8" s="10">
        <v>-1.5555573574342327</v>
      </c>
      <c r="D8" s="14">
        <v>3</v>
      </c>
      <c r="E8" s="10">
        <f t="shared" si="0"/>
        <v>7.0391136964313716</v>
      </c>
      <c r="F8" s="10">
        <f t="shared" si="1"/>
        <v>8.4506346587844501</v>
      </c>
      <c r="G8" s="10">
        <f t="shared" si="2"/>
        <v>0.1533485642777106</v>
      </c>
      <c r="H8" s="10">
        <f t="shared" si="3"/>
        <v>0.1533485642777106</v>
      </c>
      <c r="I8" s="14">
        <f t="shared" si="4"/>
        <v>3</v>
      </c>
      <c r="R8" s="10">
        <v>1</v>
      </c>
      <c r="S8" s="10">
        <v>0.88357258360220581</v>
      </c>
      <c r="T8" s="10">
        <v>-1.0441412399216083</v>
      </c>
      <c r="U8" s="14">
        <v>3</v>
      </c>
    </row>
    <row r="9" spans="1:21">
      <c r="A9" s="10">
        <v>8</v>
      </c>
      <c r="B9" s="10">
        <v>-1.0442221442571522</v>
      </c>
      <c r="C9" s="10">
        <v>-0.53272512240898384</v>
      </c>
      <c r="D9" s="13">
        <v>2</v>
      </c>
      <c r="E9" s="10">
        <f t="shared" si="0"/>
        <v>4.5240880696402588</v>
      </c>
      <c r="F9" s="10">
        <f t="shared" si="1"/>
        <v>0.56400338657974936</v>
      </c>
      <c r="G9" s="10">
        <f t="shared" si="2"/>
        <v>5.5363393560856764</v>
      </c>
      <c r="H9" s="10">
        <f t="shared" si="3"/>
        <v>0.56400338657974936</v>
      </c>
      <c r="I9" s="13">
        <f t="shared" si="4"/>
        <v>2</v>
      </c>
      <c r="R9" s="10">
        <v>7</v>
      </c>
      <c r="S9" s="10">
        <v>1.476740192174316</v>
      </c>
      <c r="T9" s="10">
        <v>-1.5555573574342327</v>
      </c>
      <c r="U9" s="14">
        <v>3</v>
      </c>
    </row>
    <row r="15" spans="1:21">
      <c r="I15"/>
      <c r="J15"/>
      <c r="K15"/>
      <c r="L15"/>
      <c r="M15"/>
      <c r="N15"/>
      <c r="O15"/>
    </row>
    <row r="16" spans="1:21">
      <c r="C16" s="59" t="s">
        <v>39</v>
      </c>
      <c r="D16" s="59"/>
      <c r="E16" s="59"/>
      <c r="I16"/>
      <c r="J16"/>
      <c r="K16"/>
      <c r="L16"/>
      <c r="M16"/>
      <c r="N16"/>
      <c r="O16"/>
    </row>
    <row r="17" spans="9:15">
      <c r="I17"/>
      <c r="J17"/>
      <c r="K17"/>
      <c r="L17"/>
      <c r="M17"/>
      <c r="N17"/>
      <c r="O17"/>
    </row>
    <row r="18" spans="9:15">
      <c r="I18"/>
      <c r="J18"/>
      <c r="K18"/>
      <c r="L18"/>
      <c r="M18"/>
      <c r="N18"/>
      <c r="O18"/>
    </row>
    <row r="19" spans="9:15">
      <c r="I19"/>
      <c r="J19"/>
      <c r="K19"/>
      <c r="L19"/>
      <c r="M19"/>
      <c r="N19"/>
      <c r="O19"/>
    </row>
    <row r="20" spans="9:15">
      <c r="I20"/>
      <c r="J20"/>
      <c r="K20"/>
      <c r="L20"/>
      <c r="M20"/>
      <c r="N20"/>
      <c r="O20"/>
    </row>
    <row r="21" spans="9:15">
      <c r="I21"/>
      <c r="J21"/>
      <c r="K21"/>
      <c r="L21"/>
      <c r="M21"/>
      <c r="N21"/>
      <c r="O21"/>
    </row>
    <row r="22" spans="9:15">
      <c r="I22"/>
      <c r="J22"/>
      <c r="K22"/>
      <c r="L22"/>
      <c r="M22"/>
      <c r="N22"/>
      <c r="O22"/>
    </row>
    <row r="23" spans="9:15">
      <c r="I23"/>
      <c r="J23"/>
      <c r="K23"/>
      <c r="L23"/>
      <c r="M23"/>
      <c r="N23"/>
      <c r="O23"/>
    </row>
    <row r="24" spans="9:15">
      <c r="I24"/>
      <c r="J24"/>
      <c r="K24"/>
      <c r="L24"/>
      <c r="M24"/>
      <c r="N24"/>
      <c r="O24"/>
    </row>
    <row r="25" spans="9:15">
      <c r="I25"/>
      <c r="J25"/>
      <c r="K25"/>
      <c r="L25"/>
      <c r="M25"/>
      <c r="N25"/>
      <c r="O25"/>
    </row>
    <row r="26" spans="9:15">
      <c r="I26"/>
      <c r="J26"/>
      <c r="K26"/>
      <c r="L26"/>
      <c r="M26"/>
      <c r="N26"/>
      <c r="O26"/>
    </row>
    <row r="27" spans="9:15">
      <c r="I27"/>
      <c r="J27"/>
      <c r="K27"/>
      <c r="L27"/>
      <c r="M27"/>
      <c r="N27"/>
      <c r="O27"/>
    </row>
  </sheetData>
  <sortState ref="J18:M25">
    <sortCondition ref="M18"/>
  </sortState>
  <mergeCells count="1">
    <mergeCell ref="C16:E16"/>
  </mergeCells>
  <phoneticPr fontId="1" type="noConversion"/>
  <pageMargins left="0.7" right="0.7" top="0.75" bottom="0.75" header="0.3" footer="0.3"/>
  <ignoredErrors>
    <ignoredError sqref="M2:O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I2" sqref="I2"/>
    </sheetView>
  </sheetViews>
  <sheetFormatPr defaultColWidth="9" defaultRowHeight="16.2"/>
  <cols>
    <col min="1" max="1" width="3.88671875" style="10" bestFit="1" customWidth="1"/>
    <col min="2" max="3" width="13.44140625" style="10" bestFit="1" customWidth="1"/>
    <col min="4" max="4" width="11.6640625" style="10" bestFit="1" customWidth="1"/>
    <col min="5" max="8" width="12.77734375" style="10" bestFit="1" customWidth="1"/>
    <col min="9" max="9" width="11.6640625" style="10" bestFit="1" customWidth="1"/>
    <col min="10" max="11" width="9" style="10"/>
    <col min="12" max="12" width="9.44140625" style="10" bestFit="1" customWidth="1"/>
    <col min="13" max="13" width="12.77734375" style="10" bestFit="1" customWidth="1"/>
    <col min="14" max="15" width="13.44140625" style="10" bestFit="1" customWidth="1"/>
    <col min="16" max="17" width="9" style="10"/>
    <col min="18" max="18" width="3.88671875" style="10" bestFit="1" customWidth="1"/>
    <col min="19" max="20" width="13.44140625" style="10" bestFit="1" customWidth="1"/>
    <col min="21" max="21" width="11.6640625" style="10" bestFit="1" customWidth="1"/>
    <col min="22" max="16384" width="9" style="10"/>
  </cols>
  <sheetData>
    <row r="1" spans="1:21">
      <c r="A1" s="10" t="s">
        <v>22</v>
      </c>
      <c r="B1" s="10" t="s">
        <v>19</v>
      </c>
      <c r="C1" s="10" t="s">
        <v>21</v>
      </c>
      <c r="D1" s="25" t="s">
        <v>38</v>
      </c>
      <c r="E1" s="10" t="s">
        <v>23</v>
      </c>
      <c r="F1" s="10" t="s">
        <v>34</v>
      </c>
      <c r="G1" s="10" t="s">
        <v>25</v>
      </c>
      <c r="H1" s="10" t="s">
        <v>40</v>
      </c>
      <c r="I1" s="25" t="s">
        <v>41</v>
      </c>
      <c r="L1" s="15" t="s">
        <v>27</v>
      </c>
      <c r="M1" s="16" t="s">
        <v>29</v>
      </c>
      <c r="N1" s="16" t="s">
        <v>30</v>
      </c>
      <c r="O1" s="17" t="s">
        <v>31</v>
      </c>
      <c r="R1" s="10" t="s">
        <v>22</v>
      </c>
      <c r="S1" s="10" t="s">
        <v>19</v>
      </c>
      <c r="T1" s="10" t="s">
        <v>21</v>
      </c>
      <c r="U1" s="25" t="s">
        <v>38</v>
      </c>
    </row>
    <row r="2" spans="1:21">
      <c r="A2" s="10">
        <v>1</v>
      </c>
      <c r="B2" s="10">
        <v>0.88357258360220581</v>
      </c>
      <c r="C2" s="10">
        <v>-1.0441412399216083</v>
      </c>
      <c r="D2" s="14">
        <v>3</v>
      </c>
      <c r="E2" s="10">
        <f>SUMXMY2($B2:$C2,M$2:M$3)</f>
        <v>4.1247155028547962</v>
      </c>
      <c r="F2" s="10">
        <f t="shared" ref="F2:G9" si="0">SUMXMY2($B2:$C2,N$2:N$3)</f>
        <v>4.7625782937690833</v>
      </c>
      <c r="G2" s="10">
        <f t="shared" si="0"/>
        <v>0.15334856427771065</v>
      </c>
      <c r="H2" s="10">
        <f>MIN(E2:G2)</f>
        <v>0.15334856427771065</v>
      </c>
      <c r="I2" s="14">
        <f>IF(H2=E2,1,IF(H2=F2,2,3))</f>
        <v>3</v>
      </c>
      <c r="L2" s="26" t="s">
        <v>20</v>
      </c>
      <c r="M2" s="27">
        <f>AVERAGE(S2:S4)</f>
        <v>0.25745121899831169</v>
      </c>
      <c r="N2" s="27">
        <f>AVERAGE(S5:S7)</f>
        <v>-1.0442221442571522</v>
      </c>
      <c r="O2" s="28">
        <f>AVERAGE(S8:S9)</f>
        <v>1.1801563878882608</v>
      </c>
      <c r="R2" s="10">
        <v>3</v>
      </c>
      <c r="S2" s="10">
        <v>0.2904049750300956</v>
      </c>
      <c r="T2" s="10">
        <v>1.3424673084706393</v>
      </c>
      <c r="U2" s="12">
        <v>1</v>
      </c>
    </row>
    <row r="3" spans="1:21" ht="16.8" thickBot="1">
      <c r="A3" s="10">
        <v>2</v>
      </c>
      <c r="B3" s="10">
        <v>-0.84649960806644886</v>
      </c>
      <c r="C3" s="10">
        <v>0.66057915178714</v>
      </c>
      <c r="D3" s="13">
        <v>2</v>
      </c>
      <c r="E3" s="10">
        <f t="shared" ref="E3:E9" si="1">SUMXMY2($B3:$C3,M$2:M$3)</f>
        <v>1.2703709239353265</v>
      </c>
      <c r="F3" s="10">
        <f t="shared" si="0"/>
        <v>0.5040656595429045</v>
      </c>
      <c r="G3" s="10">
        <f t="shared" si="0"/>
        <v>7.9506142353320151</v>
      </c>
      <c r="H3" s="10">
        <f t="shared" ref="H3:H9" si="2">MIN(E3:G3)</f>
        <v>0.5040656595429045</v>
      </c>
      <c r="I3" s="13">
        <f t="shared" ref="I3:I8" si="3">IF(H3=E3,1,IF(H3=F3,2,3))</f>
        <v>2</v>
      </c>
      <c r="L3" s="29" t="s">
        <v>28</v>
      </c>
      <c r="M3" s="30">
        <f>AVERAGE(T2:T4)</f>
        <v>0.88787520401497311</v>
      </c>
      <c r="N3" s="30">
        <f>AVERAGE(T5:T7)</f>
        <v>-2.130900489635934E-2</v>
      </c>
      <c r="O3" s="31">
        <f>AVERAGE(T8:T9)</f>
        <v>-1.2998492986779207</v>
      </c>
      <c r="R3" s="10">
        <v>5</v>
      </c>
      <c r="S3" s="10">
        <v>0.73528068145917824</v>
      </c>
      <c r="T3" s="10">
        <v>0.49010711261626511</v>
      </c>
      <c r="U3" s="12">
        <v>1</v>
      </c>
    </row>
    <row r="4" spans="1:21">
      <c r="A4" s="10">
        <v>3</v>
      </c>
      <c r="B4" s="10">
        <v>0.2904049750300956</v>
      </c>
      <c r="C4" s="10">
        <v>1.3424673084706393</v>
      </c>
      <c r="D4" s="12">
        <v>1</v>
      </c>
      <c r="E4" s="10">
        <f t="shared" si="1"/>
        <v>0.2077399314700337</v>
      </c>
      <c r="F4" s="10">
        <f t="shared" si="0"/>
        <v>3.64111538043786</v>
      </c>
      <c r="G4" s="10">
        <f t="shared" si="0"/>
        <v>7.7734946290961782</v>
      </c>
      <c r="H4" s="10">
        <f t="shared" si="2"/>
        <v>0.2077399314700337</v>
      </c>
      <c r="I4" s="12">
        <f t="shared" si="3"/>
        <v>1</v>
      </c>
      <c r="R4" s="10">
        <v>6</v>
      </c>
      <c r="S4" s="10">
        <v>-0.25333199949433871</v>
      </c>
      <c r="T4" s="10">
        <v>0.83105119095801483</v>
      </c>
      <c r="U4" s="12">
        <v>1</v>
      </c>
    </row>
    <row r="5" spans="1:21">
      <c r="A5" s="10">
        <v>4</v>
      </c>
      <c r="B5" s="10">
        <v>-1.2419446804478556</v>
      </c>
      <c r="C5" s="10">
        <v>-0.19178104406723417</v>
      </c>
      <c r="D5" s="13">
        <v>2</v>
      </c>
      <c r="E5" s="10">
        <f t="shared" si="1"/>
        <v>3.4138456772989292</v>
      </c>
      <c r="F5" s="10">
        <f t="shared" si="0"/>
        <v>6.8154917456760278E-2</v>
      </c>
      <c r="G5" s="10">
        <f t="shared" si="0"/>
        <v>7.0943888421109298</v>
      </c>
      <c r="H5" s="10">
        <f t="shared" si="2"/>
        <v>6.8154917456760278E-2</v>
      </c>
      <c r="I5" s="13">
        <f t="shared" si="3"/>
        <v>2</v>
      </c>
      <c r="R5" s="10">
        <v>2</v>
      </c>
      <c r="S5" s="10">
        <v>-0.84649960806644886</v>
      </c>
      <c r="T5" s="10">
        <v>0.66057915178714</v>
      </c>
      <c r="U5" s="13">
        <v>2</v>
      </c>
    </row>
    <row r="6" spans="1:21">
      <c r="A6" s="10">
        <v>5</v>
      </c>
      <c r="B6" s="10">
        <v>0.73528068145917824</v>
      </c>
      <c r="C6" s="10">
        <v>0.49010711261626511</v>
      </c>
      <c r="D6" s="12">
        <v>1</v>
      </c>
      <c r="E6" s="10">
        <f t="shared" si="1"/>
        <v>0.38654044973061158</v>
      </c>
      <c r="F6" s="10">
        <f t="shared" si="0"/>
        <v>3.4281767519840907</v>
      </c>
      <c r="G6" s="10">
        <f t="shared" si="0"/>
        <v>3.4018583485039358</v>
      </c>
      <c r="H6" s="10">
        <f t="shared" si="2"/>
        <v>0.38654044973061158</v>
      </c>
      <c r="I6" s="12">
        <f t="shared" si="3"/>
        <v>1</v>
      </c>
      <c r="R6" s="10">
        <v>4</v>
      </c>
      <c r="S6" s="10">
        <v>-1.2419446804478556</v>
      </c>
      <c r="T6" s="10">
        <v>-0.19178104406723417</v>
      </c>
      <c r="U6" s="13">
        <v>2</v>
      </c>
    </row>
    <row r="7" spans="1:21">
      <c r="A7" s="10">
        <v>6</v>
      </c>
      <c r="B7" s="10">
        <v>-0.25333199949433871</v>
      </c>
      <c r="C7" s="10">
        <v>0.83105119095801483</v>
      </c>
      <c r="D7" s="12">
        <v>1</v>
      </c>
      <c r="E7" s="10">
        <f t="shared" si="1"/>
        <v>0.26412846475360796</v>
      </c>
      <c r="F7" s="10">
        <f t="shared" si="0"/>
        <v>1.3520251245598511</v>
      </c>
      <c r="G7" s="10">
        <f t="shared" si="0"/>
        <v>6.595625853491434</v>
      </c>
      <c r="H7" s="10">
        <f t="shared" si="2"/>
        <v>0.26412846475360796</v>
      </c>
      <c r="I7" s="12">
        <f t="shared" si="3"/>
        <v>1</v>
      </c>
      <c r="R7" s="10">
        <v>8</v>
      </c>
      <c r="S7" s="10">
        <v>-1.0442221442571522</v>
      </c>
      <c r="T7" s="10">
        <v>-0.53272512240898384</v>
      </c>
      <c r="U7" s="13">
        <v>2</v>
      </c>
    </row>
    <row r="8" spans="1:21">
      <c r="A8" s="10">
        <v>7</v>
      </c>
      <c r="B8" s="10">
        <v>1.476740192174316</v>
      </c>
      <c r="C8" s="10">
        <v>-1.5555573574342327</v>
      </c>
      <c r="D8" s="14">
        <v>3</v>
      </c>
      <c r="E8" s="10">
        <f t="shared" si="1"/>
        <v>7.4570282824588219</v>
      </c>
      <c r="F8" s="10">
        <f t="shared" si="0"/>
        <v>8.7091691089711869</v>
      </c>
      <c r="G8" s="10">
        <f t="shared" si="0"/>
        <v>0.1533485642777106</v>
      </c>
      <c r="H8" s="10">
        <f t="shared" si="2"/>
        <v>0.1533485642777106</v>
      </c>
      <c r="I8" s="14">
        <f t="shared" si="3"/>
        <v>3</v>
      </c>
      <c r="R8" s="10">
        <v>1</v>
      </c>
      <c r="S8" s="10">
        <v>0.88357258360220581</v>
      </c>
      <c r="T8" s="10">
        <v>-1.0441412399216083</v>
      </c>
      <c r="U8" s="14">
        <v>3</v>
      </c>
    </row>
    <row r="9" spans="1:21">
      <c r="A9" s="10">
        <v>8</v>
      </c>
      <c r="B9" s="10">
        <v>-1.0442221442571522</v>
      </c>
      <c r="C9" s="10">
        <v>-0.53272512240898384</v>
      </c>
      <c r="D9" s="13">
        <v>2</v>
      </c>
      <c r="E9" s="10">
        <f t="shared" si="1"/>
        <v>3.7124588320446446</v>
      </c>
      <c r="F9" s="10">
        <f t="shared" si="0"/>
        <v>0.26154644525168658</v>
      </c>
      <c r="G9" s="10">
        <f t="shared" si="0"/>
        <v>5.5363393560856764</v>
      </c>
      <c r="H9" s="10">
        <f t="shared" si="2"/>
        <v>0.26154644525168658</v>
      </c>
      <c r="I9" s="13">
        <f>IF(H9=E9,1,IF(H9=F9,2,3))</f>
        <v>2</v>
      </c>
      <c r="R9" s="10">
        <v>7</v>
      </c>
      <c r="S9" s="10">
        <v>1.476740192174316</v>
      </c>
      <c r="T9" s="10">
        <v>-1.5555573574342327</v>
      </c>
      <c r="U9" s="14">
        <v>3</v>
      </c>
    </row>
    <row r="16" spans="1:21">
      <c r="C16" s="59" t="s">
        <v>42</v>
      </c>
      <c r="D16" s="59"/>
      <c r="E16" s="59"/>
    </row>
  </sheetData>
  <sortState ref="R2:U9">
    <sortCondition ref="U18"/>
  </sortState>
  <mergeCells count="1">
    <mergeCell ref="C16:E16"/>
  </mergeCells>
  <phoneticPr fontId="1" type="noConversion"/>
  <pageMargins left="0.7" right="0.7" top="0.75" bottom="0.75" header="0.3" footer="0.3"/>
  <ignoredErrors>
    <ignoredError sqref="M2:O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F20" sqref="F20"/>
    </sheetView>
  </sheetViews>
  <sheetFormatPr defaultRowHeight="16.2"/>
  <cols>
    <col min="1" max="1" width="14.6640625" bestFit="1" customWidth="1"/>
    <col min="2" max="3" width="13.44140625" bestFit="1" customWidth="1"/>
    <col min="4" max="4" width="7.77734375" style="10" bestFit="1" customWidth="1"/>
    <col min="5" max="5" width="10.33203125" style="10" bestFit="1" customWidth="1"/>
    <col min="8" max="8" width="10.33203125" style="10" bestFit="1" customWidth="1"/>
    <col min="9" max="9" width="12.77734375" style="10" bestFit="1" customWidth="1"/>
    <col min="10" max="11" width="13.44140625" style="10" bestFit="1" customWidth="1"/>
  </cols>
  <sheetData>
    <row r="1" spans="1:11">
      <c r="A1" s="36" t="s">
        <v>59</v>
      </c>
      <c r="B1" s="36" t="s">
        <v>60</v>
      </c>
      <c r="C1" s="36" t="s">
        <v>46</v>
      </c>
      <c r="D1" s="4" t="s">
        <v>43</v>
      </c>
      <c r="E1" s="4" t="s">
        <v>44</v>
      </c>
      <c r="F1" s="60" t="s">
        <v>80</v>
      </c>
      <c r="G1" s="60"/>
      <c r="H1" s="36" t="s">
        <v>61</v>
      </c>
      <c r="I1" s="36" t="s">
        <v>63</v>
      </c>
      <c r="J1" s="36" t="s">
        <v>64</v>
      </c>
      <c r="K1" s="36" t="s">
        <v>65</v>
      </c>
    </row>
    <row r="2" spans="1:11">
      <c r="A2" s="10">
        <v>1</v>
      </c>
      <c r="B2" s="10">
        <v>0.88357258360220581</v>
      </c>
      <c r="C2" s="10">
        <v>-1.0441412399216083</v>
      </c>
      <c r="D2" s="32">
        <f>(B2*$B$13)+$B$12</f>
        <v>60</v>
      </c>
      <c r="E2" s="32">
        <f>(C2*$C$13)+$C$12</f>
        <v>5</v>
      </c>
      <c r="F2" s="68">
        <v>3</v>
      </c>
      <c r="H2" s="36" t="s">
        <v>4</v>
      </c>
      <c r="I2" s="10">
        <v>0.25745121899831169</v>
      </c>
      <c r="J2" s="10">
        <v>-1.0442221442571522</v>
      </c>
      <c r="K2" s="10">
        <v>1.1801563878882608</v>
      </c>
    </row>
    <row r="3" spans="1:11">
      <c r="A3" s="10">
        <v>2</v>
      </c>
      <c r="B3" s="10">
        <v>-0.84649960806644886</v>
      </c>
      <c r="C3" s="10">
        <v>0.66057915178714</v>
      </c>
      <c r="D3" s="32">
        <f t="shared" ref="D3:D9" si="0">(B3*$B$13)+$B$12</f>
        <v>25</v>
      </c>
      <c r="E3" s="32">
        <f t="shared" ref="E3:E9" si="1">(C3*$C$13)+$C$12</f>
        <v>15</v>
      </c>
      <c r="F3" s="68">
        <v>2</v>
      </c>
      <c r="H3" s="36" t="s">
        <v>62</v>
      </c>
      <c r="I3" s="10">
        <v>0.88787520401497311</v>
      </c>
      <c r="J3" s="10">
        <v>-2.130900489635934E-2</v>
      </c>
      <c r="K3" s="10">
        <v>-1.2998492986779207</v>
      </c>
    </row>
    <row r="4" spans="1:11">
      <c r="A4" s="10">
        <v>3</v>
      </c>
      <c r="B4" s="10">
        <v>0.2904049750300956</v>
      </c>
      <c r="C4" s="10">
        <v>1.3424673084706393</v>
      </c>
      <c r="D4" s="32">
        <f t="shared" si="0"/>
        <v>48</v>
      </c>
      <c r="E4" s="32">
        <f t="shared" si="1"/>
        <v>19</v>
      </c>
      <c r="F4" s="68">
        <v>1</v>
      </c>
      <c r="H4" s="4" t="s">
        <v>45</v>
      </c>
      <c r="I4" s="39">
        <f>(I2*$B$13)+$B$12</f>
        <v>47.333333333333336</v>
      </c>
      <c r="J4" s="39">
        <f>(J2*$B$13)+$B$12</f>
        <v>21</v>
      </c>
      <c r="K4" s="39">
        <f>(K2*$B$13)+$B$12</f>
        <v>66</v>
      </c>
    </row>
    <row r="5" spans="1:11">
      <c r="A5" s="10">
        <v>4</v>
      </c>
      <c r="B5" s="10">
        <v>-1.2419446804478556</v>
      </c>
      <c r="C5" s="10">
        <v>-0.19178104406723417</v>
      </c>
      <c r="D5" s="32">
        <f t="shared" si="0"/>
        <v>17.000000000000004</v>
      </c>
      <c r="E5" s="32">
        <f t="shared" si="1"/>
        <v>10</v>
      </c>
      <c r="F5" s="68">
        <v>2</v>
      </c>
      <c r="H5" s="4" t="s">
        <v>47</v>
      </c>
      <c r="I5" s="33">
        <f>I3*$C$13+$C$12</f>
        <v>16.333333333333336</v>
      </c>
      <c r="J5" s="33">
        <f t="shared" ref="J5:K5" si="2">J3*$C$13+$C$12</f>
        <v>11</v>
      </c>
      <c r="K5" s="33">
        <f t="shared" si="2"/>
        <v>3.4999999999999991</v>
      </c>
    </row>
    <row r="6" spans="1:11" ht="32.4">
      <c r="A6" s="10">
        <v>5</v>
      </c>
      <c r="B6" s="10">
        <v>0.73528068145917824</v>
      </c>
      <c r="C6" s="10">
        <v>0.49010711261626511</v>
      </c>
      <c r="D6" s="32">
        <f t="shared" si="0"/>
        <v>57</v>
      </c>
      <c r="E6" s="32">
        <f t="shared" si="1"/>
        <v>14</v>
      </c>
      <c r="F6" s="68">
        <v>1</v>
      </c>
      <c r="H6" s="41" t="s">
        <v>66</v>
      </c>
      <c r="I6" s="40" t="s">
        <v>67</v>
      </c>
      <c r="J6" s="40" t="s">
        <v>69</v>
      </c>
      <c r="K6" s="40" t="s">
        <v>68</v>
      </c>
    </row>
    <row r="7" spans="1:11">
      <c r="A7" s="10">
        <v>6</v>
      </c>
      <c r="B7" s="10">
        <v>-0.25333199949433871</v>
      </c>
      <c r="C7" s="10">
        <v>0.83105119095801483</v>
      </c>
      <c r="D7" s="32">
        <f t="shared" si="0"/>
        <v>37</v>
      </c>
      <c r="E7" s="32">
        <f t="shared" si="1"/>
        <v>16</v>
      </c>
      <c r="F7" s="68">
        <v>1</v>
      </c>
    </row>
    <row r="8" spans="1:11">
      <c r="A8" s="10">
        <v>7</v>
      </c>
      <c r="B8" s="10">
        <v>1.476740192174316</v>
      </c>
      <c r="C8" s="10">
        <v>-1.5555573574342327</v>
      </c>
      <c r="D8" s="32">
        <f t="shared" si="0"/>
        <v>72</v>
      </c>
      <c r="E8" s="32">
        <f t="shared" si="1"/>
        <v>2</v>
      </c>
      <c r="F8" s="68">
        <v>3</v>
      </c>
    </row>
    <row r="9" spans="1:11">
      <c r="A9" s="10">
        <v>8</v>
      </c>
      <c r="B9" s="10">
        <v>-1.0442221442571522</v>
      </c>
      <c r="C9" s="10">
        <v>-0.53272512240898384</v>
      </c>
      <c r="D9" s="32">
        <f t="shared" si="0"/>
        <v>21</v>
      </c>
      <c r="E9" s="32">
        <f t="shared" si="1"/>
        <v>8</v>
      </c>
      <c r="F9" s="68">
        <v>2</v>
      </c>
    </row>
    <row r="12" spans="1:11">
      <c r="A12" s="11" t="s">
        <v>58</v>
      </c>
      <c r="B12">
        <v>42.125</v>
      </c>
      <c r="C12">
        <v>11.125</v>
      </c>
    </row>
    <row r="13" spans="1:11">
      <c r="A13" s="11" t="s">
        <v>6</v>
      </c>
      <c r="B13">
        <v>20.230369673905052</v>
      </c>
      <c r="C13">
        <v>5.8660646336120683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0"/>
  <sheetViews>
    <sheetView topLeftCell="A4" workbookViewId="0">
      <selection activeCell="H9" sqref="H9:I9"/>
    </sheetView>
  </sheetViews>
  <sheetFormatPr defaultRowHeight="16.2"/>
  <cols>
    <col min="1" max="1" width="14.88671875" customWidth="1"/>
    <col min="2" max="3" width="12.77734375" bestFit="1" customWidth="1"/>
    <col min="4" max="4" width="15.77734375" customWidth="1"/>
    <col min="8" max="9" width="13.44140625" bestFit="1" customWidth="1"/>
    <col min="12" max="12" width="27.88671875" customWidth="1"/>
  </cols>
  <sheetData>
    <row r="1" spans="1:12">
      <c r="A1" s="51" t="s">
        <v>72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>
      <c r="A2" s="51" t="s">
        <v>17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>
      <c r="A3" s="51" t="s">
        <v>14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>
      <c r="A4" s="51" t="s">
        <v>16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12">
      <c r="A5" s="58" t="s">
        <v>70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</row>
    <row r="6" spans="1:12">
      <c r="A6" s="51" t="s">
        <v>15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12">
      <c r="A7" s="2"/>
      <c r="B7" t="s">
        <v>4</v>
      </c>
      <c r="C7" t="s">
        <v>5</v>
      </c>
    </row>
    <row r="8" spans="1:12">
      <c r="A8" s="8" t="s">
        <v>7</v>
      </c>
      <c r="B8">
        <f>AVERAGE(B11:B26)</f>
        <v>54.5625</v>
      </c>
      <c r="C8">
        <f>AVERAGE(C11:C26)</f>
        <v>10.375</v>
      </c>
    </row>
    <row r="9" spans="1:12">
      <c r="A9" s="8" t="s">
        <v>6</v>
      </c>
      <c r="B9">
        <f>STDEV(B11:B26)</f>
        <v>12.680529694509348</v>
      </c>
      <c r="C9">
        <f>STDEV(C11:C26)</f>
        <v>4.224926034855522</v>
      </c>
      <c r="H9" s="50" t="s">
        <v>74</v>
      </c>
      <c r="I9" s="50"/>
    </row>
    <row r="10" spans="1:12">
      <c r="A10" s="5" t="s">
        <v>2</v>
      </c>
      <c r="B10" s="6" t="s">
        <v>0</v>
      </c>
      <c r="C10" s="6" t="s">
        <v>1</v>
      </c>
      <c r="D10" s="4" t="s">
        <v>13</v>
      </c>
      <c r="H10" s="37" t="s">
        <v>0</v>
      </c>
      <c r="I10" s="37" t="s">
        <v>1</v>
      </c>
    </row>
    <row r="11" spans="1:12">
      <c r="A11" s="2">
        <v>1</v>
      </c>
      <c r="B11">
        <v>58</v>
      </c>
      <c r="C11">
        <v>13</v>
      </c>
      <c r="D11" s="7">
        <v>1</v>
      </c>
      <c r="H11">
        <f>($B11-$B$8)/$B$9</f>
        <v>0.27108489020678944</v>
      </c>
      <c r="I11">
        <f>($C11-$C$8)/$C$9</f>
        <v>0.62131265218463549</v>
      </c>
    </row>
    <row r="12" spans="1:12">
      <c r="A12" s="2">
        <v>2</v>
      </c>
      <c r="B12">
        <v>72</v>
      </c>
      <c r="C12">
        <v>1</v>
      </c>
      <c r="D12" s="7">
        <v>0</v>
      </c>
      <c r="H12">
        <f t="shared" ref="H12:H26" si="0">($B12-$B$8)/$B$9</f>
        <v>1.3751397157762593</v>
      </c>
      <c r="I12">
        <f t="shared" ref="I12:I26" si="1">($C12-$C$8)/$C$9</f>
        <v>-2.2189737578022695</v>
      </c>
    </row>
    <row r="13" spans="1:12">
      <c r="A13" s="2">
        <v>3</v>
      </c>
      <c r="B13">
        <v>45</v>
      </c>
      <c r="C13">
        <v>11</v>
      </c>
      <c r="D13" s="7">
        <v>1</v>
      </c>
      <c r="H13">
        <f t="shared" si="0"/>
        <v>-0.75410887639343249</v>
      </c>
      <c r="I13">
        <f t="shared" si="1"/>
        <v>0.14793158385348462</v>
      </c>
    </row>
    <row r="14" spans="1:12">
      <c r="A14" s="2">
        <v>4</v>
      </c>
      <c r="B14">
        <v>40</v>
      </c>
      <c r="C14">
        <v>9</v>
      </c>
      <c r="D14" s="7">
        <v>1</v>
      </c>
      <c r="H14">
        <f t="shared" si="0"/>
        <v>-1.1484141712396716</v>
      </c>
      <c r="I14">
        <f t="shared" si="1"/>
        <v>-0.3254494844776662</v>
      </c>
    </row>
    <row r="15" spans="1:12">
      <c r="A15" s="2">
        <v>5</v>
      </c>
      <c r="B15">
        <v>38</v>
      </c>
      <c r="C15">
        <v>10</v>
      </c>
      <c r="D15" s="7">
        <v>1</v>
      </c>
      <c r="H15">
        <f t="shared" si="0"/>
        <v>-1.3061362891781674</v>
      </c>
      <c r="I15">
        <f t="shared" si="1"/>
        <v>-8.8758950312090787E-2</v>
      </c>
    </row>
    <row r="16" spans="1:12">
      <c r="A16" s="2">
        <v>6</v>
      </c>
      <c r="B16">
        <v>48</v>
      </c>
      <c r="C16">
        <v>9</v>
      </c>
      <c r="D16" s="7">
        <v>1</v>
      </c>
      <c r="H16">
        <f t="shared" si="0"/>
        <v>-0.51752569948568894</v>
      </c>
      <c r="I16">
        <f t="shared" si="1"/>
        <v>-0.3254494844776662</v>
      </c>
    </row>
    <row r="17" spans="1:12">
      <c r="A17" s="2">
        <v>7</v>
      </c>
      <c r="B17">
        <v>64</v>
      </c>
      <c r="C17">
        <v>12</v>
      </c>
      <c r="D17" s="7">
        <v>0</v>
      </c>
      <c r="H17">
        <f t="shared" si="0"/>
        <v>0.74425124402227649</v>
      </c>
      <c r="I17">
        <f t="shared" si="1"/>
        <v>0.38462211801906004</v>
      </c>
    </row>
    <row r="18" spans="1:12">
      <c r="A18" s="2">
        <v>8</v>
      </c>
      <c r="B18">
        <v>34</v>
      </c>
      <c r="C18">
        <v>5</v>
      </c>
      <c r="D18" s="7">
        <v>1</v>
      </c>
      <c r="H18">
        <f t="shared" si="0"/>
        <v>-1.6215805250551587</v>
      </c>
      <c r="I18">
        <f t="shared" si="1"/>
        <v>-1.2722116211399679</v>
      </c>
    </row>
    <row r="19" spans="1:12">
      <c r="A19" s="2">
        <v>9</v>
      </c>
      <c r="B19">
        <v>57</v>
      </c>
      <c r="C19">
        <v>15</v>
      </c>
      <c r="D19" s="7">
        <v>1</v>
      </c>
      <c r="H19">
        <f t="shared" si="0"/>
        <v>0.19222383123754161</v>
      </c>
      <c r="I19">
        <f t="shared" si="1"/>
        <v>1.0946937205157863</v>
      </c>
    </row>
    <row r="20" spans="1:12">
      <c r="A20" s="2">
        <v>10</v>
      </c>
      <c r="B20">
        <v>46</v>
      </c>
      <c r="C20">
        <v>10</v>
      </c>
      <c r="D20" s="7">
        <v>1</v>
      </c>
      <c r="H20">
        <f t="shared" si="0"/>
        <v>-0.6752478174241846</v>
      </c>
      <c r="I20">
        <f t="shared" si="1"/>
        <v>-8.8758950312090787E-2</v>
      </c>
    </row>
    <row r="21" spans="1:12">
      <c r="A21" s="2">
        <v>11</v>
      </c>
      <c r="B21">
        <v>69</v>
      </c>
      <c r="C21">
        <v>14</v>
      </c>
      <c r="D21" s="7">
        <v>0</v>
      </c>
      <c r="H21">
        <f t="shared" si="0"/>
        <v>1.1385565388685157</v>
      </c>
      <c r="I21">
        <f t="shared" si="1"/>
        <v>0.85800318635021089</v>
      </c>
    </row>
    <row r="22" spans="1:12">
      <c r="A22" s="2">
        <v>12</v>
      </c>
      <c r="B22">
        <v>52</v>
      </c>
      <c r="C22">
        <v>7</v>
      </c>
      <c r="D22" s="7">
        <v>1</v>
      </c>
      <c r="H22">
        <f t="shared" si="0"/>
        <v>-0.20208146360869761</v>
      </c>
      <c r="I22">
        <f t="shared" si="1"/>
        <v>-0.79883055280881698</v>
      </c>
    </row>
    <row r="23" spans="1:12">
      <c r="A23" s="2">
        <v>13</v>
      </c>
      <c r="B23">
        <v>71</v>
      </c>
      <c r="C23">
        <v>7</v>
      </c>
      <c r="D23" s="7">
        <v>0</v>
      </c>
      <c r="H23">
        <f t="shared" si="0"/>
        <v>1.2962786568070115</v>
      </c>
      <c r="I23">
        <f t="shared" si="1"/>
        <v>-0.79883055280881698</v>
      </c>
    </row>
    <row r="24" spans="1:12">
      <c r="A24" s="2">
        <v>14</v>
      </c>
      <c r="B24">
        <v>74</v>
      </c>
      <c r="C24">
        <v>10</v>
      </c>
      <c r="D24" s="7">
        <v>0</v>
      </c>
      <c r="H24">
        <f t="shared" si="0"/>
        <v>1.532861833714755</v>
      </c>
      <c r="I24">
        <f t="shared" si="1"/>
        <v>-8.8758950312090787E-2</v>
      </c>
    </row>
    <row r="25" spans="1:12">
      <c r="A25" s="2">
        <v>15</v>
      </c>
      <c r="B25">
        <v>55</v>
      </c>
      <c r="C25">
        <v>18</v>
      </c>
      <c r="D25" s="7">
        <v>0</v>
      </c>
      <c r="H25">
        <f t="shared" si="0"/>
        <v>3.450171329904593E-2</v>
      </c>
      <c r="I25">
        <f t="shared" si="1"/>
        <v>1.8047653230125125</v>
      </c>
    </row>
    <row r="26" spans="1:12">
      <c r="A26" s="2">
        <v>16</v>
      </c>
      <c r="B26">
        <v>50</v>
      </c>
      <c r="C26">
        <v>15</v>
      </c>
      <c r="D26" s="7">
        <v>1</v>
      </c>
      <c r="H26">
        <f t="shared" si="0"/>
        <v>-0.35980358154719327</v>
      </c>
      <c r="I26">
        <f t="shared" si="1"/>
        <v>1.0946937205157863</v>
      </c>
    </row>
    <row r="30" spans="1:12">
      <c r="E30" s="10"/>
      <c r="F30" s="10"/>
      <c r="G30" s="10"/>
      <c r="H30" s="10"/>
      <c r="I30" s="10"/>
      <c r="J30" s="10"/>
      <c r="K30" s="10"/>
      <c r="L30" s="10"/>
    </row>
  </sheetData>
  <mergeCells count="7">
    <mergeCell ref="H9:I9"/>
    <mergeCell ref="A1:L1"/>
    <mergeCell ref="A2:L2"/>
    <mergeCell ref="A3:L3"/>
    <mergeCell ref="A5:L5"/>
    <mergeCell ref="A6:L6"/>
    <mergeCell ref="A4:L4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G2" sqref="G2"/>
    </sheetView>
  </sheetViews>
  <sheetFormatPr defaultColWidth="9" defaultRowHeight="16.2"/>
  <cols>
    <col min="1" max="1" width="3.88671875" style="10" bestFit="1" customWidth="1"/>
    <col min="2" max="2" width="13.44140625" style="10" bestFit="1" customWidth="1"/>
    <col min="3" max="3" width="9" style="10"/>
    <col min="4" max="4" width="20.21875" style="10" bestFit="1" customWidth="1"/>
    <col min="5" max="5" width="12.77734375" style="10" bestFit="1" customWidth="1"/>
    <col min="6" max="6" width="13.44140625" style="10" bestFit="1" customWidth="1"/>
    <col min="7" max="7" width="12.77734375" style="10" bestFit="1" customWidth="1"/>
    <col min="8" max="9" width="13.44140625" style="10" bestFit="1" customWidth="1"/>
    <col min="10" max="11" width="12.77734375" style="10" bestFit="1" customWidth="1"/>
    <col min="12" max="12" width="13.44140625" style="10" bestFit="1" customWidth="1"/>
    <col min="13" max="16384" width="9" style="10"/>
  </cols>
  <sheetData>
    <row r="1" spans="1:12">
      <c r="B1" s="10" t="s">
        <v>55</v>
      </c>
      <c r="E1" s="70" t="s">
        <v>83</v>
      </c>
      <c r="F1" s="49" t="s">
        <v>57</v>
      </c>
    </row>
    <row r="2" spans="1:12">
      <c r="B2" s="10">
        <v>1</v>
      </c>
      <c r="E2" s="69">
        <f>SQRT(SUMXMY2(E18:L18,E20:L20))/10</f>
        <v>0.1</v>
      </c>
      <c r="F2" s="71">
        <f>COUNTIF(E21:L21,"N")/COUNTA(E21:L21)</f>
        <v>0.125</v>
      </c>
    </row>
    <row r="3" spans="1:12">
      <c r="A3" s="5" t="s">
        <v>49</v>
      </c>
      <c r="B3" s="5" t="s">
        <v>0</v>
      </c>
      <c r="C3" s="5" t="s">
        <v>56</v>
      </c>
      <c r="D3" s="45" t="s">
        <v>48</v>
      </c>
    </row>
    <row r="4" spans="1:12">
      <c r="A4" s="5">
        <v>1</v>
      </c>
      <c r="B4" s="10">
        <v>0.27108489020678944</v>
      </c>
      <c r="C4" s="10">
        <v>0.62131265218463549</v>
      </c>
      <c r="D4" s="45">
        <v>1</v>
      </c>
      <c r="E4" s="38">
        <f>SUMXMY2($B4:$C4,E$13:E$14)</f>
        <v>0.23030870247609284</v>
      </c>
      <c r="F4" s="38">
        <f t="shared" ref="F4:L11" si="0">SUMXMY2($B4:$C4,F$13:F$14)</f>
        <v>1.3997472742044392</v>
      </c>
      <c r="G4" s="38">
        <f t="shared" si="0"/>
        <v>0.80852947019547883</v>
      </c>
      <c r="H4" s="38">
        <f t="shared" si="0"/>
        <v>2.2406931210721175</v>
      </c>
      <c r="I4" s="38">
        <f t="shared" si="0"/>
        <v>3.0678289817650253</v>
      </c>
      <c r="J4" s="38">
        <f t="shared" si="0"/>
        <v>2.0962827358405725</v>
      </c>
      <c r="K4" s="38">
        <f t="shared" si="0"/>
        <v>1.4565318236853959</v>
      </c>
      <c r="L4" s="38">
        <f t="shared" si="0"/>
        <v>0.62210989964641739</v>
      </c>
    </row>
    <row r="5" spans="1:12">
      <c r="A5" s="5">
        <v>2</v>
      </c>
      <c r="B5" s="10">
        <v>1.3751397157762593</v>
      </c>
      <c r="C5" s="10">
        <v>-2.2189737578022695</v>
      </c>
      <c r="D5" s="45">
        <v>0</v>
      </c>
      <c r="E5" s="38">
        <f t="shared" ref="E5:E11" si="1">SUMXMY2($B5:$C5,E$13:E$14)</f>
        <v>12.37968214675676</v>
      </c>
      <c r="F5" s="38">
        <f t="shared" si="0"/>
        <v>8.7419041623542206</v>
      </c>
      <c r="G5" s="38">
        <f t="shared" si="0"/>
        <v>9.5237587144416977</v>
      </c>
      <c r="H5" s="38">
        <f t="shared" si="0"/>
        <v>4.504433371389549</v>
      </c>
      <c r="I5" s="38">
        <f t="shared" si="0"/>
        <v>2.0230257893108257</v>
      </c>
      <c r="J5" s="38">
        <f t="shared" si="0"/>
        <v>4.562691392537424</v>
      </c>
      <c r="K5" s="38">
        <f t="shared" si="0"/>
        <v>17.987786444162275</v>
      </c>
      <c r="L5" s="38">
        <f t="shared" si="0"/>
        <v>13.990420401790317</v>
      </c>
    </row>
    <row r="6" spans="1:12">
      <c r="A6" s="5">
        <v>3</v>
      </c>
      <c r="B6" s="10">
        <v>-0.75410887639343249</v>
      </c>
      <c r="C6" s="10">
        <v>0.14793158385348462</v>
      </c>
      <c r="D6" s="45">
        <v>1</v>
      </c>
      <c r="E6" s="38">
        <f t="shared" si="1"/>
        <v>1.7919041369495377</v>
      </c>
      <c r="F6" s="38">
        <f t="shared" si="0"/>
        <v>6.224147558533661E-2</v>
      </c>
      <c r="G6" s="38">
        <f t="shared" si="0"/>
        <v>4.086384054800952</v>
      </c>
      <c r="H6" s="38">
        <f t="shared" si="0"/>
        <v>1.2010928078831746</v>
      </c>
      <c r="I6" s="38">
        <f t="shared" si="0"/>
        <v>5.1004475797211679</v>
      </c>
      <c r="J6" s="38">
        <f t="shared" si="0"/>
        <v>5.2862574378563325</v>
      </c>
      <c r="K6" s="38">
        <f t="shared" si="0"/>
        <v>3.3670047013908038</v>
      </c>
      <c r="L6" s="38">
        <f t="shared" si="0"/>
        <v>1.0518352089611465</v>
      </c>
    </row>
    <row r="7" spans="1:12">
      <c r="A7" s="5">
        <v>4</v>
      </c>
      <c r="B7" s="10">
        <v>-1.1484141712396716</v>
      </c>
      <c r="C7" s="10">
        <v>-0.3254494844776662</v>
      </c>
      <c r="D7" s="45">
        <v>1</v>
      </c>
      <c r="E7" s="38">
        <f t="shared" si="1"/>
        <v>3.8141169763751672</v>
      </c>
      <c r="F7" s="38">
        <f t="shared" si="0"/>
        <v>0.27990880734662804</v>
      </c>
      <c r="G7" s="38">
        <f t="shared" si="0"/>
        <v>6.6307952529823826</v>
      </c>
      <c r="H7" s="38">
        <f t="shared" si="0"/>
        <v>1.1196352293865122</v>
      </c>
      <c r="I7" s="38">
        <f t="shared" si="0"/>
        <v>6.2006126593572306</v>
      </c>
      <c r="J7" s="38">
        <f t="shared" si="0"/>
        <v>7.2452634237079554</v>
      </c>
      <c r="K7" s="38">
        <f t="shared" si="0"/>
        <v>5.9371051159444352</v>
      </c>
      <c r="L7" s="38">
        <f t="shared" si="0"/>
        <v>2.638713384864193</v>
      </c>
    </row>
    <row r="8" spans="1:12">
      <c r="A8" s="5">
        <v>5</v>
      </c>
      <c r="B8" s="10">
        <v>-1.3061362891781674</v>
      </c>
      <c r="C8" s="10">
        <v>-8.8758950312090787E-2</v>
      </c>
      <c r="D8" s="45">
        <v>1</v>
      </c>
      <c r="E8" s="38">
        <f t="shared" si="1"/>
        <v>3.645643274541813</v>
      </c>
      <c r="F8" s="38">
        <f t="shared" si="0"/>
        <v>0.39802026379207589</v>
      </c>
      <c r="G8" s="38">
        <f t="shared" si="0"/>
        <v>6.8728815669202561</v>
      </c>
      <c r="H8" s="38">
        <f t="shared" si="0"/>
        <v>1.723138738535501</v>
      </c>
      <c r="I8" s="38">
        <f t="shared" si="0"/>
        <v>7.2767652317593088</v>
      </c>
      <c r="J8" s="38">
        <f t="shared" si="0"/>
        <v>8.0599103417895375</v>
      </c>
      <c r="K8" s="38">
        <f t="shared" si="0"/>
        <v>5.3827444273555596</v>
      </c>
      <c r="L8" s="38">
        <f t="shared" si="0"/>
        <v>2.2961058176218061</v>
      </c>
    </row>
    <row r="9" spans="1:12">
      <c r="A9" s="5">
        <v>6</v>
      </c>
      <c r="B9" s="10">
        <v>-0.51752569948568894</v>
      </c>
      <c r="C9" s="10">
        <v>-0.3254494844776662</v>
      </c>
      <c r="D9" s="45">
        <v>1</v>
      </c>
      <c r="E9" s="38">
        <f t="shared" si="1"/>
        <v>2.5205511190509204</v>
      </c>
      <c r="F9" s="38">
        <f t="shared" si="0"/>
        <v>8.0898675450590152E-2</v>
      </c>
      <c r="G9" s="38">
        <f t="shared" si="0"/>
        <v>4.1431686042819083</v>
      </c>
      <c r="H9" s="38">
        <f t="shared" si="0"/>
        <v>0.32359470180236061</v>
      </c>
      <c r="I9" s="38">
        <f t="shared" si="0"/>
        <v>3.5139758787607192</v>
      </c>
      <c r="J9" s="38">
        <f t="shared" si="0"/>
        <v>4.2601114452673867</v>
      </c>
      <c r="K9" s="38">
        <f t="shared" si="0"/>
        <v>4.8425493905162273</v>
      </c>
      <c r="L9" s="38">
        <f t="shared" si="0"/>
        <v>2.0416829891760795</v>
      </c>
    </row>
    <row r="10" spans="1:12">
      <c r="A10" s="5">
        <v>7</v>
      </c>
      <c r="B10" s="10">
        <v>0.74425124402227649</v>
      </c>
      <c r="C10" s="10">
        <v>0.38462211801906004</v>
      </c>
      <c r="D10" s="45">
        <v>0</v>
      </c>
      <c r="E10" s="38">
        <f t="shared" si="1"/>
        <v>0.80893594513807676</v>
      </c>
      <c r="F10" s="38">
        <f t="shared" si="0"/>
        <v>2.2390672213017258</v>
      </c>
      <c r="G10" s="38">
        <f t="shared" si="0"/>
        <v>0.37956630139812136</v>
      </c>
      <c r="H10" s="38">
        <f t="shared" si="0"/>
        <v>2.2961058176218061</v>
      </c>
      <c r="I10" s="38">
        <f t="shared" si="0"/>
        <v>1.7052944885554435</v>
      </c>
      <c r="J10" s="38">
        <f t="shared" si="0"/>
        <v>0.84599629802946053</v>
      </c>
      <c r="K10" s="38">
        <f t="shared" si="0"/>
        <v>2.5205511190509204</v>
      </c>
      <c r="L10" s="38">
        <f t="shared" si="0"/>
        <v>1.723138738535501</v>
      </c>
    </row>
    <row r="11" spans="1:12">
      <c r="A11" s="5">
        <v>8</v>
      </c>
      <c r="B11" s="10">
        <v>-1.6215805250551587</v>
      </c>
      <c r="C11" s="10">
        <v>-1.2722116211399679</v>
      </c>
      <c r="D11" s="45">
        <v>1</v>
      </c>
      <c r="E11" s="38">
        <f t="shared" si="1"/>
        <v>8.8921271392649199</v>
      </c>
      <c r="F11" s="38">
        <f t="shared" si="0"/>
        <v>2.2961058176218065</v>
      </c>
      <c r="G11" s="38">
        <f t="shared" si="0"/>
        <v>12.156171737695622</v>
      </c>
      <c r="H11" s="38">
        <f t="shared" si="0"/>
        <v>2.2390672213017258</v>
      </c>
      <c r="I11" s="38">
        <f t="shared" si="0"/>
        <v>8.7379918410317146</v>
      </c>
      <c r="J11" s="38">
        <f t="shared" si="0"/>
        <v>11.351066818891534</v>
      </c>
      <c r="K11" s="38">
        <f t="shared" si="0"/>
        <v>12.21039549503821</v>
      </c>
      <c r="L11" s="38">
        <f t="shared" si="0"/>
        <v>7.1943219515268462</v>
      </c>
    </row>
    <row r="12" spans="1:12">
      <c r="D12" s="5" t="s">
        <v>50</v>
      </c>
      <c r="E12" s="5">
        <v>9</v>
      </c>
      <c r="F12" s="5">
        <v>10</v>
      </c>
      <c r="G12" s="5">
        <v>11</v>
      </c>
      <c r="H12" s="5">
        <v>12</v>
      </c>
      <c r="I12" s="5">
        <v>13</v>
      </c>
      <c r="J12" s="5">
        <v>14</v>
      </c>
      <c r="K12" s="5">
        <v>15</v>
      </c>
      <c r="L12" s="5">
        <v>16</v>
      </c>
    </row>
    <row r="13" spans="1:12">
      <c r="D13" s="5" t="s">
        <v>0</v>
      </c>
      <c r="E13" s="10">
        <v>0.19222383123754161</v>
      </c>
      <c r="F13" s="10">
        <v>-0.6752478174241846</v>
      </c>
      <c r="G13" s="10">
        <v>1.1385565388685157</v>
      </c>
      <c r="H13" s="10">
        <v>-0.20208146360869761</v>
      </c>
      <c r="I13" s="10">
        <v>1.2962786568070115</v>
      </c>
      <c r="J13" s="10">
        <v>1.532861833714755</v>
      </c>
      <c r="K13" s="10">
        <v>3.450171329904593E-2</v>
      </c>
      <c r="L13" s="10">
        <v>-0.35980358154719327</v>
      </c>
    </row>
    <row r="14" spans="1:12">
      <c r="D14" s="5" t="s">
        <v>1</v>
      </c>
      <c r="E14" s="10">
        <v>1.0946937205157863</v>
      </c>
      <c r="F14" s="10">
        <v>-8.8758950312090787E-2</v>
      </c>
      <c r="G14" s="10">
        <v>0.85800318635021089</v>
      </c>
      <c r="H14" s="10">
        <v>-0.79883055280881698</v>
      </c>
      <c r="I14" s="10">
        <v>-0.79883055280881698</v>
      </c>
      <c r="J14" s="10">
        <v>-8.8758950312090787E-2</v>
      </c>
      <c r="K14" s="10">
        <v>1.8047653230125125</v>
      </c>
      <c r="L14" s="10">
        <v>1.0946937205157863</v>
      </c>
    </row>
    <row r="17" spans="4:12" ht="16.8" thickBot="1"/>
    <row r="18" spans="4:12">
      <c r="D18" s="42" t="s">
        <v>51</v>
      </c>
      <c r="E18" s="43">
        <v>1</v>
      </c>
      <c r="F18" s="43">
        <v>1</v>
      </c>
      <c r="G18" s="43">
        <v>0</v>
      </c>
      <c r="H18" s="43">
        <v>1</v>
      </c>
      <c r="I18" s="43">
        <v>0</v>
      </c>
      <c r="J18" s="43">
        <v>0</v>
      </c>
      <c r="K18" s="43">
        <v>0</v>
      </c>
      <c r="L18" s="44">
        <v>1</v>
      </c>
    </row>
    <row r="19" spans="4:12">
      <c r="D19" s="26" t="s">
        <v>52</v>
      </c>
      <c r="E19" s="27">
        <f>MIN(E$4:E$11)</f>
        <v>0.23030870247609284</v>
      </c>
      <c r="F19" s="27">
        <f t="shared" ref="F19:L19" si="2">MIN(F$4:F$11)</f>
        <v>6.224147558533661E-2</v>
      </c>
      <c r="G19" s="27">
        <f t="shared" si="2"/>
        <v>0.37956630139812136</v>
      </c>
      <c r="H19" s="27">
        <f t="shared" si="2"/>
        <v>0.32359470180236061</v>
      </c>
      <c r="I19" s="27">
        <f t="shared" si="2"/>
        <v>1.7052944885554435</v>
      </c>
      <c r="J19" s="27">
        <f t="shared" si="2"/>
        <v>0.84599629802946053</v>
      </c>
      <c r="K19" s="27">
        <f t="shared" si="2"/>
        <v>1.4565318236853959</v>
      </c>
      <c r="L19" s="28">
        <f t="shared" si="2"/>
        <v>0.62210989964641739</v>
      </c>
    </row>
    <row r="20" spans="4:12">
      <c r="D20" s="46" t="s">
        <v>53</v>
      </c>
      <c r="E20" s="47">
        <v>1</v>
      </c>
      <c r="F20" s="47">
        <v>1</v>
      </c>
      <c r="G20" s="47">
        <v>0</v>
      </c>
      <c r="H20" s="47">
        <v>1</v>
      </c>
      <c r="I20" s="47">
        <v>0</v>
      </c>
      <c r="J20" s="47">
        <v>0</v>
      </c>
      <c r="K20" s="47">
        <v>1</v>
      </c>
      <c r="L20" s="48">
        <v>1</v>
      </c>
    </row>
    <row r="21" spans="4:12" ht="16.8" thickBot="1">
      <c r="D21" s="29" t="s">
        <v>54</v>
      </c>
      <c r="E21" s="30" t="str">
        <f>IF(E20=E18,"Y","N")</f>
        <v>Y</v>
      </c>
      <c r="F21" s="30" t="str">
        <f t="shared" ref="F21:L21" si="3">IF(F20=F18,"Y","N")</f>
        <v>Y</v>
      </c>
      <c r="G21" s="30" t="str">
        <f t="shared" si="3"/>
        <v>Y</v>
      </c>
      <c r="H21" s="30" t="str">
        <f t="shared" si="3"/>
        <v>Y</v>
      </c>
      <c r="I21" s="30" t="str">
        <f t="shared" si="3"/>
        <v>Y</v>
      </c>
      <c r="J21" s="30" t="str">
        <f t="shared" si="3"/>
        <v>Y</v>
      </c>
      <c r="K21" s="30" t="str">
        <f t="shared" si="3"/>
        <v>N</v>
      </c>
      <c r="L21" s="31" t="str">
        <f t="shared" si="3"/>
        <v>Y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25"/>
  <sheetViews>
    <sheetView workbookViewId="0">
      <selection activeCell="A22" sqref="A22"/>
    </sheetView>
  </sheetViews>
  <sheetFormatPr defaultColWidth="8.88671875" defaultRowHeight="16.2"/>
  <cols>
    <col min="1" max="1" width="170.6640625" style="9" customWidth="1"/>
    <col min="2" max="16384" width="8.88671875" style="9"/>
  </cols>
  <sheetData>
    <row r="1" spans="1:1">
      <c r="A1" s="9" t="s">
        <v>75</v>
      </c>
    </row>
    <row r="7" spans="1:1">
      <c r="A7" s="9" t="s">
        <v>78</v>
      </c>
    </row>
    <row r="13" spans="1:1">
      <c r="A13" s="9" t="s">
        <v>76</v>
      </c>
    </row>
    <row r="19" spans="1:1">
      <c r="A19" s="9" t="s">
        <v>79</v>
      </c>
    </row>
    <row r="25" spans="1:1">
      <c r="A25" s="9" t="s">
        <v>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題目1-分群分析(K-means的方法)</vt:lpstr>
      <vt:lpstr>題目1-K-means(1)</vt:lpstr>
      <vt:lpstr>題目1-K-means(2)</vt:lpstr>
      <vt:lpstr>題目1-K-means(3)</vt:lpstr>
      <vt:lpstr>題目1-K-means-Outcome</vt:lpstr>
      <vt:lpstr>題目2-分類分析-KNN的方法</vt:lpstr>
      <vt:lpstr>題目2-分類分析-KNN-Outcome</vt:lpstr>
      <vt:lpstr>題目3&amp;4申論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AI3</dc:creator>
  <cp:lastModifiedBy>user</cp:lastModifiedBy>
  <dcterms:created xsi:type="dcterms:W3CDTF">2021-11-11T03:54:25Z</dcterms:created>
  <dcterms:modified xsi:type="dcterms:W3CDTF">2025-10-23T07:20:27Z</dcterms:modified>
</cp:coreProperties>
</file>